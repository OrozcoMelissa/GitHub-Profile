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melissaorozco/Desktop/"/>
    </mc:Choice>
  </mc:AlternateContent>
  <xr:revisionPtr revIDLastSave="0" documentId="8_{5F254880-4EA8-4945-A57A-000E4EDDDA07}" xr6:coauthVersionLast="47" xr6:coauthVersionMax="47" xr10:uidLastSave="{00000000-0000-0000-0000-000000000000}"/>
  <bookViews>
    <workbookView xWindow="0" yWindow="500" windowWidth="28800" windowHeight="15980" xr2:uid="{00000000-000D-0000-FFFF-FFFF00000000}"/>
  </bookViews>
  <sheets>
    <sheet name="Data" sheetId="1" r:id="rId1"/>
    <sheet name="Canceled" sheetId="2" r:id="rId2"/>
    <sheet name="Cases" sheetId="3" r:id="rId3"/>
    <sheet name="Hours" sheetId="4" r:id="rId4"/>
    <sheet name="PACU" sheetId="5" r:id="rId5"/>
    <sheet name="Pre-Op" sheetId="6" r:id="rId6"/>
  </sheets>
  <definedNames>
    <definedName name="_xlnm._FilterDatabase" localSheetId="0" hidden="1">Data!$A$1:$Y$829</definedName>
    <definedName name="_xlnm._FilterDatabase" localSheetId="4" hidden="1">PACU!$A$1:$S$861</definedName>
  </definedNames>
  <calcPr calcId="191029"/>
  <pivotCaches>
    <pivotCache cacheId="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4" l="1"/>
  <c r="C7" i="4"/>
  <c r="B7" i="4"/>
</calcChain>
</file>

<file path=xl/sharedStrings.xml><?xml version="1.0" encoding="utf-8"?>
<sst xmlns="http://schemas.openxmlformats.org/spreadsheetml/2006/main" count="6478" uniqueCount="74">
  <si>
    <t>Date</t>
  </si>
  <si>
    <t>Pt Class</t>
  </si>
  <si>
    <t>Base Class</t>
  </si>
  <si>
    <t>Primary An Type</t>
  </si>
  <si>
    <t>ASA Rating</t>
  </si>
  <si>
    <t>An Start</t>
  </si>
  <si>
    <t>An Stop</t>
  </si>
  <si>
    <t>Anesthesia Minutes</t>
  </si>
  <si>
    <t>Time</t>
  </si>
  <si>
    <t>Sched End</t>
  </si>
  <si>
    <t>Length</t>
  </si>
  <si>
    <t>Actual Start</t>
  </si>
  <si>
    <t>Actual End</t>
  </si>
  <si>
    <t>Actual Length</t>
  </si>
  <si>
    <t>Proc Start</t>
  </si>
  <si>
    <t>Proc Comp</t>
  </si>
  <si>
    <t>Out Room</t>
  </si>
  <si>
    <t>Room Duration</t>
  </si>
  <si>
    <t>Proc Duration</t>
  </si>
  <si>
    <t>In Recovery</t>
  </si>
  <si>
    <t>Out Recovery</t>
  </si>
  <si>
    <t>Rec Duration</t>
  </si>
  <si>
    <t>In Phase II</t>
  </si>
  <si>
    <t>Out Phase II</t>
  </si>
  <si>
    <t>Ph II Duration</t>
  </si>
  <si>
    <t>Service</t>
  </si>
  <si>
    <t>Inpatient</t>
  </si>
  <si>
    <t>IP</t>
  </si>
  <si>
    <t>General</t>
  </si>
  <si>
    <t>3</t>
  </si>
  <si>
    <t>Orthopedics</t>
  </si>
  <si>
    <t>2</t>
  </si>
  <si>
    <t>Oral Surgery</t>
  </si>
  <si>
    <t>Urology</t>
  </si>
  <si>
    <t>Regional</t>
  </si>
  <si>
    <t>1</t>
  </si>
  <si>
    <t>4</t>
  </si>
  <si>
    <t>Plastics</t>
  </si>
  <si>
    <t>Monitor Anesthesia Care</t>
  </si>
  <si>
    <t>Podiatry</t>
  </si>
  <si>
    <t>5</t>
  </si>
  <si>
    <t>Neurosurgery</t>
  </si>
  <si>
    <t>Outpatient</t>
  </si>
  <si>
    <t>OP</t>
  </si>
  <si>
    <t>Cardiothoracic</t>
  </si>
  <si>
    <t>Gynecology</t>
  </si>
  <si>
    <t>Obstetrics</t>
  </si>
  <si>
    <t>Vascular</t>
  </si>
  <si>
    <t>Emergency</t>
  </si>
  <si>
    <t>ENT</t>
  </si>
  <si>
    <t>6</t>
  </si>
  <si>
    <t>Anesthesiology</t>
  </si>
  <si>
    <t>Dentistry</t>
  </si>
  <si>
    <t>Count of Case #</t>
  </si>
  <si>
    <t>Column Labels</t>
  </si>
  <si>
    <t>(blank)</t>
  </si>
  <si>
    <t>Grand Total</t>
  </si>
  <si>
    <t>Sum of Actual Length</t>
  </si>
  <si>
    <t>Hours</t>
  </si>
  <si>
    <t>Extend Recovery Start</t>
  </si>
  <si>
    <t>Extend Recovery Stop</t>
  </si>
  <si>
    <t>Extended Recovery Duration</t>
  </si>
  <si>
    <t>Account Class</t>
  </si>
  <si>
    <t>Inpatient [101]</t>
  </si>
  <si>
    <t>Cardiovascular</t>
  </si>
  <si>
    <t>Hospital Outpatient Surgery [106]</t>
  </si>
  <si>
    <t>Observation [104]</t>
  </si>
  <si>
    <t>Surgery Admit [108]</t>
  </si>
  <si>
    <t>Extended Recovery [2040000005]</t>
  </si>
  <si>
    <t>Emergency [103]</t>
  </si>
  <si>
    <t>Add-on?</t>
  </si>
  <si>
    <t>In Pre-op</t>
  </si>
  <si>
    <t>Pre-op Comp</t>
  </si>
  <si>
    <t>Pre-op Care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</si>
</sst>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Aptos Narrow"/>
    </font>
    <font>
      <b/>
      <sz val="11"/>
      <name val="Aptos Narrow"/>
      <family val="2"/>
    </font>
    <font>
      <sz val="11"/>
      <name val="Aptos Narrow"/>
      <family val="2"/>
    </font>
    <font>
      <sz val="11"/>
      <color rgb="FFFF0000"/>
      <name val="Aptos Narrow"/>
      <family val="2"/>
    </font>
    <font>
      <b/>
      <sz val="11"/>
      <color rgb="FF00B050"/>
      <name val="Aptos Narrow"/>
      <family val="2"/>
    </font>
    <font>
      <b/>
      <sz val="11"/>
      <color rgb="FF0070C0"/>
      <name val="Aptos Narrow"/>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9">
    <xf numFmtId="0" fontId="0" fillId="0" borderId="0" xfId="0"/>
    <xf numFmtId="14" fontId="0" fillId="0" borderId="0" xfId="0" applyNumberFormat="1"/>
    <xf numFmtId="20" fontId="0" fillId="0" borderId="0" xfId="0" applyNumberFormat="1"/>
    <xf numFmtId="19" fontId="0" fillId="0" borderId="0" xfId="0" applyNumberFormat="1"/>
    <xf numFmtId="0" fontId="0" fillId="0" borderId="0" xfId="0" pivotButton="1"/>
    <xf numFmtId="0" fontId="0" fillId="0" borderId="1" xfId="0" applyBorder="1" applyAlignment="1">
      <alignment horizontal="center"/>
    </xf>
    <xf numFmtId="0" fontId="1" fillId="0" borderId="1" xfId="0" applyFont="1" applyBorder="1"/>
    <xf numFmtId="1" fontId="1" fillId="0" borderId="1" xfId="0" applyNumberFormat="1" applyFont="1" applyBorder="1" applyAlignment="1">
      <alignment horizontal="center"/>
    </xf>
    <xf numFmtId="0" fontId="1" fillId="0" borderId="1" xfId="0" applyFont="1" applyBorder="1" applyAlignment="1">
      <alignment horizontal="center"/>
    </xf>
    <xf numFmtId="0" fontId="2" fillId="0" borderId="0" xfId="1"/>
    <xf numFmtId="14" fontId="2" fillId="0" borderId="0" xfId="1" applyNumberFormat="1"/>
    <xf numFmtId="20" fontId="2" fillId="0" borderId="0" xfId="1" applyNumberFormat="1"/>
    <xf numFmtId="18" fontId="2" fillId="0" borderId="0" xfId="1" applyNumberFormat="1"/>
    <xf numFmtId="14" fontId="3" fillId="0" borderId="0" xfId="1" applyNumberFormat="1" applyFont="1"/>
    <xf numFmtId="0" fontId="3" fillId="0" borderId="0" xfId="1" applyFont="1"/>
    <xf numFmtId="20" fontId="3" fillId="0" borderId="0" xfId="1" applyNumberFormat="1" applyFont="1"/>
    <xf numFmtId="0" fontId="4" fillId="0" borderId="0" xfId="1" applyFont="1" applyAlignment="1">
      <alignment horizontal="center"/>
    </xf>
    <xf numFmtId="0" fontId="2" fillId="0" borderId="0" xfId="1" applyAlignment="1">
      <alignment horizontal="center"/>
    </xf>
    <xf numFmtId="0" fontId="5" fillId="0" borderId="0" xfId="1" applyFont="1" applyAlignment="1">
      <alignment horizontal="center"/>
    </xf>
  </cellXfs>
  <cellStyles count="2">
    <cellStyle name="Normal" xfId="0" builtinId="0"/>
    <cellStyle name="Normal 2" xfId="1" xr:uid="{8BC72CC3-4F7D-4E5C-8DEC-EE815BA7326E}"/>
  </cellStyles>
  <dxfs count="12">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ozco, Melissa" refreshedDate="46266.27474479167" createdVersion="8" refreshedVersion="8" minRefreshableVersion="3" recordCount="845" xr:uid="{6027B5ED-A2A2-40E4-9979-C720349FA7DF}">
  <cacheSource type="worksheet">
    <worksheetSource ref="A1:Y1048576" sheet="Data"/>
  </cacheSource>
  <cacheFields count="46">
    <cacheField name="Date" numFmtId="0">
      <sharedItems containsNonDate="0" containsDate="1" containsString="0" containsBlank="1" minDate="2026-08-01T00:00:00" maxDate="2026-09-01T00:00:00"/>
    </cacheField>
    <cacheField name="Case #" numFmtId="0">
      <sharedItems containsBlank="1"/>
    </cacheField>
    <cacheField name="Patient" numFmtId="0">
      <sharedItems containsBlank="1"/>
    </cacheField>
    <cacheField name="Pt Class" numFmtId="0">
      <sharedItems containsBlank="1"/>
    </cacheField>
    <cacheField name="Base Class" numFmtId="0">
      <sharedItems containsBlank="1" count="3">
        <s v="IP"/>
        <s v="OP"/>
        <m/>
      </sharedItems>
    </cacheField>
    <cacheField name="Hosp Acct" numFmtId="0">
      <sharedItems containsString="0" containsBlank="1" containsNumber="1" containsInteger="1" minValue="3400724225" maxValue="3901463602"/>
    </cacheField>
    <cacheField name="MRN" numFmtId="0">
      <sharedItems containsBlank="1"/>
    </cacheField>
    <cacheField name="DOB" numFmtId="0">
      <sharedItems containsNonDate="0" containsDate="1" containsString="0" containsBlank="1" minDate="1926-10-26T00:00:00" maxDate="2010-07-29T00:00:00"/>
    </cacheField>
    <cacheField name="Responsible Provider" numFmtId="0">
      <sharedItems containsBlank="1"/>
    </cacheField>
    <cacheField name="Primary An Type" numFmtId="0">
      <sharedItems containsBlank="1"/>
    </cacheField>
    <cacheField name="ASA Rating" numFmtId="0">
      <sharedItems containsBlank="1"/>
    </cacheField>
    <cacheField name="An Start" numFmtId="0">
      <sharedItems containsNonDate="0" containsDate="1" containsString="0" containsBlank="1" minDate="1899-12-30T00:17:00" maxDate="1899-12-30T23:20:00"/>
    </cacheField>
    <cacheField name="An Stop" numFmtId="0">
      <sharedItems containsNonDate="0" containsDate="1" containsString="0" containsBlank="1" minDate="1899-12-30T01:40:00" maxDate="1899-12-30T23:56:00"/>
    </cacheField>
    <cacheField name="Anesthesia Minutes" numFmtId="0">
      <sharedItems containsString="0" containsBlank="1" containsNumber="1" containsInteger="1" minValue="23" maxValue="653"/>
    </cacheField>
    <cacheField name="Time" numFmtId="0">
      <sharedItems containsNonDate="0" containsDate="1" containsString="0" containsBlank="1" minDate="1899-12-30T00:10:00" maxDate="1899-12-30T23:10:00"/>
    </cacheField>
    <cacheField name="Sched End" numFmtId="0">
      <sharedItems containsNonDate="0" containsDate="1" containsString="0" containsBlank="1" minDate="1899-12-30T00:00:00" maxDate="1899-12-30T23:50:00"/>
    </cacheField>
    <cacheField name="Length" numFmtId="0">
      <sharedItems containsString="0" containsBlank="1" containsNumber="1" containsInteger="1" minValue="15" maxValue="510"/>
    </cacheField>
    <cacheField name="Actual Start" numFmtId="0">
      <sharedItems containsNonDate="0" containsDate="1" containsString="0" containsBlank="1" minDate="1899-12-30T00:17:00" maxDate="1899-12-30T23:20:00"/>
    </cacheField>
    <cacheField name="Actual End" numFmtId="0">
      <sharedItems containsNonDate="0" containsDate="1" containsString="0" containsBlank="1" minDate="1899-12-30T01:35:00" maxDate="1899-12-30T23:48:00"/>
    </cacheField>
    <cacheField name="Actual Length" numFmtId="0">
      <sharedItems containsString="0" containsBlank="1" containsNumber="1" containsInteger="1" minValue="18" maxValue="642"/>
    </cacheField>
    <cacheField name="Proc Start" numFmtId="0">
      <sharedItems containsNonDate="0" containsDate="1" containsString="0" containsBlank="1" minDate="1899-12-30T00:41:00" maxDate="1899-12-30T23:35:00"/>
    </cacheField>
    <cacheField name="Proc Comp" numFmtId="0">
      <sharedItems containsNonDate="0" containsDate="1" containsString="0" containsBlank="1" minDate="1899-12-30T01:26:00" maxDate="1899-12-30T23:43:00"/>
    </cacheField>
    <cacheField name="Out Room" numFmtId="0">
      <sharedItems containsNonDate="0" containsDate="1" containsString="0" containsBlank="1" minDate="1899-12-30T01:35:00" maxDate="1899-12-30T23:48:00"/>
    </cacheField>
    <cacheField name="Room Duration" numFmtId="0">
      <sharedItems containsString="0" containsBlank="1" containsNumber="1" containsInteger="1" minValue="18" maxValue="642"/>
    </cacheField>
    <cacheField name="Proc Duration" numFmtId="0">
      <sharedItems containsString="0" containsBlank="1" containsNumber="1" containsInteger="1" minValue="3" maxValue="495"/>
    </cacheField>
    <cacheField name="In Recovery" numFmtId="0">
      <sharedItems containsNonDate="0" containsDate="1" containsString="0" containsBlank="1" minDate="1899-12-30T01:36:10" maxDate="1899-12-30T23:49:26"/>
    </cacheField>
    <cacheField name="Out Recovery" numFmtId="0">
      <sharedItems containsNonDate="0" containsDate="1" containsString="0" containsBlank="1" minDate="1899-12-30T00:26:28" maxDate="1899-12-30T23:53:01"/>
    </cacheField>
    <cacheField name="Rec Duration" numFmtId="0">
      <sharedItems containsString="0" containsBlank="1" containsNumber="1" containsInteger="1" minValue="7" maxValue="778"/>
    </cacheField>
    <cacheField name="In Phase II" numFmtId="0">
      <sharedItems containsNonDate="0" containsDate="1" containsString="0" containsBlank="1" minDate="1899-12-30T07:15:00" maxDate="1899-12-30T20:01:00"/>
    </cacheField>
    <cacheField name="Out Phase II" numFmtId="0">
      <sharedItems containsNonDate="0" containsDate="1" containsString="0" containsBlank="1" minDate="1899-12-30T08:45:37" maxDate="1899-12-30T20:50:00"/>
    </cacheField>
    <cacheField name="Ph II Duration" numFmtId="0">
      <sharedItems containsString="0" containsBlank="1" containsNumber="1" containsInteger="1" minValue="2" maxValue="255"/>
    </cacheField>
    <cacheField name="Room" numFmtId="0">
      <sharedItems containsBlank="1"/>
    </cacheField>
    <cacheField name="Service" numFmtId="0">
      <sharedItems containsBlank="1"/>
    </cacheField>
    <cacheField name="Diabetes?" numFmtId="0">
      <sharedItems containsBlank="1"/>
    </cacheField>
    <cacheField name="Surgeon" numFmtId="0">
      <sharedItems containsBlank="1"/>
    </cacheField>
    <cacheField name="SH PROCEDURE" numFmtId="0">
      <sharedItems containsBlank="1" longText="1"/>
    </cacheField>
    <cacheField name="Procedure with description" numFmtId="0">
      <sharedItems containsBlank="1" longText="1"/>
    </cacheField>
    <cacheField name="Day of Week" numFmtId="0">
      <sharedItems containsBlank="1"/>
    </cacheField>
    <cacheField name="Emergent Status" numFmtId="0">
      <sharedItems containsNonDate="0" containsString="0" containsBlank="1"/>
    </cacheField>
    <cacheField name="ED/UC/IP" numFmtId="0">
      <sharedItems containsBlank="1"/>
    </cacheField>
    <cacheField name="Special Needs" numFmtId="0">
      <sharedItems containsNonDate="0" containsString="0" containsBlank="1"/>
    </cacheField>
    <cacheField name="Log Surgeon" numFmtId="0">
      <sharedItems containsBlank="1"/>
    </cacheField>
    <cacheField name="Multi Surg" numFmtId="0">
      <sharedItems containsBlank="1"/>
    </cacheField>
    <cacheField name="Surgeons" numFmtId="0">
      <sharedItems containsBlank="1"/>
    </cacheField>
    <cacheField name="Staff In" numFmtId="0">
      <sharedItems containsBlank="1"/>
    </cacheField>
    <cacheField name="Surgeons2"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5">
  <r>
    <d v="2026-08-01T00:00:00"/>
    <s v="6612300"/>
    <s v="Borns, Michael"/>
    <s v="Inpatient"/>
    <x v="0"/>
    <n v="3901436838"/>
    <s v="700217278"/>
    <d v="1965-03-01T00:00:00"/>
    <s v="Narla, Vinod Venkat, MD"/>
    <s v="General"/>
    <s v="3"/>
    <d v="1899-12-30T07:36:00"/>
    <d v="1899-12-30T10:10:00"/>
    <n v="154"/>
    <d v="1899-12-30T07:30:00"/>
    <d v="1899-12-30T09:30:00"/>
    <n v="120"/>
    <d v="1899-12-30T07:36:00"/>
    <d v="1899-12-30T10:02:00"/>
    <n v="146"/>
    <d v="1899-12-30T08:32:00"/>
    <d v="1899-12-30T09:59:00"/>
    <d v="1899-12-30T10:02:00"/>
    <n v="146"/>
    <n v="87"/>
    <d v="1899-12-30T10:05:00"/>
    <d v="1899-12-30T10:31:00"/>
    <n v="26"/>
    <m/>
    <m/>
    <m/>
    <s v="SHME OR 06"/>
    <s v="Orthopedics"/>
    <s v="Yes"/>
    <s v="Dromsky, David Michael, Md"/>
    <s v="AMPUTATION, LEG, THROUGH TIBIA AND FIBULA;"/>
    <s v="LEFT BELOW KNEE AMPUTATION - Left"/>
    <s v="Sat"/>
    <m/>
    <m/>
    <m/>
    <s v="DROMSKY, DAVID MICHAEL"/>
    <m/>
    <s v="David Michael Dromsky, MD"/>
    <m/>
    <s v="Dromsky"/>
  </r>
  <r>
    <d v="2026-08-01T00:00:00"/>
    <s v="6613389"/>
    <s v="Murphy, James A"/>
    <s v="Inpatient"/>
    <x v="0"/>
    <n v="3901444256"/>
    <s v="611693411"/>
    <d v="1942-05-25T00:00:00"/>
    <s v="Baja, Diosdado An Jr., MD"/>
    <s v="General"/>
    <s v="3"/>
    <d v="1899-12-30T08:00:00"/>
    <d v="1899-12-30T10:49:00"/>
    <n v="169"/>
    <d v="1899-12-30T07:30:00"/>
    <d v="1899-12-30T09:45:00"/>
    <n v="135"/>
    <d v="1899-12-30T08:00:00"/>
    <d v="1899-12-30T10:44:00"/>
    <n v="164"/>
    <d v="1899-12-30T08:37:00"/>
    <d v="1899-12-30T10:38:00"/>
    <d v="1899-12-30T10:44:00"/>
    <n v="164"/>
    <n v="121"/>
    <d v="1899-12-30T10:45:16"/>
    <d v="1899-12-30T11:40:18"/>
    <n v="55"/>
    <m/>
    <m/>
    <m/>
    <s v="SHME OR 04"/>
    <s v="Orthopedics"/>
    <s v="Yes"/>
    <s v="Fabi, David William, Md"/>
    <s v="ARTHROPLASTY, ACETABULAR AND PROXIMAL FEMORAL PROSTHETIC REPLACEMENT(TOTAL HIP ARTHROPLASTY), WITH OR WITHOUT AUTOGRAFT OR ALLOGRAFT"/>
    <s v="TOTAL POSTERIOR LEFT HIP ARTHROPLASTY - Left"/>
    <s v="Sat"/>
    <m/>
    <m/>
    <m/>
    <s v="FABI, DAVID WILLIAM"/>
    <m/>
    <s v="David William Fabi, MD"/>
    <m/>
    <s v="Fabi"/>
  </r>
  <r>
    <d v="2026-08-01T00:00:00"/>
    <s v="6614023"/>
    <s v="Hernandez, Jesus Ortiz"/>
    <s v="Inpatient"/>
    <x v="0"/>
    <n v="3901444728"/>
    <s v="811482459"/>
    <d v="1970-03-17T00:00:00"/>
    <s v="Narla, Vinod Venkat, MD"/>
    <s v="General"/>
    <s v="2"/>
    <d v="1899-12-30T10:17:00"/>
    <d v="1899-12-30T11:46:00"/>
    <n v="89"/>
    <d v="1899-12-30T10:00:00"/>
    <d v="1899-12-30T11:45:00"/>
    <n v="135"/>
    <d v="1899-12-30T10:17:00"/>
    <d v="1899-12-30T11:39:00"/>
    <n v="82"/>
    <d v="1899-12-30T10:52:00"/>
    <d v="1899-12-30T11:35:00"/>
    <d v="1899-12-30T11:39:00"/>
    <n v="82"/>
    <n v="43"/>
    <d v="1899-12-30T11:41:00"/>
    <d v="1899-12-30T12:01:00"/>
    <n v="20"/>
    <m/>
    <m/>
    <m/>
    <s v="SHME OR 05"/>
    <s v="Orthopedics"/>
    <s v="No"/>
    <s v="Dromsky, David Michael, Md"/>
    <s v="OPEN TREATMENT OF METACARPAL FRACTURE, SINGLE, INCLUDES INTERNALFIXATION, WHEN PERFORMED, EACH BONE"/>
    <s v="OPEN TREATMENT OF METACARPAL FRACTURE, SINGLE, INCLUDES INTERNALFIXATION, WHEN PERFORMED, EACH BONE - Right"/>
    <s v="Sat"/>
    <m/>
    <m/>
    <m/>
    <s v="DROMSKY, DAVID MICHAEL"/>
    <m/>
    <s v="David Michael Dromsky, MD"/>
    <m/>
    <s v="Dromsky"/>
  </r>
  <r>
    <d v="2026-08-01T00:00:00"/>
    <s v="6614214"/>
    <s v="Mireles, Sean"/>
    <s v="Inpatient"/>
    <x v="0"/>
    <n v="3400726283"/>
    <s v="400288509"/>
    <d v="1989-03-26T00:00:00"/>
    <s v="Narla, Vinod Venkat, MD"/>
    <s v="General"/>
    <s v="2"/>
    <d v="1899-12-30T12:27:00"/>
    <d v="1899-12-30T13:39:00"/>
    <n v="72"/>
    <d v="1899-12-30T12:00:00"/>
    <d v="1899-12-30T14:10:00"/>
    <n v="160"/>
    <d v="1899-12-30T12:27:00"/>
    <d v="1899-12-30T13:32:00"/>
    <n v="65"/>
    <d v="1899-12-30T12:49:00"/>
    <d v="1899-12-30T13:25:00"/>
    <d v="1899-12-30T13:32:00"/>
    <n v="65"/>
    <n v="36"/>
    <d v="1899-12-30T13:35:00"/>
    <d v="1899-12-30T14:17:00"/>
    <n v="42"/>
    <m/>
    <m/>
    <m/>
    <s v="SHME OR 02"/>
    <s v="Oral Surgery"/>
    <s v="No"/>
    <s v="Hammer, Daniel Aloysius, Dds"/>
    <s v="EXTRAORAL INCISION AND DRAINAGE OF ABSCESS, CYST, OR HEMATOMA OF FLOOROF MOUTH; SUBMANDIBULAR_x000a_INTRAORAL INCISION AND DRAINAGE OF ABSCESS, CYST, OR HEMATOMA OF TONGUEOR FLOOR OF MOUTH; MASTICATOR SPACE_x000a_INTRAORAL INCISION AND DRAINAGE OF ABSCESS, CYST, OR HEMATOMA OF TONGUEOR FLOOR OF MOUTH; SUBMANDIBULAR SPACE"/>
    <s v="Incision and drainage of right submandibular and pterygomandibular abscess, extraction of tooth #32, and any other indicated procedures - Right"/>
    <s v="Sat"/>
    <m/>
    <m/>
    <m/>
    <s v="HAMMER, DANIEL ALOYSIUS"/>
    <m/>
    <s v="Daniel Aloysius Hammer, DDS"/>
    <m/>
    <s v="Hammer"/>
  </r>
  <r>
    <d v="2026-08-02T00:00:00"/>
    <s v="6614265"/>
    <s v="McKaveney, John"/>
    <s v="Inpatient"/>
    <x v="0"/>
    <n v="3901444847"/>
    <s v="700275573"/>
    <d v="1963-07-26T00:00:00"/>
    <s v="Chitlur, Abhijith Harish, MD"/>
    <s v="General"/>
    <s v="2"/>
    <d v="1899-12-30T12:14:00"/>
    <d v="1899-12-30T12:53:00"/>
    <n v="39"/>
    <d v="1899-12-30T12:45:00"/>
    <d v="1899-12-30T13:30:00"/>
    <n v="75"/>
    <d v="1899-12-30T12:14:00"/>
    <d v="1899-12-30T12:49:00"/>
    <n v="35"/>
    <d v="1899-12-30T12:37:00"/>
    <d v="1899-12-30T12:46:00"/>
    <d v="1899-12-30T12:49:00"/>
    <n v="35"/>
    <n v="9"/>
    <d v="1899-12-30T12:53:20"/>
    <d v="1899-12-30T13:43:03"/>
    <n v="50"/>
    <m/>
    <m/>
    <m/>
    <s v="SHME OR 04"/>
    <s v="Urology"/>
    <s v="No"/>
    <s v="Holden, Marc Mccaslin, Md"/>
    <s v="CYSTOURETHROSCOPY, WITH INSERTION OF INDWELLING URETERAL STENT (EG,GIBBONS OR DOUBLE-J TYPE)"/>
    <s v="cystoscopy, left ureteral stent placement - Left"/>
    <s v="Sun"/>
    <m/>
    <m/>
    <m/>
    <s v="HOLDEN, MARC MCCASLIN"/>
    <m/>
    <s v="Marc McCaslin Holden, MD"/>
    <m/>
    <s v="Holden"/>
  </r>
  <r>
    <d v="2026-08-02T00:00:00"/>
    <s v="6614443"/>
    <s v="Lozano Quintero, Mayra"/>
    <s v="Inpatient"/>
    <x v="0"/>
    <n v="3901444976"/>
    <s v="701128906"/>
    <d v="1988-02-05T00:00:00"/>
    <s v="Chitlur, Abhijith Harish, MD"/>
    <s v="Regional"/>
    <s v="3"/>
    <d v="1899-12-30T07:30:00"/>
    <d v="1899-12-30T09:12:00"/>
    <n v="102"/>
    <d v="1899-12-30T07:30:00"/>
    <d v="1899-12-30T09:00:00"/>
    <n v="120"/>
    <d v="1899-12-30T07:30:00"/>
    <d v="1899-12-30T09:06:00"/>
    <n v="96"/>
    <d v="1899-12-30T07:54:00"/>
    <d v="1899-12-30T08:53:00"/>
    <d v="1899-12-30T09:06:00"/>
    <n v="96"/>
    <n v="59"/>
    <d v="1899-12-30T09:14:25"/>
    <d v="1899-12-30T10:02:00"/>
    <n v="48"/>
    <m/>
    <m/>
    <m/>
    <s v="SHME OR 04"/>
    <s v="General"/>
    <s v="No"/>
    <s v="Bansal, Vishal, Md"/>
    <s v="LAPAROSCOPY, SURGICAL; CHOLECYSTECTOMY"/>
    <s v="LAPAROSCOPY, SURGICAL; CHOLECYSTECTOMY - N/A"/>
    <s v="Sun"/>
    <m/>
    <m/>
    <m/>
    <s v="BANSAL, VISHAL"/>
    <m/>
    <s v="Vishal Bansal, MD"/>
    <m/>
    <s v="Bansal"/>
  </r>
  <r>
    <d v="2026-08-02T00:00:00"/>
    <s v="6614713"/>
    <s v="Pereyda Sanchez, Camila"/>
    <s v="Inpatient"/>
    <x v="0"/>
    <n v="3901445062"/>
    <s v="811261391"/>
    <d v="2005-03-30T00:00:00"/>
    <s v="Chitlur, Abhijith Harish, MD"/>
    <s v="Regional"/>
    <s v="1"/>
    <d v="1899-12-30T09:24:00"/>
    <d v="1899-12-30T10:54:00"/>
    <n v="90"/>
    <d v="1899-12-30T09:30:00"/>
    <d v="1899-12-30T11:00:00"/>
    <n v="120"/>
    <d v="1899-12-30T09:24:00"/>
    <d v="1899-12-30T10:50:00"/>
    <n v="86"/>
    <d v="1899-12-30T09:49:00"/>
    <d v="1899-12-30T10:41:00"/>
    <d v="1899-12-30T10:50:00"/>
    <n v="86"/>
    <n v="52"/>
    <d v="1899-12-30T10:55:02"/>
    <d v="1899-12-30T11:40:00"/>
    <n v="45"/>
    <m/>
    <m/>
    <m/>
    <s v="SHME OR 06"/>
    <s v="General"/>
    <s v="No"/>
    <s v="Bansal, Vishal, Md"/>
    <s v="LAPAROSCOPY, SURGICAL; CHOLECYSTECTOMY"/>
    <s v="LAPAROSCOPY, SURGICAL; CHOLECYSTECTOMY - N/A"/>
    <s v="Sun"/>
    <m/>
    <m/>
    <m/>
    <s v="BANSAL, VISHAL"/>
    <m/>
    <s v="Vishal Bansal, MD"/>
    <m/>
    <s v="Bansal"/>
  </r>
  <r>
    <d v="2026-08-02T00:00:00"/>
    <s v="6614830"/>
    <s v="Appling, Steven B"/>
    <s v="Inpatient"/>
    <x v="0"/>
    <n v="3901441944"/>
    <s v="200688064"/>
    <d v="1945-10-20T00:00:00"/>
    <s v="Chitlur, Abhijith Harish, MD"/>
    <s v="General"/>
    <s v="4"/>
    <d v="1899-12-30T11:13:00"/>
    <d v="1899-12-30T11:59:00"/>
    <n v="46"/>
    <d v="1899-12-30T11:00:00"/>
    <d v="1899-12-30T11:45:00"/>
    <n v="75"/>
    <d v="1899-12-30T11:13:00"/>
    <d v="1899-12-30T11:53:00"/>
    <n v="40"/>
    <d v="1899-12-30T11:39:00"/>
    <d v="1899-12-30T11:49:00"/>
    <d v="1899-12-30T11:53:00"/>
    <n v="40"/>
    <n v="10"/>
    <d v="1899-12-30T11:56:06"/>
    <d v="1899-12-30T13:23:46"/>
    <n v="87"/>
    <m/>
    <m/>
    <m/>
    <s v="SHME OR 07"/>
    <s v="Urology"/>
    <s v="No"/>
    <s v="Holden, Marc Mccaslin, Md"/>
    <s v="CYSTOURETHROSCOPY, WITH INSERTION OF INDWELLING URETERAL STENT (EG,GIBBONS OR DOUBLE-J TYPE)"/>
    <s v="cystoscopy, left ureteral stent placement - Left"/>
    <s v="Sun"/>
    <m/>
    <m/>
    <m/>
    <s v="HOLDEN, MARC MCCASLIN"/>
    <m/>
    <s v="Marc McCaslin Holden, MD"/>
    <m/>
    <s v="Holden"/>
  </r>
  <r>
    <d v="2026-08-02T00:00:00"/>
    <s v="6614878"/>
    <s v="Gates, Ray"/>
    <s v="Inpatient"/>
    <x v="0"/>
    <n v="3901440472"/>
    <s v="811479506"/>
    <d v="1980-11-02T00:00:00"/>
    <s v="Vasant, Kris Kishore, MD"/>
    <s v="General"/>
    <s v="3"/>
    <d v="1899-12-30T07:35:00"/>
    <d v="1899-12-30T09:03:00"/>
    <n v="88"/>
    <d v="1899-12-30T07:30:00"/>
    <d v="1899-12-30T10:35:00"/>
    <n v="215"/>
    <d v="1899-12-30T07:35:00"/>
    <d v="1899-12-30T08:59:00"/>
    <n v="84"/>
    <d v="1899-12-30T08:13:00"/>
    <d v="1899-12-30T08:50:00"/>
    <d v="1899-12-30T08:59:00"/>
    <n v="84"/>
    <n v="37"/>
    <d v="1899-12-30T09:00:51"/>
    <d v="1899-12-30T09:56:36"/>
    <n v="56"/>
    <m/>
    <m/>
    <m/>
    <s v="SHME OR 02"/>
    <s v="Plastics"/>
    <s v="No"/>
    <s v="Hess, Jason R, Md"/>
    <s v="SURGICAL PREPARATION OR CREATION OF RECIPIENT SITE BY EXCISION OF OPENWOUNDS, BURN ESCHAR, OR SCAR (INCLUDING SUBCUTANEOUS TISSUES), ORINCISIONAL RELEASE OF SCAR CONTRACTURE, TRUNK, ARMS, LEGS; FIRS_x000a_SPLIT-THICKNESS AUTOGRAFT, TRUNK, ARMS, LEGS; FIRST 100 SQ CM OR LESS,OR 1% OF BODY AREA OF INFANTS AND CHILDREN (EXCEPT 15050)_x000a_SPLIT-THICKNESS AUTOGRAFT, TRUNK, ARMS, LEGS; EACH ADDITIONAL 100 SQ CM,OR EACH ADDITIONAL 1% OF BODY AREA OF INFANTS AND CHILDREN, OR PARTTHEREOF (LIST SEPARATELY IN ADDITION TO CODE FOR PRIMARY PR_x000a_TOPICAL APPLICATION(S), WOUND ASSESSMENT, AND INSTRUCTION(S) FOR ONGOIN"/>
    <s v="debridement left lower extremity, split thickness skin graft, donor site left thigh, wound vac - Left"/>
    <s v="Sun"/>
    <m/>
    <m/>
    <m/>
    <s v="HESS, JASON R"/>
    <m/>
    <s v="Jason R Hess, MD"/>
    <m/>
    <s v="Hess"/>
  </r>
  <r>
    <d v="2026-08-02T00:00:00"/>
    <s v="6614898"/>
    <s v="Hicks, Christopher C"/>
    <s v="Inpatient"/>
    <x v="0"/>
    <n v="3901444371"/>
    <s v="810541944"/>
    <d v="1965-09-29T00:00:00"/>
    <s v="Vasant, Kris Kishore, MD"/>
    <s v="General"/>
    <s v="3"/>
    <d v="1899-12-30T09:23:00"/>
    <d v="1899-12-30T10:43:00"/>
    <n v="80"/>
    <d v="1899-12-30T09:30:00"/>
    <d v="1899-12-30T11:30:00"/>
    <n v="150"/>
    <d v="1899-12-30T09:23:00"/>
    <d v="1899-12-30T10:37:00"/>
    <n v="74"/>
    <d v="1899-12-30T10:11:00"/>
    <d v="1899-12-30T10:34:00"/>
    <d v="1899-12-30T10:37:00"/>
    <n v="74"/>
    <n v="23"/>
    <d v="1899-12-30T10:38:45"/>
    <d v="1899-12-30T12:14:23"/>
    <n v="96"/>
    <m/>
    <m/>
    <m/>
    <s v="SHME OR 05"/>
    <s v="Plastics"/>
    <s v="Yes"/>
    <s v="Hess, Jason R, Md"/>
    <s v="EXCISION, SACRAL PRESSURE ULCER, IN PREPARATION FOR MUSCLE ORMYOCUTANEOUS FLAP OR SKIN GRAFT CLOSURE; WITH OSTECTOMY_x000a_TOPICAL APPLICATION(S), WOUND ASSESSMENT, AND INSTRUCTION(S) FOR ONGOIN_x000a_APPLICATION OF SKIN SUBSTITUTE GRAFT TO TRUNK, ARMS, LEGS, TOTAL WOUNDSURFACE AREA UP TO 100 SQ CM; FIRST 25 SQ CM OR LESS WOUND SURFACE AREA"/>
    <s v="excision of sacral ulcer, possible skin substitute, possible wound vac - N/A"/>
    <s v="Sun"/>
    <m/>
    <s v="ED/IP/IC"/>
    <m/>
    <s v="HESS, JASON R"/>
    <m/>
    <s v="Jason R Hess, MD"/>
    <m/>
    <s v="Hess"/>
  </r>
  <r>
    <d v="2026-08-02T00:00:00"/>
    <s v="6615133"/>
    <s v="Michener, Sarah A"/>
    <s v="Inpatient"/>
    <x v="0"/>
    <n v="3901445196"/>
    <s v="701918712"/>
    <d v="1952-12-20T00:00:00"/>
    <s v="Vasant, Kris Kishore, MD"/>
    <s v="Regional"/>
    <s v="2"/>
    <d v="1899-12-30T15:18:00"/>
    <d v="1899-12-30T16:25:00"/>
    <n v="67"/>
    <d v="1899-12-30T15:35:00"/>
    <d v="1899-12-30T17:55:00"/>
    <n v="170"/>
    <d v="1899-12-30T15:18:00"/>
    <d v="1899-12-30T16:19:00"/>
    <n v="61"/>
    <d v="1899-12-30T15:46:00"/>
    <d v="1899-12-30T16:18:00"/>
    <d v="1899-12-30T16:19:00"/>
    <n v="61"/>
    <n v="32"/>
    <d v="1899-12-30T16:23:33"/>
    <d v="1899-12-30T16:59:00"/>
    <n v="36"/>
    <m/>
    <m/>
    <m/>
    <s v="SHME OR 05"/>
    <s v="Orthopedics"/>
    <s v="No"/>
    <s v="Dromsky, David Michael, Md"/>
    <s v="OPEN TREATMENT OF TRIMALLEOLAR ANKLE FRACTURE, INCLUDES INTERNALFIXATION, WHEN PERFORMED, MEDIAL AND/OR LATERAL MALLEOLUS; WITHOUTFIXATION OF POSTERIOR LIP"/>
    <s v="closed versus open reduction, external versus internal fixation right ankle fracture - Right"/>
    <s v="Sun"/>
    <m/>
    <m/>
    <m/>
    <s v="DROMSKY, DAVID MICHAEL"/>
    <m/>
    <s v="David Michael Dromsky, MD"/>
    <m/>
    <s v="Dromsky"/>
  </r>
  <r>
    <d v="2026-08-02T00:00:00"/>
    <s v="6615141"/>
    <s v="Ortiz, Bryan"/>
    <s v="Inpatient"/>
    <x v="0"/>
    <n v="3901445174"/>
    <s v="110042845"/>
    <d v="1992-04-13T00:00:00"/>
    <s v="Vasant, Kris Kishore, MD"/>
    <s v="General"/>
    <s v="2"/>
    <d v="1899-12-30T11:53:00"/>
    <d v="1899-12-30T14:54:00"/>
    <n v="181"/>
    <d v="1899-12-30T11:30:00"/>
    <d v="1899-12-30T14:30:00"/>
    <n v="210"/>
    <d v="1899-12-30T11:53:00"/>
    <d v="1899-12-30T14:44:00"/>
    <n v="171"/>
    <d v="1899-12-30T12:23:00"/>
    <d v="1899-12-30T14:38:00"/>
    <d v="1899-12-30T14:44:00"/>
    <n v="171"/>
    <n v="135"/>
    <d v="1899-12-30T14:44:59"/>
    <d v="1899-12-30T15:39:42"/>
    <n v="55"/>
    <m/>
    <m/>
    <m/>
    <s v="SHME OR 09"/>
    <s v="Orthopedics"/>
    <s v="No"/>
    <s v="Dromsky, David Michael, Md"/>
    <s v="OPEN TREATMENT OF RADIAL AND ULNAR SHAFT FRACTURES, WITH INTERNALFIXATION, WHEN PERFORMED; OF RADIUS AND ULNA_x000a_MANUAL APPLICATION OF STRESS PERFORMED BY PHYSICIAN OR OTHER QUALIFIEDHEALTH CARE PROFESSIONAL FOR JOINT RADIOGRAPHY, INCLUDING CONTRALATERALJOINT IF INDICATED"/>
    <s v="open treatment left both bone forearm fracture - Left"/>
    <s v="Sun"/>
    <m/>
    <m/>
    <m/>
    <s v="DROMSKY, DAVID MICHAEL"/>
    <m/>
    <s v="David Michael Dromsky, MD"/>
    <m/>
    <s v="Dromsky"/>
  </r>
  <r>
    <d v="2026-08-02T00:00:00"/>
    <s v="6615305"/>
    <s v="Ocampo, Claudia"/>
    <s v="Inpatient"/>
    <x v="0"/>
    <n v="3901445299"/>
    <s v="400446602"/>
    <d v="1972-11-14T00:00:00"/>
    <s v="Chitlur, Abhijith Harish, MD"/>
    <s v="Monitor Anesthesia Care"/>
    <s v="3"/>
    <d v="1899-12-30T14:19:00"/>
    <d v="1899-12-30T15:06:00"/>
    <n v="47"/>
    <d v="1899-12-30T14:30:00"/>
    <d v="1899-12-30T15:30:00"/>
    <n v="90"/>
    <d v="1899-12-30T14:19:00"/>
    <d v="1899-12-30T15:00:00"/>
    <n v="41"/>
    <d v="1899-12-30T14:40:00"/>
    <d v="1899-12-30T14:55:00"/>
    <d v="1899-12-30T15:00:00"/>
    <n v="41"/>
    <n v="15"/>
    <d v="1899-12-30T15:04:13"/>
    <d v="1899-12-30T16:11:30"/>
    <n v="67"/>
    <m/>
    <m/>
    <m/>
    <s v="SHME OR 03"/>
    <s v="Podiatry"/>
    <s v="Yes"/>
    <s v="Rice, Brittany Michelle Caridad, Dpm"/>
    <s v="AMPUTATION, TOE; METATARSOPHALANGEAL JOINT_x000a_AMPUTATION, METATARSAL, WITH TOE, SINGLE"/>
    <s v="AMPUTATION, TOE; METATARSOPHALANGEAL JOINT - Right"/>
    <s v="Sun"/>
    <m/>
    <m/>
    <m/>
    <s v="RICE, BRITTANY MICHELLE CARIDAD"/>
    <m/>
    <s v="Brittany Michelle Caridad Rice, DPM"/>
    <m/>
    <s v="Rice"/>
  </r>
  <r>
    <d v="2026-08-02T00:00:00"/>
    <s v="6615448"/>
    <s v="Mendez-Garcia, Karely A"/>
    <s v="Inpatient"/>
    <x v="0"/>
    <n v="3901445294"/>
    <s v="811482805"/>
    <d v="1997-04-23T00:00:00"/>
    <s v="Vasant, Kris Kishore, MD"/>
    <s v="Regional"/>
    <s v="2"/>
    <d v="1899-12-30T16:54:00"/>
    <d v="1899-12-30T18:40:00"/>
    <n v="106"/>
    <d v="1899-12-30T18:35:00"/>
    <d v="1899-12-30T20:20:00"/>
    <n v="135"/>
    <d v="1899-12-30T16:54:00"/>
    <d v="1899-12-30T18:35:00"/>
    <n v="101"/>
    <d v="1899-12-30T17:23:00"/>
    <d v="1899-12-30T18:33:00"/>
    <d v="1899-12-30T18:35:00"/>
    <n v="101"/>
    <n v="70"/>
    <d v="1899-12-30T18:41:09"/>
    <d v="1899-12-30T19:35:59"/>
    <n v="54"/>
    <m/>
    <m/>
    <m/>
    <s v="SHME OR 09"/>
    <s v="Orthopedics"/>
    <s v="No"/>
    <s v="Dromsky, David Michael, Md"/>
    <s v="DEBRIDEMENT INCLUDING REMOVAL OF FOREIGN MATERIAL AT THE SITE OF AN OPENFRACTURE AND/OR AN OPEN DISLOCATION (EG, EXCISIONAL DEBRIDEMENT); SKIN,SUBCUTANEOUS TISSUE, MUSCLE FASCIA, MUSCLE, AND BONE_x000a_APPLICATION OF A UNIPLANE (PINS OR WIRES IN 1 PLANE), UNILATERAL,EXTERNAL FIXATION SYSTEM"/>
    <s v="DEBRIDEMENT INCLUDING REMOVAL OF FOREIGN MATERIAL AT THE SITE OF AN OPENFRACTURE AND/OR AN OPEN DISLOCATION (EG, EXCISIONAL DEBRIDEMENT); SKIN,SUBCUTANEOUS TISSUE, MUSCLE FASCIA, MUSCLE, AND BONE - Left"/>
    <s v="Sun"/>
    <m/>
    <m/>
    <m/>
    <s v="DROMSKY, DAVID MICHAEL"/>
    <m/>
    <s v="David Michael Dromsky, MD"/>
    <m/>
    <s v="Dromsky"/>
  </r>
  <r>
    <d v="2026-08-02T00:00:00"/>
    <s v="6615484"/>
    <s v="Beverly, Jocelyn E"/>
    <s v="Inpatient"/>
    <x v="0"/>
    <n v="3400726628"/>
    <s v="701935340"/>
    <d v="1988-04-14T00:00:00"/>
    <s v="Chitlur, Abhijith Harish, MD"/>
    <s v="General"/>
    <s v="3"/>
    <d v="1899-12-30T13:05:00"/>
    <d v="1899-12-30T13:45:00"/>
    <n v="40"/>
    <d v="1899-12-30T14:00:00"/>
    <d v="1899-12-30T14:45:00"/>
    <n v="75"/>
    <d v="1899-12-30T13:05:00"/>
    <d v="1899-12-30T13:41:00"/>
    <n v="36"/>
    <d v="1899-12-30T13:24:00"/>
    <d v="1899-12-30T13:34:00"/>
    <d v="1899-12-30T13:41:00"/>
    <n v="36"/>
    <n v="10"/>
    <d v="1899-12-30T13:42:20"/>
    <d v="1899-12-30T14:13:45"/>
    <n v="31"/>
    <m/>
    <m/>
    <m/>
    <s v="SHME OR 07"/>
    <s v="Urology"/>
    <s v="No"/>
    <s v="Holden, Marc Mccaslin, Md"/>
    <s v="CYSTOURETHROSCOPY, WITH INSERTION OF INDWELLING URETERAL STENT (EG,GIBBONS OR DOUBLE-J TYPE)"/>
    <s v="CYSTOURETHROSCOPY, WITH INSERTION OF INDWELLING URETERAL STENT (EG,GIBBONS OR DOUBLE-J TYPE) - Left"/>
    <s v="Sun"/>
    <m/>
    <m/>
    <m/>
    <s v="HOLDEN, MARC MCCASLIN"/>
    <m/>
    <s v="Marc McCaslin Holden, MD"/>
    <m/>
    <s v="Holden"/>
  </r>
  <r>
    <d v="2026-08-02T00:00:00"/>
    <s v="6615994"/>
    <s v="Duarte Hernandez, Aracely"/>
    <s v="Inpatient"/>
    <x v="0"/>
    <n v="3901445453"/>
    <s v="811482932"/>
    <d v="2006-02-13T00:00:00"/>
    <s v="Stradleigh, Ryan Kellian, DO"/>
    <s v="General"/>
    <s v="5"/>
    <d v="1899-12-30T16:30:00"/>
    <d v="1899-12-30T19:46:00"/>
    <n v="196"/>
    <d v="1899-12-30T16:35:00"/>
    <d v="1899-12-30T19:40:00"/>
    <n v="215"/>
    <d v="1899-12-30T16:30:00"/>
    <d v="1899-12-30T19:41:00"/>
    <n v="191"/>
    <d v="1899-12-30T17:17:00"/>
    <d v="1899-12-30T19:31:00"/>
    <d v="1899-12-30T19:41:00"/>
    <n v="191"/>
    <n v="134"/>
    <m/>
    <m/>
    <m/>
    <m/>
    <m/>
    <m/>
    <s v="SHME OR 01"/>
    <s v="Neurosurgery"/>
    <s v="No"/>
    <s v="Zauner, Alois, Md"/>
    <s v="CRANIECTOMY OR CRANIOTOMY FOR EVACUATION OF HEMATOMA, SUPRATENTORIAL;EXTRADURAL OR SUBDURAL"/>
    <s v="CRANIECTOMY OR CRANIOTOMY FOR EVACUATION OF HEMATOMA, SUPRATENTORIAL;EXTRADURAL OR SUBDURAL - Right"/>
    <s v="Sun"/>
    <m/>
    <m/>
    <m/>
    <s v="ZAUNER, ALOIS"/>
    <m/>
    <s v="Alois Zauner, MD"/>
    <m/>
    <s v="Zauner"/>
  </r>
  <r>
    <d v="2026-08-03T00:00:00"/>
    <s v="6508910"/>
    <s v="Aguirre, Nichole"/>
    <s v="Inpatient"/>
    <x v="0"/>
    <n v="3901425645"/>
    <s v="811448240"/>
    <d v="2004-01-25T00:00:00"/>
    <s v="Ramos, Joshua Neftalie, MD"/>
    <s v="General"/>
    <s v="3"/>
    <d v="1899-12-30T08:17:00"/>
    <d v="1899-12-30T10:03:00"/>
    <n v="106"/>
    <d v="1899-12-30T08:00:00"/>
    <d v="1899-12-30T09:30:00"/>
    <n v="90"/>
    <d v="1899-12-30T08:17:00"/>
    <d v="1899-12-30T09:54:00"/>
    <n v="97"/>
    <d v="1899-12-30T08:58:00"/>
    <d v="1899-12-30T09:46:00"/>
    <d v="1899-12-30T09:54:00"/>
    <n v="97"/>
    <n v="48"/>
    <d v="1899-12-30T09:55:16"/>
    <d v="1899-12-30T10:05:00"/>
    <n v="10"/>
    <m/>
    <m/>
    <m/>
    <s v="SHME OR 15"/>
    <s v="General"/>
    <s v="No"/>
    <s v="Taller, Janos, Md"/>
    <s v="LAPAROSCOPY, SURGICAL, GASTRIC RESTRICTIVE PROCEDURE; LONGITUDINALGASTRECTOMY (IE, SLEEVE GASTRECTOMY)"/>
    <s v="ROBOTIC SLEEVE GASTRECTOMY - N/A"/>
    <s v="Mon"/>
    <m/>
    <m/>
    <m/>
    <s v="TALLER, JANOS_x000a_BERTUCCI, WILLIAM ROBERT"/>
    <s v="Panel 1: Dr. Taller, Janos, MD / Bertucci, William Robert, MD"/>
    <s v="Janos Taller, MD"/>
    <m/>
    <s v="Taller"/>
  </r>
  <r>
    <d v="2026-08-03T00:00:00"/>
    <s v="6515620"/>
    <s v="Avila, Marco A Jr."/>
    <s v="Outpatient"/>
    <x v="1"/>
    <n v="3901426546"/>
    <s v="811442687"/>
    <d v="2000-08-15T00:00:00"/>
    <s v="Chitlur, Abhijith Harish, MD"/>
    <s v="General"/>
    <s v="1"/>
    <d v="1899-12-30T08:07:00"/>
    <d v="1899-12-30T09:38:00"/>
    <n v="91"/>
    <d v="1899-12-30T08:00:00"/>
    <d v="1899-12-30T09:30:00"/>
    <n v="90"/>
    <d v="1899-12-30T08:07:00"/>
    <d v="1899-12-30T09:33:00"/>
    <n v="86"/>
    <d v="1899-12-30T08:34:00"/>
    <d v="1899-12-30T09:19:00"/>
    <d v="1899-12-30T09:33:00"/>
    <n v="86"/>
    <n v="45"/>
    <d v="1899-12-30T09:35:00"/>
    <d v="1899-12-30T10:14:00"/>
    <n v="39"/>
    <d v="1899-12-30T10:15:00"/>
    <d v="1899-12-30T11:10:00"/>
    <n v="55"/>
    <s v="SHME OR 09"/>
    <s v="Plastics"/>
    <s v="No"/>
    <s v="Garg, Ravi, Md"/>
    <s v="RECONSTRUCTION MIDFACE, LEFORT I; 2 PIECES, SEGMENT MOVEMENT IN ANYDIRECTION, WITHOUT BONE GRAFT"/>
    <s v="2 PIECE LEFORT 1 MAXILLARY OSTEOTOMY - N/A"/>
    <s v="Mon"/>
    <m/>
    <m/>
    <m/>
    <s v="GARG, RAVI"/>
    <m/>
    <s v="Ravi Garg, MD"/>
    <m/>
    <s v="Garg"/>
  </r>
  <r>
    <d v="2026-08-03T00:00:00"/>
    <s v="6516238"/>
    <s v="Thompson, Colette B"/>
    <s v="Outpatient"/>
    <x v="1"/>
    <n v="3901426659"/>
    <s v="810037478"/>
    <d v="1958-10-21T00:00:00"/>
    <s v="Yehushua, Liora, MD"/>
    <s v="Regional"/>
    <s v="3"/>
    <d v="1899-12-30T15:53:00"/>
    <d v="1899-12-30T19:23:00"/>
    <n v="210"/>
    <d v="1899-12-30T15:00:00"/>
    <d v="1899-12-30T17:30:00"/>
    <n v="150"/>
    <d v="1899-12-30T15:53:00"/>
    <d v="1899-12-30T19:16:00"/>
    <n v="203"/>
    <d v="1899-12-30T16:42:00"/>
    <d v="1899-12-30T18:54:00"/>
    <d v="1899-12-30T19:16:00"/>
    <n v="203"/>
    <n v="132"/>
    <d v="1899-12-30T19:23:06"/>
    <d v="1899-12-30T20:24:31"/>
    <n v="61"/>
    <m/>
    <m/>
    <m/>
    <s v="SHME OR 07"/>
    <s v="Orthopedics"/>
    <s v="No"/>
    <s v="Erwteman, Andrew Scot, Md"/>
    <s v="ARTHROSCOPY, SHOULDER, SURGICAL; WITH ROTATOR CUFF REPAIR_x000a_ARTHROSCOPY, SHOULDER, SURGICAL; DECOMPRESSION OF SUBACROMIAL SPACE WITHPARTIAL ACROMIOPLASTY, WITH OR WITHOUT CORACOACROMIAL RELEASE_x000a_ARTHROSCOPY, SHOULDER, SURGICAL; BICEPS TENODESIS"/>
    <s v="RIGHT SHOULDER ARTHROSCOPIC ROTATOR CUFF REPAIR, SUBACROMIAL DECOMPRESSION, BICEPS TENODESIS - Right"/>
    <s v="Mon"/>
    <m/>
    <m/>
    <m/>
    <s v="ERWTEMAN, ANDREW SCOT"/>
    <m/>
    <s v="Andrew Scot Erwteman, MD"/>
    <m/>
    <s v="Erwteman"/>
  </r>
  <r>
    <d v="2026-08-03T00:00:00"/>
    <s v="6529781"/>
    <s v="Matthews, Mary Ellen"/>
    <s v="Inpatient"/>
    <x v="0"/>
    <n v="3901429199"/>
    <s v="810506126"/>
    <d v="1947-09-15T00:00:00"/>
    <s v="Narla, Vinod Venkat, MD"/>
    <s v="General"/>
    <s v="3"/>
    <d v="1899-12-30T12:56:00"/>
    <d v="1899-12-30T15:24:00"/>
    <n v="148"/>
    <d v="1899-12-30T12:15:00"/>
    <d v="1899-12-30T15:00:00"/>
    <n v="165"/>
    <d v="1899-12-30T12:56:00"/>
    <d v="1899-12-30T15:16:00"/>
    <n v="140"/>
    <d v="1899-12-30T13:53:00"/>
    <d v="1899-12-30T15:02:00"/>
    <d v="1899-12-30T15:16:00"/>
    <n v="140"/>
    <n v="69"/>
    <d v="1899-12-30T15:18:00"/>
    <d v="1899-12-30T15:55:00"/>
    <n v="37"/>
    <m/>
    <m/>
    <m/>
    <s v="SHME OR 04"/>
    <s v="Cardiothoracic"/>
    <s v="Yes"/>
    <s v="Hemp, James Robert, Md"/>
    <s v="THROMBOENDARTERECTOMY, INCLUDING PATCH GRAFT, IF PERFORMED; CAROTID,VERTEBRAL, SUBCLAVIAN, BY NECK INCISION"/>
    <s v="LEFT CAROTID ENDARTERECTOMY - Left"/>
    <s v="Mon"/>
    <m/>
    <m/>
    <m/>
    <s v="HEMP, JAMES ROBERT"/>
    <m/>
    <s v="James Robert Hemp, MD"/>
    <m/>
    <s v="Hemp"/>
  </r>
  <r>
    <d v="2026-08-03T00:00:00"/>
    <s v="6530351"/>
    <s v="Murphy, Tara M"/>
    <s v="Outpatient"/>
    <x v="1"/>
    <n v="3901429321"/>
    <s v="700390817"/>
    <d v="1973-10-15T00:00:00"/>
    <s v="Saunders, Reed Michael, MD"/>
    <s v="General"/>
    <s v="2"/>
    <d v="1899-12-30T12:02:00"/>
    <d v="1899-12-30T12:48:00"/>
    <n v="46"/>
    <d v="1899-12-30T12:15:00"/>
    <d v="1899-12-30T13:15:00"/>
    <n v="60"/>
    <d v="1899-12-30T12:02:00"/>
    <d v="1899-12-30T12:41:00"/>
    <n v="39"/>
    <d v="1899-12-30T12:19:00"/>
    <d v="1899-12-30T12:33:00"/>
    <d v="1899-12-30T12:41:00"/>
    <n v="39"/>
    <n v="14"/>
    <d v="1899-12-30T12:43:59"/>
    <d v="1899-12-30T13:40:10"/>
    <n v="57"/>
    <d v="1899-12-30T13:40:12"/>
    <d v="1899-12-30T14:30:00"/>
    <n v="50"/>
    <s v="SHME OR 14"/>
    <s v="Gynecology"/>
    <s v="No"/>
    <s v="Brahmbhatt, Bhoomi Manoj, Md"/>
    <s v="HYSTEROSCOPY, SURGICAL; WITH SAMPLING (BIOPSY) OF ENDOMETRIUM AND/ORPOLYPECTOMY, WITH OR WITHOUT D &amp; C"/>
    <s v="HYSTEROSCOPY DILATION AND CURETTAGE POLYPECTOMY - N/A"/>
    <s v="Mon"/>
    <m/>
    <m/>
    <m/>
    <s v="BRAHMBHATT, BHOOMI MANOJ"/>
    <m/>
    <s v="Bhoomi Manoj Brahmbhatt, MD (858-493-1833)"/>
    <m/>
    <s v="Brahmbhatt"/>
  </r>
  <r>
    <d v="2026-08-03T00:00:00"/>
    <s v="6533227"/>
    <s v="Laiche, John T"/>
    <s v="Inpatient"/>
    <x v="0"/>
    <n v="3901429754"/>
    <s v="600943843"/>
    <d v="1956-12-12T00:00:00"/>
    <s v="Kim, Eung Do, MD"/>
    <s v="General"/>
    <s v="2"/>
    <d v="1899-12-30T08:13:00"/>
    <d v="1899-12-30T11:21:00"/>
    <n v="188"/>
    <d v="1899-12-30T08:00:00"/>
    <d v="1899-12-30T10:30:00"/>
    <n v="150"/>
    <d v="1899-12-30T08:13:00"/>
    <d v="1899-12-30T11:16:00"/>
    <n v="183"/>
    <d v="1899-12-30T08:41:00"/>
    <d v="1899-12-30T11:07:00"/>
    <d v="1899-12-30T11:16:00"/>
    <n v="183"/>
    <n v="146"/>
    <d v="1899-12-30T11:19:10"/>
    <d v="1899-12-30T12:08:39"/>
    <n v="49"/>
    <m/>
    <m/>
    <m/>
    <s v="SHME OR 10"/>
    <s v="Urology"/>
    <s v="No"/>
    <s v="Salem, Carol Elizabeth, Md"/>
    <s v="LAPAROSCOPY, SURGICAL PROSTATECTOMY, RETROPUBIC RADICAL, INCLUDING NERVESPARING, INCLUDES ROBOTIC ASSISTANCE, WHEN PERFORMED"/>
    <s v="ROBOTIC RADICAL PROSTATECTOMY - N/A"/>
    <s v="Mon"/>
    <m/>
    <m/>
    <m/>
    <s v="SALEM, CAROL ELIZABETH"/>
    <m/>
    <s v="Carol Elizabeth Salem, MD"/>
    <m/>
    <s v="Salem"/>
  </r>
  <r>
    <d v="2026-08-03T00:00:00"/>
    <s v="6333536"/>
    <s v="Ahmu, Leilani K"/>
    <s v="Outpatient"/>
    <x v="1"/>
    <n v="3901394165"/>
    <s v="701034917"/>
    <d v="1982-07-13T00:00:00"/>
    <s v="Saunders, Reed Michael, MD"/>
    <s v="General"/>
    <s v="2"/>
    <d v="1899-12-30T08:05:00"/>
    <d v="1899-12-30T08:59:00"/>
    <n v="54"/>
    <d v="1899-12-30T08:00:00"/>
    <d v="1899-12-30T09:00:00"/>
    <n v="60"/>
    <d v="1899-12-30T08:05:00"/>
    <d v="1899-12-30T08:56:00"/>
    <n v="51"/>
    <d v="1899-12-30T08:27:00"/>
    <d v="1899-12-30T08:49:00"/>
    <d v="1899-12-30T08:56:00"/>
    <n v="51"/>
    <n v="22"/>
    <d v="1899-12-30T08:58:33"/>
    <d v="1899-12-30T10:06:00"/>
    <n v="68"/>
    <d v="1899-12-30T10:07:00"/>
    <d v="1899-12-30T10:38:00"/>
    <n v="31"/>
    <s v="SHME OR 14"/>
    <s v="Gynecology"/>
    <s v="No"/>
    <s v="Gonzalez, Marisa Camille, Md"/>
    <s v="HYSTEROSCOPY, SURGICAL; WITH SAMPLING (BIOPSY) OF ENDOMETRIUM AND/ORPOLYPECTOMY, WITH OR WITHOUT D &amp; C_x000a_HYSTEROSCOPY, SURGICAL; WITH ENDOMETRIAL ABLATION (EG, ENDOMETRIALRESECTION, ELECTROSURGICAL ABLATION, THERMOABLATION)"/>
    <s v="DIAGNOSTIC HYSTEROSCOPY, POLYPECTOMY, DILATION AND CURETTAGE, AND NOVASURE ENDOMETRIAL ABLATION - N/A"/>
    <s v="Mon"/>
    <m/>
    <m/>
    <m/>
    <s v="GONZALEZ, MARISA CAMILLE"/>
    <m/>
    <s v="Marisa Camille Gonzalez, MD"/>
    <m/>
    <s v="Gonzalez"/>
  </r>
  <r>
    <d v="2026-08-03T00:00:00"/>
    <s v="6536164"/>
    <s v="Jackson, Melody E"/>
    <s v="Inpatient"/>
    <x v="0"/>
    <n v="3901430294"/>
    <s v="110200678"/>
    <d v="1960-11-27T00:00:00"/>
    <s v="Li, Robin T, MD"/>
    <s v="Regional"/>
    <s v="3"/>
    <d v="1899-12-30T15:51:00"/>
    <d v="1899-12-30T18:31:00"/>
    <n v="160"/>
    <d v="1899-12-30T15:00:00"/>
    <d v="1899-12-30T17:15:00"/>
    <n v="135"/>
    <d v="1899-12-30T15:50:00"/>
    <d v="1899-12-30T18:24:00"/>
    <n v="154"/>
    <d v="1899-12-30T16:32:00"/>
    <d v="1899-12-30T18:04:00"/>
    <d v="1899-12-30T18:24:00"/>
    <n v="154"/>
    <n v="92"/>
    <d v="1899-12-30T18:25:00"/>
    <d v="1899-12-30T19:38:00"/>
    <n v="73"/>
    <m/>
    <m/>
    <m/>
    <s v="SHME OR 01"/>
    <s v="Orthopedics"/>
    <s v="No"/>
    <s v="Fabi, David William, Md"/>
    <s v="REVISION OF TOTAL KNEE ARTHROPLASTY, WITH OR WITHOUT ALLOGRAFT; FEMORALAND ENTIRE TIBIAL COMPONENT"/>
    <s v="REVISION OF TOTAL RIGHT KNEE ARTHROPLASTY - Right"/>
    <s v="Mon"/>
    <m/>
    <m/>
    <m/>
    <s v="FABI, DAVID WILLIAM"/>
    <m/>
    <s v="David William Fabi, MD"/>
    <m/>
    <s v="Fabi"/>
  </r>
  <r>
    <d v="2026-08-03T00:00:00"/>
    <s v="6554698"/>
    <s v="Reel, Joanne Marie"/>
    <s v="Inpatient"/>
    <x v="0"/>
    <n v="3901433314"/>
    <s v="100419019"/>
    <d v="1943-09-10T00:00:00"/>
    <s v="Li, Robin T, MD"/>
    <s v="General"/>
    <s v="3"/>
    <d v="1899-12-30T12:27:00"/>
    <d v="1899-12-30T15:11:00"/>
    <n v="164"/>
    <d v="1899-12-30T11:45:00"/>
    <d v="1899-12-30T14:00:00"/>
    <n v="135"/>
    <d v="1899-12-30T12:27:00"/>
    <d v="1899-12-30T15:02:00"/>
    <n v="155"/>
    <d v="1899-12-30T13:05:00"/>
    <d v="1899-12-30T14:54:00"/>
    <d v="1899-12-30T15:02:00"/>
    <n v="155"/>
    <n v="109"/>
    <d v="1899-12-30T15:06:31"/>
    <d v="1899-12-30T15:52:50"/>
    <n v="46"/>
    <m/>
    <m/>
    <m/>
    <s v="SHME OR 01"/>
    <s v="Orthopedics"/>
    <s v="No"/>
    <s v="Fabi, David William, Md"/>
    <s v="ARTHROPLASTY, ACETABULAR AND PROXIMAL FEMORAL PROSTHETIC REPLACEMENT(TOTAL HIP ARTHROPLASTY), WITH OR WITHOUT AUTOGRAFT OR ALLOGRAFT"/>
    <s v="TOTAL LEFT ANTERIOR HIP ARTHROPLASTY - Left"/>
    <s v="Mon"/>
    <m/>
    <m/>
    <m/>
    <s v="FABI, DAVID WILLIAM"/>
    <m/>
    <s v="David William Fabi, MD"/>
    <m/>
    <s v="Fabi"/>
  </r>
  <r>
    <d v="2026-08-03T00:00:00"/>
    <s v="6560002"/>
    <s v="Kreder, Pat A"/>
    <s v="Inpatient"/>
    <x v="0"/>
    <n v="3901434194"/>
    <s v="610861521"/>
    <d v="1945-09-01T00:00:00"/>
    <s v="Fan, Ting-Wei, MD"/>
    <s v="General"/>
    <s v="3"/>
    <d v="1899-12-30T10:51:00"/>
    <d v="1899-12-30T13:09:00"/>
    <n v="138"/>
    <d v="1899-12-30T10:15:00"/>
    <d v="1899-12-30T12:15:00"/>
    <n v="120"/>
    <d v="1899-12-30T10:51:00"/>
    <d v="1899-12-30T12:59:00"/>
    <n v="128"/>
    <d v="1899-12-30T11:31:00"/>
    <d v="1899-12-30T12:55:00"/>
    <d v="1899-12-30T12:59:00"/>
    <n v="128"/>
    <n v="84"/>
    <d v="1899-12-30T13:03:11"/>
    <d v="1899-12-30T13:31:00"/>
    <n v="28"/>
    <m/>
    <m/>
    <m/>
    <s v="SHME OR 02"/>
    <s v="Orthopedics"/>
    <s v="No"/>
    <s v="Fabi, David William, Md"/>
    <s v="COMPUTER-ASSISTED SURGICAL NAVIGATIONAL PROCEDURE FOR MUSCULOSKELETALPROCEDURES, IMAGE-LESS (LIST SEPARATELY IN ADDITION TO CODE FOR PRIMARYPROCEDURE)_x000a_ARTHROPLASTY, KNEE, CONDYLE AND PLATEAU; MEDIAL AND LATERAL COMPARTMENTSWITH OR WITHOUT PATELLA RESURFACING (TOTAL KNEE ARTHROPLASTY)"/>
    <s v="ROBOTIC TOTAL RIGHT KNEE ARTHROPLASTY - Right"/>
    <s v="Mon"/>
    <m/>
    <m/>
    <m/>
    <s v="FABI, DAVID WILLIAM"/>
    <m/>
    <s v="David William Fabi, MD"/>
    <m/>
    <s v="Fabi"/>
  </r>
  <r>
    <d v="2026-08-03T00:00:00"/>
    <s v="6352019"/>
    <s v="Mares Negrete, Erika Cecilia"/>
    <s v="Outpatient"/>
    <x v="1"/>
    <n v="3901395579"/>
    <s v="811195010"/>
    <d v="1995-02-26T00:00:00"/>
    <s v="Saunders, Reed Michael, MD"/>
    <s v="General"/>
    <s v="3"/>
    <d v="1899-12-30T09:18:00"/>
    <d v="1899-12-30T10:08:00"/>
    <n v="50"/>
    <d v="1899-12-30T09:30:00"/>
    <d v="1899-12-30T10:15:00"/>
    <n v="45"/>
    <d v="1899-12-30T09:18:00"/>
    <d v="1899-12-30T10:03:00"/>
    <n v="45"/>
    <d v="1899-12-30T09:42:00"/>
    <d v="1899-12-30T09:56:00"/>
    <d v="1899-12-30T10:03:00"/>
    <n v="45"/>
    <n v="14"/>
    <d v="1899-12-30T10:05:43"/>
    <d v="1899-12-30T10:38:33"/>
    <n v="33"/>
    <d v="1899-12-30T10:38:00"/>
    <d v="1899-12-30T11:36:00"/>
    <n v="58"/>
    <s v="SHME OR 14"/>
    <s v="Gynecology"/>
    <s v="No"/>
    <s v="Gonzalez, Marisa Camille, Md"/>
    <s v="HYSTEROSCOPY, SURGICAL; WITH SAMPLING (BIOPSY) OF ENDOMETRIUM AND/ORPOLYPECTOMY, WITH OR WITHOUT D &amp; C"/>
    <s v="DIAGNOSTIC HYSTEROSCOPY POSSIBLE POLYPECTOMY DILATION AND CURETTAGE NEED MYOSURE - N/A"/>
    <s v="Mon"/>
    <m/>
    <m/>
    <m/>
    <s v="GONZALEZ, MARISA CAMILLE"/>
    <m/>
    <s v="Marisa Camille Gonzalez, MD"/>
    <m/>
    <s v="Gonzalez"/>
  </r>
  <r>
    <d v="2026-08-03T00:00:00"/>
    <s v="6563176"/>
    <s v="Peay Green, Rochelle D"/>
    <s v="Inpatient"/>
    <x v="0"/>
    <n v="3901434791"/>
    <s v="701985877"/>
    <d v="1964-11-05T00:00:00"/>
    <s v="Baja, Diosdado An Jr., MD"/>
    <s v="Regional"/>
    <s v="2"/>
    <d v="1899-12-30T08:08:00"/>
    <d v="1899-12-30T11:41:00"/>
    <n v="213"/>
    <d v="1899-12-30T08:00:00"/>
    <d v="1899-12-30T11:15:00"/>
    <n v="195"/>
    <d v="1899-12-30T08:08:00"/>
    <d v="1899-12-30T11:37:00"/>
    <n v="209"/>
    <d v="1899-12-30T08:50:00"/>
    <d v="1899-12-30T11:28:00"/>
    <d v="1899-12-30T11:37:00"/>
    <n v="209"/>
    <n v="158"/>
    <d v="1899-12-30T11:40:48"/>
    <d v="1899-12-30T12:04:39"/>
    <n v="24"/>
    <m/>
    <m/>
    <m/>
    <s v="SHME OR 05"/>
    <s v="Orthopedics"/>
    <s v="No"/>
    <s v="Behr, Christopher Todd, Md"/>
    <s v="ARTHROPLASTY, GLENOHUMERAL JOINT; TOTAL SHOULDER (GLENOID AND PROXIMALHUMERAL REPLACEMENT (EG, TOTAL SHOULDER))"/>
    <s v="LEFT REVERSE SHOULDER ARTHROPLASTY - Left"/>
    <s v="Mon"/>
    <m/>
    <m/>
    <m/>
    <s v="BEHR, CHRISTOPHER TODD"/>
    <m/>
    <s v="Christopher Todd Behr, MD"/>
    <m/>
    <s v="Behr"/>
  </r>
  <r>
    <d v="2026-08-03T00:00:00"/>
    <s v="6360821"/>
    <s v="Acedo Ignacio, Mary Madeleine"/>
    <s v="Outpatient"/>
    <x v="1"/>
    <n v="3901396943"/>
    <s v="611618821"/>
    <d v="1964-08-06T00:00:00"/>
    <s v="Saunders, Reed Michael, MD"/>
    <s v="General"/>
    <s v="1"/>
    <d v="1899-12-30T10:44:00"/>
    <d v="1899-12-30T11:28:00"/>
    <n v="44"/>
    <d v="1899-12-30T10:45:00"/>
    <d v="1899-12-30T11:45:00"/>
    <n v="60"/>
    <d v="1899-12-30T10:44:00"/>
    <d v="1899-12-30T11:26:00"/>
    <n v="42"/>
    <d v="1899-12-30T11:02:00"/>
    <d v="1899-12-30T11:15:00"/>
    <d v="1899-12-30T11:26:00"/>
    <n v="42"/>
    <n v="13"/>
    <d v="1899-12-30T11:29:46"/>
    <d v="1899-12-30T12:50:00"/>
    <n v="81"/>
    <d v="1899-12-30T12:51:00"/>
    <d v="1899-12-30T13:40:00"/>
    <n v="49"/>
    <s v="SHME OR 14"/>
    <s v="Gynecology"/>
    <s v="No"/>
    <s v="Brahmbhatt, Bhoomi Manoj, Md"/>
    <s v="HYSTEROSCOPY, SURGICAL; WITH SAMPLING (BIOPSY) OF ENDOMETRIUM AND/ORPOLYPECTOMY, WITH OR WITHOUT D &amp; C"/>
    <s v="HYSTEROSCOPY DILATION AND CURETTAGE - N/A"/>
    <s v="Mon"/>
    <m/>
    <m/>
    <m/>
    <s v="BRAHMBHATT, BHOOMI MANOJ"/>
    <m/>
    <s v="Bhoomi Manoj Brahmbhatt, MD (858-493-1833)"/>
    <m/>
    <s v="Brahmbhatt"/>
  </r>
  <r>
    <d v="2026-08-03T00:00:00"/>
    <s v="6575314"/>
    <s v="James, Jeff P"/>
    <s v="Outpatient"/>
    <x v="1"/>
    <n v="3901437081"/>
    <s v="810338975"/>
    <d v="1964-12-28T00:00:00"/>
    <s v="Li, Robin T, MD"/>
    <s v="General"/>
    <s v="3"/>
    <d v="1899-12-30T08:52:00"/>
    <d v="1899-12-30T11:35:00"/>
    <n v="163"/>
    <d v="1899-12-30T08:30:00"/>
    <d v="1899-12-30T10:45:00"/>
    <n v="135"/>
    <d v="1899-12-30T08:52:00"/>
    <d v="1899-12-30T11:27:00"/>
    <n v="155"/>
    <d v="1899-12-30T09:26:00"/>
    <d v="1899-12-30T11:20:00"/>
    <d v="1899-12-30T11:27:00"/>
    <n v="155"/>
    <n v="114"/>
    <d v="1899-12-30T11:29:05"/>
    <d v="1899-12-30T11:51:00"/>
    <n v="22"/>
    <m/>
    <m/>
    <m/>
    <s v="SHME OR 01"/>
    <s v="Orthopedics"/>
    <s v="No"/>
    <s v="Fabi, David William, Md"/>
    <s v="ARTHROPLASTY, ACETABULAR AND PROXIMAL FEMORAL PROSTHETIC REPLACEMENT(TOTAL HIP ARTHROPLASTY), WITH OR WITHOUT AUTOGRAFT OR ALLOGRAFT"/>
    <s v="RIGHT ANTERIOR TOTAL HIP ARTHROPLASTY - Right"/>
    <s v="Mon"/>
    <m/>
    <m/>
    <m/>
    <s v="FABI, DAVID WILLIAM"/>
    <m/>
    <s v="David William Fabi, MD"/>
    <m/>
    <s v="Fabi"/>
  </r>
  <r>
    <d v="2026-08-03T00:00:00"/>
    <s v="6585592"/>
    <s v="Valdivia Murrillo, Maribel"/>
    <s v="Inpatient"/>
    <x v="0"/>
    <n v="3901439268"/>
    <s v="610127211"/>
    <d v="1970-10-12T00:00:00"/>
    <s v="Kim, Eung Do, MD"/>
    <s v="Regional"/>
    <s v="3"/>
    <d v="1899-12-30T12:33:00"/>
    <d v="1899-12-30T17:07:00"/>
    <n v="274"/>
    <d v="1899-12-30T11:00:00"/>
    <d v="1899-12-30T15:30:00"/>
    <n v="270"/>
    <d v="1899-12-30T12:33:00"/>
    <d v="1899-12-30T17:02:00"/>
    <n v="269"/>
    <d v="1899-12-30T13:20:00"/>
    <d v="1899-12-30T16:44:00"/>
    <d v="1899-12-30T17:02:00"/>
    <n v="269"/>
    <n v="204"/>
    <d v="1899-12-30T17:05:00"/>
    <d v="1899-12-30T17:49:00"/>
    <n v="44"/>
    <m/>
    <m/>
    <m/>
    <s v="SHME OR 10"/>
    <s v="Urology"/>
    <s v="No"/>
    <s v="Salem, Carol Elizabeth, Md"/>
    <s v="EXCISION OR DESTRUCTION, OPEN, INTRA-ABDOMINAL (IE, PERITONEAL, MESENTERIC, RETROPERITONEAL), PRIMARY OR SECONDARY TUMOR(S) OR CYST(S), SUM OF THE MAXIMUM LENGTH OF TUMOR(S) OR CYST(S); 10.1 TO 20 CM"/>
    <s v="OPEN RESECTION OF LEFT  RETROPERITONEAL MASS - Left"/>
    <s v="Mon"/>
    <m/>
    <m/>
    <m/>
    <s v="FERNANDEZ, NATHANIAL_x000a_SALEM, CAROL ELIZABETH"/>
    <s v="Panel 1: Dr. Salem, Carol Elizabeth, MD / Fernandez, Nathanial, MD"/>
    <s v="Carol Elizabeth Salem, MD"/>
    <m/>
    <s v="Salem"/>
  </r>
  <r>
    <d v="2026-08-03T00:00:00"/>
    <s v="6586141"/>
    <s v="Valdivia Herrera, Yordan"/>
    <s v="Outpatient"/>
    <x v="1"/>
    <n v="3901439324"/>
    <s v="811378735"/>
    <d v="1977-09-21T00:00:00"/>
    <s v="Fan, Ting-Wei, MD"/>
    <s v="General"/>
    <s v="3"/>
    <d v="1899-12-30T08:05:00"/>
    <d v="1899-12-30T09:16:00"/>
    <n v="71"/>
    <d v="1899-12-30T08:00:00"/>
    <d v="1899-12-30T09:00:00"/>
    <n v="60"/>
    <d v="1899-12-30T08:05:00"/>
    <d v="1899-12-30T09:08:00"/>
    <n v="63"/>
    <d v="1899-12-30T08:32:00"/>
    <d v="1899-12-30T09:05:00"/>
    <d v="1899-12-30T09:08:00"/>
    <n v="63"/>
    <n v="33"/>
    <d v="1899-12-30T09:13:00"/>
    <d v="1899-12-30T10:01:00"/>
    <n v="48"/>
    <d v="1899-12-30T10:02:00"/>
    <d v="1899-12-30T10:22:00"/>
    <n v="20"/>
    <s v="SHME OR 02"/>
    <s v="Orthopedics"/>
    <s v="No"/>
    <s v="Fabi, David William, Md"/>
    <s v="ARTHROSCOPY, KNEE, SURGICAL; WITH MENISCECTOMY (MEDIAL OR LATERAL,INCLUDING ANY MENISCAL SHAVING)"/>
    <s v="LEFT KNEE MEDIAL MENISCECTOMY ARTHROSCOPY - Left"/>
    <s v="Mon"/>
    <m/>
    <m/>
    <m/>
    <s v="FABI, DAVID WILLIAM"/>
    <m/>
    <s v="David William Fabi, MD"/>
    <m/>
    <s v="Fabi"/>
  </r>
  <r>
    <d v="2026-08-03T00:00:00"/>
    <s v="6595187"/>
    <s v="Morgenstern, Felicia L"/>
    <s v="Inpatient"/>
    <x v="0"/>
    <n v="3901441402"/>
    <s v="701301115"/>
    <d v="1969-04-22T00:00:00"/>
    <s v="Baja, Diosdado An Jr., MD"/>
    <s v="General"/>
    <s v="2"/>
    <d v="1899-12-30T12:55:00"/>
    <d v="1899-12-30T17:16:00"/>
    <n v="261"/>
    <d v="1899-12-30T12:05:00"/>
    <d v="1899-12-30T15:20:00"/>
    <n v="195"/>
    <d v="1899-12-30T12:55:00"/>
    <d v="1899-12-30T17:08:00"/>
    <n v="253"/>
    <d v="1899-12-30T14:19:00"/>
    <d v="1899-12-30T16:42:00"/>
    <d v="1899-12-30T17:08:00"/>
    <n v="253"/>
    <n v="143"/>
    <m/>
    <m/>
    <m/>
    <m/>
    <m/>
    <m/>
    <s v="SHME OR 05"/>
    <s v="Neurosurgery"/>
    <s v="No"/>
    <s v="Zauner, Alois, Md"/>
    <s v="CRANIECTOMY, SUBOCCIPITAL; FOR EXPLORATION OR DECOMPRESSION OF CRANIALNERVES"/>
    <s v="RIGHT SIDED MICROVASCULAR DECOMPRESSION USING GAMMA STANDARD MICROSURGICAL TECHNIQUES AND PLACEMENT OF MICRO SPONGE  BETWEEN THE VASCULAR LOOP AND THE 5TH CRANIAL NERVE. - Right"/>
    <s v="Mon"/>
    <m/>
    <m/>
    <m/>
    <s v="ZAUNER, ALOIS"/>
    <m/>
    <s v="Alois Zauner, MD"/>
    <m/>
    <s v="Zauner"/>
  </r>
  <r>
    <d v="2026-08-03T00:00:00"/>
    <s v="6597076"/>
    <s v="Ortiz, Miguel"/>
    <s v="Outpatient"/>
    <x v="1"/>
    <n v="3901441696"/>
    <s v="700104225"/>
    <d v="1986-11-16T00:00:00"/>
    <s v="Ramos, Joshua Neftalie, MD"/>
    <s v="Monitor Anesthesia Care"/>
    <s v="3"/>
    <d v="1899-12-30T13:01:00"/>
    <d v="1899-12-30T14:56:00"/>
    <n v="115"/>
    <d v="1899-12-30T12:15:00"/>
    <d v="1899-12-30T13:30:00"/>
    <n v="75"/>
    <d v="1899-12-30T13:01:00"/>
    <d v="1899-12-30T14:47:00"/>
    <n v="106"/>
    <d v="1899-12-30T13:32:00"/>
    <d v="1899-12-30T14:42:00"/>
    <d v="1899-12-30T14:47:00"/>
    <n v="106"/>
    <n v="70"/>
    <d v="1899-12-30T14:50:08"/>
    <d v="1899-12-30T16:01:00"/>
    <n v="71"/>
    <d v="1899-12-30T16:02:00"/>
    <d v="1899-12-30T16:56:00"/>
    <n v="54"/>
    <s v="SHME OR 16"/>
    <s v="Podiatry"/>
    <s v="No"/>
    <s v="Do, Ruth Nguyen, Dpm"/>
    <s v="AMPUTATION, TOE; METATARSOPHALANGEAL JOINT"/>
    <s v="POSSIBLE PARTIAL FIRST RAY AMPUTATION, LEFT HALLUX - Left"/>
    <s v="Mon"/>
    <m/>
    <m/>
    <m/>
    <s v="DO, RUTH NGUYEN_x000a_SCHNEIDER, SARAH ASHLEY"/>
    <s v="Panel 1: Dr. Do, Ruth Nguyen, DPM / Schneider, Sarah Ashley, DPM"/>
    <s v="Ruth Nguyen Do, DPM"/>
    <m/>
    <s v="Do"/>
  </r>
  <r>
    <d v="2026-08-03T00:00:00"/>
    <s v="6383886"/>
    <s v="Breier, Mark L"/>
    <s v="Outpatient"/>
    <x v="1"/>
    <n v="3901401178"/>
    <s v="701521577"/>
    <d v="1946-09-13T00:00:00"/>
    <s v="Yehushua, Liora, MD"/>
    <s v="Regional"/>
    <s v="3"/>
    <d v="1899-12-30T12:10:00"/>
    <d v="1899-12-30T15:13:00"/>
    <n v="183"/>
    <d v="1899-12-30T11:45:00"/>
    <d v="1899-12-30T14:30:00"/>
    <n v="165"/>
    <d v="1899-12-30T12:10:00"/>
    <d v="1899-12-30T15:08:00"/>
    <n v="178"/>
    <d v="1899-12-30T12:49:00"/>
    <d v="1899-12-30T15:02:00"/>
    <d v="1899-12-30T15:08:00"/>
    <n v="178"/>
    <n v="133"/>
    <d v="1899-12-30T15:10:00"/>
    <d v="1899-12-30T16:11:00"/>
    <n v="61"/>
    <m/>
    <m/>
    <m/>
    <s v="SHME OR 07"/>
    <s v="Orthopedics"/>
    <s v="No"/>
    <s v="Erwteman, Andrew Scot, Md"/>
    <s v="ARTHROPLASTY, KNEE, CONDYLE AND PLATEAU; MEDIAL AND LATERAL COMPARTMENTSWITH OR WITHOUT PATELLA RESURFACING (TOTAL KNEE ARTHROPLASTY)"/>
    <s v="LEFT TOTAL KNEE ARTHROPLASTY - Left"/>
    <s v="Mon"/>
    <m/>
    <m/>
    <m/>
    <s v="ERWTEMAN, ANDREW SCOT"/>
    <m/>
    <s v="Andrew Scot Erwteman, MD"/>
    <m/>
    <s v="Erwteman"/>
  </r>
  <r>
    <d v="2026-08-03T00:00:00"/>
    <s v="6599725"/>
    <s v="Castaneda, Edna L"/>
    <s v="Outpatient"/>
    <x v="1"/>
    <n v="3901442129"/>
    <s v="810038394"/>
    <d v="1990-01-19T00:00:00"/>
    <s v="Saunders, Reed Michael, MD"/>
    <s v="General"/>
    <s v="2"/>
    <d v="1899-12-30T13:28:00"/>
    <d v="1899-12-30T14:05:00"/>
    <n v="37"/>
    <d v="1899-12-30T13:45:00"/>
    <d v="1899-12-30T14:30:00"/>
    <n v="45"/>
    <d v="1899-12-30T13:28:00"/>
    <d v="1899-12-30T14:04:00"/>
    <n v="36"/>
    <d v="1899-12-30T13:46:00"/>
    <d v="1899-12-30T13:54:00"/>
    <d v="1899-12-30T14:04:00"/>
    <n v="36"/>
    <n v="8"/>
    <d v="1899-12-30T14:05:00"/>
    <d v="1899-12-30T16:00:00"/>
    <n v="115"/>
    <d v="1899-12-30T16:05:00"/>
    <d v="1899-12-30T16:30:00"/>
    <n v="25"/>
    <s v="SHME OR 14"/>
    <s v="Obstetrics"/>
    <s v="No"/>
    <s v="Jaime, Cindy Margarita, Md"/>
    <s v="TREATMENT OF MISSED ABORTION, COMPLETED SURGICALLY; FIRST TRIMESTER"/>
    <s v="SUCTION CURETTAGE - N/A"/>
    <s v="Mon"/>
    <m/>
    <m/>
    <m/>
    <s v="JAIME, CINDY MARGARITA"/>
    <m/>
    <s v="Cindy Margarita Jaime, MD"/>
    <m/>
    <s v="Jaime"/>
  </r>
  <r>
    <d v="2026-08-03T00:00:00"/>
    <s v="6600071"/>
    <s v="Ware, Ana L"/>
    <s v="Inpatient"/>
    <x v="0"/>
    <n v="3901442455"/>
    <s v="811480787"/>
    <d v="1976-04-15T00:00:00"/>
    <s v="Ramos, Joshua Neftalie, MD"/>
    <s v="General"/>
    <s v="3"/>
    <d v="1899-12-30T10:49:00"/>
    <d v="1899-12-30T12:32:00"/>
    <n v="103"/>
    <d v="1899-12-30T10:00:00"/>
    <d v="1899-12-30T11:30:00"/>
    <n v="90"/>
    <d v="1899-12-30T10:49:00"/>
    <d v="1899-12-30T12:23:00"/>
    <n v="94"/>
    <d v="1899-12-30T11:26:00"/>
    <d v="1899-12-30T12:14:00"/>
    <d v="1899-12-30T12:23:00"/>
    <n v="94"/>
    <n v="48"/>
    <d v="1899-12-30T12:27:49"/>
    <d v="1899-12-30T12:41:00"/>
    <n v="14"/>
    <m/>
    <m/>
    <m/>
    <s v="SHME OR 15"/>
    <s v="General"/>
    <s v="No"/>
    <s v="Taller, Janos, Md"/>
    <s v="LAPAROSCOPY, SURGICAL, GASTRIC RESTRICTIVE PROCEDURE; LONGITUDINALGASTRECTOMY (IE, SLEEVE GASTRECTOMY)"/>
    <s v="ROBOTIC SLEEVE GASTRECTOMY - N/A"/>
    <s v="Mon"/>
    <m/>
    <m/>
    <m/>
    <s v="TALLER, JANOS_x000a_BERTUCCI, WILLIAM ROBERT"/>
    <s v="Panel 1: Dr. Taller, Janos, MD / Bertucci, William Robert, MD"/>
    <s v="Janos Taller, MD"/>
    <m/>
    <s v="Taller"/>
  </r>
  <r>
    <d v="2026-08-03T00:00:00"/>
    <s v="6384125"/>
    <s v="Solorzano, Edgar"/>
    <s v="Inpatient"/>
    <x v="0"/>
    <n v="3901401206"/>
    <s v="200579761"/>
    <d v="1952-10-06T00:00:00"/>
    <s v="Yehushua, Liora, MD"/>
    <s v="Regional"/>
    <s v="2"/>
    <d v="1899-12-30T08:09:00"/>
    <d v="1899-12-30T11:28:00"/>
    <n v="199"/>
    <d v="1899-12-30T08:00:00"/>
    <d v="1899-12-30T11:15:00"/>
    <n v="195"/>
    <d v="1899-12-30T08:09:00"/>
    <d v="1899-12-30T11:23:00"/>
    <n v="194"/>
    <d v="1899-12-30T08:56:00"/>
    <d v="1899-12-30T11:13:00"/>
    <d v="1899-12-30T11:23:00"/>
    <n v="194"/>
    <n v="137"/>
    <d v="1899-12-30T11:25:00"/>
    <d v="1899-12-30T11:42:00"/>
    <n v="17"/>
    <m/>
    <m/>
    <m/>
    <s v="SHME OR 07"/>
    <s v="Orthopedics"/>
    <s v="No"/>
    <s v="Erwteman, Andrew Scot, Md"/>
    <s v="REMOVAL OF PROSTHESIS, INCLUDES DEBRIDEMENT AND SYNOVECTOMY WHENPERFORMED; HUMERAL AND GLENOID COMPONENTS (EG, TOTAL SHOULDER)_x000a_INSERTION, DRUG-DELIVERY IMPLANT (IE, BIORESORBABLE, BIODEGRADABLE, NON-BIODEGRADABLE)"/>
    <s v="RIGHT SHOULDER OPEN EXPLANTATION OF REVERSE SHOULDER ARTHROPLASTY COMPONENTS, IRRIGATION AND DEBRIDEMENT, PLACEMENT OF INSERTION NON BIODEGRADABLE DRUG DELIVER IMPLANT - Right"/>
    <s v="Mon"/>
    <m/>
    <m/>
    <m/>
    <s v="ERWTEMAN, ANDREW SCOT"/>
    <m/>
    <s v="Andrew Scot Erwteman, MD"/>
    <m/>
    <s v="Erwteman"/>
  </r>
  <r>
    <d v="2026-08-03T00:00:00"/>
    <s v="6605816"/>
    <s v="Montes, Stephen"/>
    <s v="Outpatient"/>
    <x v="1"/>
    <n v="3901443228"/>
    <s v="700782554"/>
    <d v="1939-09-03T00:00:00"/>
    <s v="Fan, Ting-Wei, MD"/>
    <s v="General"/>
    <s v="3"/>
    <d v="1899-12-30T14:24:00"/>
    <d v="1899-12-30T16:36:00"/>
    <n v="132"/>
    <d v="1899-12-30T13:30:00"/>
    <d v="1899-12-30T15:30:00"/>
    <n v="120"/>
    <d v="1899-12-30T14:24:00"/>
    <d v="1899-12-30T16:28:00"/>
    <n v="124"/>
    <d v="1899-12-30T14:55:00"/>
    <d v="1899-12-30T16:23:00"/>
    <d v="1899-12-30T16:28:00"/>
    <n v="124"/>
    <n v="88"/>
    <d v="1899-12-30T16:35:00"/>
    <d v="1899-12-30T17:02:00"/>
    <n v="27"/>
    <m/>
    <m/>
    <m/>
    <s v="SHME OR 02"/>
    <s v="Orthopedics"/>
    <s v="Yes"/>
    <s v="Fabi, David William, Md"/>
    <s v="COMPUTER-ASSISTED SURGICAL NAVIGATIONAL PROCEDURE FOR MUSCULOSKELETALPROCEDURES, IMAGE-LESS (LIST SEPARATELY IN ADDITION TO CODE FOR PRIMARYPROCEDURE)_x000a_ARTHROPLASTY, KNEE, CONDYLE AND PLATEAU; MEDIAL AND LATERAL COMPARTMENTSWITH OR WITHOUT PATELLA RESURFACING (TOTAL KNEE ARTHROPLASTY)"/>
    <s v="ROBOTIC TOTAL LEFT KNEE ARTHROPLASTY - Left"/>
    <s v="Mon"/>
    <m/>
    <m/>
    <m/>
    <s v="FABI, DAVID WILLIAM"/>
    <m/>
    <s v="David William Fabi, MD"/>
    <m/>
    <s v="Fabi"/>
  </r>
  <r>
    <d v="2026-08-03T00:00:00"/>
    <s v="6608370"/>
    <s v="Lee, Ge"/>
    <s v="Inpatient"/>
    <x v="0"/>
    <n v="3901440907"/>
    <s v="701869474"/>
    <d v="1984-01-11T00:00:00"/>
    <s v="Patel, Lance Kirit, MD"/>
    <s v="Regional"/>
    <s v="4"/>
    <d v="1899-12-30T11:31:00"/>
    <d v="1899-12-30T15:56:00"/>
    <n v="265"/>
    <d v="1899-12-30T11:15:00"/>
    <d v="1899-12-30T14:00:00"/>
    <n v="165"/>
    <d v="1899-12-30T11:31:00"/>
    <d v="1899-12-30T15:41:00"/>
    <n v="250"/>
    <d v="1899-12-30T12:45:00"/>
    <d v="1899-12-30T15:29:00"/>
    <d v="1899-12-30T15:41:00"/>
    <n v="250"/>
    <n v="164"/>
    <m/>
    <m/>
    <m/>
    <m/>
    <m/>
    <m/>
    <s v="SHME OR 03"/>
    <s v="Cardiothoracic"/>
    <s v="No"/>
    <s v="Williams, David Mccann, Md"/>
    <s v="THORACOSCOPY, SURGICAL; WITH PLEURODESIS (EG, MECHANICAL OR CHEMICAL)_x000a_DECORTICATION, PULMONARY (SEPARATE PROCEDURE); TOTAL_x000a_THORACOTOMY, MAJOR; WITH EXPLORATION AND BIOPSY"/>
    <s v="RIGHT VIDEO ASSISTED THORACOSCOPY; DECORTICATION; POSSIBLE THORACOTOMY - Right"/>
    <s v="Mon"/>
    <m/>
    <m/>
    <m/>
    <s v="WILLIAMS, DAVID MCCANN"/>
    <m/>
    <s v="David McCann Williams, MD"/>
    <m/>
    <s v="Williams"/>
  </r>
  <r>
    <d v="2026-08-03T00:00:00"/>
    <s v="6613289"/>
    <s v="Fletes, Jose"/>
    <s v="Inpatient"/>
    <x v="0"/>
    <n v="3901438768"/>
    <s v="400323283"/>
    <d v="1992-12-29T00:00:00"/>
    <s v="Patel, Lance Kirit, MD"/>
    <s v="Regional"/>
    <s v="3"/>
    <d v="1899-12-30T08:23:00"/>
    <d v="1899-12-30T10:59:00"/>
    <n v="156"/>
    <d v="1899-12-30T08:00:00"/>
    <d v="1899-12-30T10:45:00"/>
    <n v="165"/>
    <d v="1899-12-30T08:23:00"/>
    <d v="1899-12-30T10:49:00"/>
    <n v="146"/>
    <d v="1899-12-30T09:12:00"/>
    <d v="1899-12-30T10:39:00"/>
    <d v="1899-12-30T10:49:00"/>
    <n v="146"/>
    <n v="87"/>
    <d v="1899-12-30T10:50:16"/>
    <d v="1899-12-30T12:36:01"/>
    <n v="106"/>
    <m/>
    <m/>
    <m/>
    <s v="SHME OR 03"/>
    <s v="Cardiothoracic"/>
    <s v="No"/>
    <s v="Williams, David Mccann, Md"/>
    <s v="THORACOSCOPY, SURGICAL; WITH PLEURODESIS (EG, MECHANICAL OR CHEMICAL)_x000a_DECORTICATION, PULMONARY (SEPARATE PROCEDURE); TOTAL_x000a_THORACOTOMY, MAJOR; WITH EXPLORATION AND BIOPSY"/>
    <s v="RIGHT VIDEO ASSISTED THORACOSCOPY; DECORTICATION; POSSIBLE THORACOTOMY - Right"/>
    <s v="Mon"/>
    <m/>
    <m/>
    <m/>
    <s v="WILLIAMS, DAVID MCCANN"/>
    <m/>
    <s v="David McCann Williams, MD"/>
    <m/>
    <s v="Williams"/>
  </r>
  <r>
    <d v="2026-08-03T00:00:00"/>
    <s v="6615433"/>
    <s v="Vazquez, Jared A"/>
    <s v="Inpatient"/>
    <x v="0"/>
    <n v="3901445327"/>
    <s v="810336103"/>
    <d v="1995-10-28T00:00:00"/>
    <s v="Rayan, Hany A, MD"/>
    <s v="Regional"/>
    <s v="2"/>
    <d v="1899-12-30T08:08:00"/>
    <d v="1899-12-30T10:13:00"/>
    <n v="125"/>
    <d v="1899-12-30T08:00:00"/>
    <d v="1899-12-30T09:50:00"/>
    <n v="110"/>
    <d v="1899-12-30T08:08:00"/>
    <d v="1899-12-30T10:05:00"/>
    <n v="117"/>
    <d v="1899-12-30T08:38:00"/>
    <d v="1899-12-30T10:01:00"/>
    <d v="1899-12-30T10:05:00"/>
    <n v="117"/>
    <n v="83"/>
    <d v="1899-12-30T10:09:00"/>
    <d v="1899-12-30T11:21:00"/>
    <n v="72"/>
    <m/>
    <m/>
    <m/>
    <s v="SHME OR 06"/>
    <s v="Orthopedics"/>
    <s v="No"/>
    <s v="Dromsky, David Michael, Md"/>
    <s v="OPEN TREATMENT OF RADIAL AND ULNAR SHAFT FRACTURES, WITH INTERNALFIXATION, WHEN PERFORMED; OF RADIUS OR ULNA"/>
    <s v="OPEN TREATMENT OF RADIAL AND ULNAR SHAFT FRACTURES, WITH INTERNALFIXATION, WHEN PERFORMED; OF RADIUS OR ULNA - Left"/>
    <s v="Mon"/>
    <m/>
    <m/>
    <m/>
    <s v="DROMSKY, DAVID MICHAEL"/>
    <m/>
    <s v="David Michael Dromsky, MD"/>
    <m/>
    <s v="Dromsky"/>
  </r>
  <r>
    <d v="2026-08-03T00:00:00"/>
    <s v="6615673"/>
    <s v="Sharp, Samuel J"/>
    <s v="Inpatient"/>
    <x v="0"/>
    <n v="3901444413"/>
    <s v="100438779"/>
    <d v="1975-10-20T00:00:00"/>
    <s v="Rayan, Hany A, MD"/>
    <s v="General"/>
    <s v="2"/>
    <d v="1899-12-30T12:12:00"/>
    <d v="1899-12-30T13:22:00"/>
    <n v="70"/>
    <d v="1899-12-30T12:00:00"/>
    <d v="1899-12-30T13:15:00"/>
    <n v="75"/>
    <d v="1899-12-30T12:12:00"/>
    <d v="1899-12-30T13:16:00"/>
    <n v="64"/>
    <d v="1899-12-30T12:35:00"/>
    <d v="1899-12-30T13:12:00"/>
    <d v="1899-12-30T13:16:00"/>
    <n v="64"/>
    <n v="37"/>
    <d v="1899-12-30T13:18:00"/>
    <d v="1899-12-30T14:19:00"/>
    <n v="61"/>
    <m/>
    <m/>
    <m/>
    <s v="SHME OR 06"/>
    <s v="Vascular"/>
    <s v="No"/>
    <s v="Fernandez, Nathanial, Md"/>
    <s v="EXPLORATION FOR POSTOPERATIVE HEMORRHAGE, THROMBOSIS OR INFECTION;EXTREMITY"/>
    <s v="EXPLORATION FOR POSTOPERATIVE HEMORRHAGE, THROMBOSIS OR INFECTION;EXTREMITY - Right"/>
    <s v="Mon"/>
    <m/>
    <m/>
    <m/>
    <s v="FERNANDEZ, NATHANIAL"/>
    <m/>
    <s v="Nathanial Fernandez, MD"/>
    <m/>
    <s v="Fernandez"/>
  </r>
  <r>
    <d v="2026-08-03T00:00:00"/>
    <s v="6615713"/>
    <s v="Ladow, Britney C"/>
    <s v="Inpatient"/>
    <x v="0"/>
    <n v="3901445208"/>
    <s v="110215976"/>
    <d v="1976-04-30T00:00:00"/>
    <s v="Ramos, Joshua Neftalie, MD"/>
    <s v="General"/>
    <s v="2"/>
    <d v="1899-12-30T15:21:00"/>
    <d v="1899-12-30T17:09:00"/>
    <n v="108"/>
    <d v="1899-12-30T14:00:00"/>
    <d v="1899-12-30T16:05:00"/>
    <n v="125"/>
    <d v="1899-12-30T15:21:00"/>
    <d v="1899-12-30T17:00:00"/>
    <n v="99"/>
    <d v="1899-12-30T15:48:00"/>
    <d v="1899-12-30T16:53:00"/>
    <d v="1899-12-30T17:00:00"/>
    <n v="99"/>
    <n v="65"/>
    <d v="1899-12-30T17:01:05"/>
    <d v="1899-12-30T17:46:00"/>
    <n v="45"/>
    <m/>
    <m/>
    <m/>
    <s v="SHME OR 15"/>
    <s v="General"/>
    <s v="No"/>
    <s v="Giurgiu, Dan I.N., Md"/>
    <s v="LAPAROSCOPY, SURGICAL; CHOLECYSTECTOMY"/>
    <s v="ROBOT ASSISTED POSSIBLE LAPAROSCOPIC CHOLECYSTECTOMY, POSSIBLE OPEN - N/A"/>
    <s v="Mon"/>
    <m/>
    <m/>
    <m/>
    <s v="GIURGIU, DAN I.N."/>
    <m/>
    <s v="Dan I.N. Giurgiu, MD (619-330-8330)"/>
    <m/>
    <s v="Giurgiu"/>
  </r>
  <r>
    <d v="2026-08-03T00:00:00"/>
    <s v="6616165"/>
    <s v="Ellevold, Karen Diane"/>
    <s v="Inpatient"/>
    <x v="0"/>
    <n v="3901444175"/>
    <s v="811482074"/>
    <d v="1981-12-03T00:00:00"/>
    <s v="Chitlur, Abhijith Harish, MD"/>
    <s v="Regional"/>
    <s v="3"/>
    <d v="1899-12-30T10:53:00"/>
    <d v="1899-12-30T13:37:00"/>
    <n v="164"/>
    <d v="1899-12-30T09:45:00"/>
    <d v="1899-12-30T11:05:00"/>
    <n v="80"/>
    <d v="1899-12-30T10:53:00"/>
    <d v="1899-12-30T13:32:00"/>
    <n v="159"/>
    <d v="1899-12-30T11:24:00"/>
    <d v="1899-12-30T13:20:00"/>
    <d v="1899-12-30T13:32:00"/>
    <n v="159"/>
    <n v="116"/>
    <d v="1899-12-30T13:32:49"/>
    <d v="1899-12-30T14:44:56"/>
    <n v="72"/>
    <m/>
    <m/>
    <m/>
    <s v="SHME OR 09"/>
    <s v="General"/>
    <s v="No"/>
    <s v="Liebig, Jonathan Tyler, Md"/>
    <s v="LAPAROSCOPY, ABDOMEN, PERITONEUM, AND OMENTUM, DIAGNOSTIC, WITH ORWITHOUT COLLECTION OF SPECIMEN(S) BY BRUSHING OR WASHING (SEPARATEPROCEDURE)_x000a_LAPAROSCOPY, SURGICAL, APPENDECTOMY"/>
    <s v="LAPAROSCOPY, ABDOMEN, PERITONEUM, AND OMENTUM, DIAGNOSTIC, WITH ORWITHOUT COLLECTION OF SPECIMEN(S) BY BRUSHING OR WASHING (SEPARATEPROCEDURE) - N/A"/>
    <s v="Mon"/>
    <m/>
    <m/>
    <m/>
    <s v="PHAM, TAMMY VAN-TRUC_x000a_LIEBIG, JONATHAN TYLER"/>
    <s v="Panel 1: Dr. Liebig, Jonathan Tyler, MD_x000a_Panel 2: Dr. Pham, Tammy Van-Truc, MD"/>
    <s v="Jonathan Tyler Liebig, MD_x000a_Tammy Van-Truc Pham, MD"/>
    <m/>
    <s v="Liebig, Pham"/>
  </r>
  <r>
    <d v="2026-08-03T00:00:00"/>
    <s v="6616403"/>
    <s v="Silva Wright, Christina E"/>
    <s v="Inpatient"/>
    <x v="0"/>
    <n v="3901428144"/>
    <s v="100902758"/>
    <d v="1996-04-18T00:00:00"/>
    <s v="Fan, Ting-Wei, MD"/>
    <s v="General"/>
    <s v="3"/>
    <d v="1899-12-30T17:11:00"/>
    <d v="1899-12-30T18:22:00"/>
    <n v="71"/>
    <d v="1899-12-30T16:30:00"/>
    <d v="1899-12-30T17:50:00"/>
    <n v="80"/>
    <d v="1899-12-30T17:11:00"/>
    <d v="1899-12-30T18:13:00"/>
    <n v="62"/>
    <d v="1899-12-30T17:36:00"/>
    <d v="1899-12-30T18:05:00"/>
    <d v="1899-12-30T18:13:00"/>
    <n v="62"/>
    <n v="29"/>
    <d v="1899-12-30T18:15:10"/>
    <d v="1899-12-30T18:46:00"/>
    <n v="31"/>
    <m/>
    <m/>
    <m/>
    <s v="SHME OR 06"/>
    <s v="Plastics"/>
    <s v="No"/>
    <s v="Hess, Jason R, Md"/>
    <s v="SPLIT-THICKNESS AUTOGRAFT, FACE, SCALP, EYELIDS, MOUTH, NECK, EARS,ORBITS, GENITALIA, HANDS, FEET, AND/OR MULTIPLE DIGITS; FIRST 100 SQ CMOR LESS, OR 1% OF BODY AREA OF INFANTS AND CHILDREN (EXCEPT_x000a_SPLIT-THICKNESS AUTOGRAFT, TRUNK, ARMS, LEGS; FIRST 100 SQ CM OR LESS,OR 1% OF BODY AREA OF INFANTS AND CHILDREN (EXCEPT 15050)_x000a_SURGICAL PREPARATION OR CREATION OF RECIPIENT SITE BY EXCISION OF OPENWOUNDS, BURN ESCHAR, OR SCAR (INCLUDING SUBCUTANEOUS TISSUES), ORINCISIONAL RELEASE OF SCAR CONTRACTURE, TRUNK, ARMS, LEGS; FIRS"/>
    <s v="SPLIT-THICKNESS AUTOGRAFT, FACE, SCALP, EYELIDS, MOUTH, NECK, EARS,ORBITS, GENITALIA, HANDS, FEET, AND/OR MULTIPLE DIGITS; FIRST 100 SQ CMOR LESS, OR 1% OF BODY AREA OF INFANTS AND CHILDREN (EXCEPT - Left"/>
    <s v="Mon"/>
    <m/>
    <m/>
    <m/>
    <s v="HESS, JASON R"/>
    <m/>
    <s v="Jason R Hess, MD"/>
    <m/>
    <s v="Hess"/>
  </r>
  <r>
    <d v="2026-08-03T00:00:00"/>
    <s v="6617410"/>
    <s v="Dudeck, Chris J"/>
    <s v="Inpatient"/>
    <x v="0"/>
    <n v="3901443713"/>
    <s v="610392091"/>
    <d v="1952-07-19T00:00:00"/>
    <s v="Narla, Vinod Venkat, MD"/>
    <s v="General"/>
    <s v="3"/>
    <d v="1899-12-30T15:47:00"/>
    <d v="1899-12-30T16:18:00"/>
    <n v="31"/>
    <d v="1899-12-30T16:15:00"/>
    <d v="1899-12-30T17:15:00"/>
    <n v="60"/>
    <d v="1899-12-30T15:47:00"/>
    <d v="1899-12-30T16:11:00"/>
    <n v="24"/>
    <d v="1899-12-30T16:00:00"/>
    <d v="1899-12-30T16:07:00"/>
    <d v="1899-12-30T16:11:00"/>
    <n v="24"/>
    <n v="7"/>
    <d v="1899-12-30T16:15:00"/>
    <d v="1899-12-30T17:23:23"/>
    <n v="68"/>
    <m/>
    <m/>
    <m/>
    <s v="SHME OR 04"/>
    <s v="Cardiothoracic"/>
    <s v="No"/>
    <s v="Hemp, James Robert, Md"/>
    <s v="INCISION AND DRAINAGE, COMPLEX, POSTOPERATIVE WOUND INFECTION"/>
    <s v="INCISION AND DRAINAGE, COMPLEX, POSTOPERATIVE WOUND INFECTION - Right"/>
    <s v="Mon"/>
    <m/>
    <m/>
    <m/>
    <s v="HEMP, JAMES ROBERT"/>
    <m/>
    <s v="James Robert Hemp, MD"/>
    <m/>
    <s v="Hemp"/>
  </r>
  <r>
    <d v="2026-08-03T00:00:00"/>
    <s v="6618155"/>
    <s v="Jackson, Joseph"/>
    <s v="Inpatient"/>
    <x v="0"/>
    <n v="3901444867"/>
    <s v="811482530"/>
    <d v="1957-12-27T00:00:00"/>
    <s v="Rayan, Hany A, MD"/>
    <s v="General"/>
    <s v="2"/>
    <d v="1899-12-30T14:12:00"/>
    <d v="1899-12-30T16:11:00"/>
    <n v="119"/>
    <d v="1899-12-30T13:45:00"/>
    <d v="1899-12-30T15:20:00"/>
    <n v="95"/>
    <d v="1899-12-30T14:12:00"/>
    <d v="1899-12-30T16:05:00"/>
    <n v="113"/>
    <d v="1899-12-30T14:37:00"/>
    <d v="1899-12-30T15:56:00"/>
    <d v="1899-12-30T16:05:00"/>
    <n v="113"/>
    <n v="79"/>
    <d v="1899-12-30T16:05:45"/>
    <d v="1899-12-30T16:42:00"/>
    <n v="37"/>
    <m/>
    <m/>
    <m/>
    <s v="SHME OR 06"/>
    <s v="General"/>
    <s v="No"/>
    <s v="Bansal, Vishal, Md"/>
    <s v="LAPAROSCOPY, SURGICAL; CHOLECYSTECTOMY"/>
    <s v="LAPAROSCOPY, SURGICAL; CHOLECYSTECTOMY - N/A"/>
    <s v="Mon"/>
    <m/>
    <m/>
    <m/>
    <s v="BANSAL, VISHAL"/>
    <m/>
    <s v="Vishal Bansal, MD"/>
    <m/>
    <s v="Bansal"/>
  </r>
  <r>
    <d v="2026-08-03T00:00:00"/>
    <s v="6618160"/>
    <s v="Santiago, Mary Louise"/>
    <s v="Inpatient"/>
    <x v="0"/>
    <n v="3901445497"/>
    <s v="100240278"/>
    <d v="1936-05-20T00:00:00"/>
    <s v="Vasant, Kris Kishore, MD"/>
    <s v="General"/>
    <s v="4"/>
    <d v="1899-12-30T14:50:00"/>
    <d v="1899-12-30T15:46:00"/>
    <n v="56"/>
    <d v="1899-12-30T14:45:00"/>
    <d v="1899-12-30T15:30:00"/>
    <n v="45"/>
    <d v="1899-12-30T14:50:00"/>
    <d v="1899-12-30T15:42:00"/>
    <n v="52"/>
    <d v="1899-12-30T15:22:00"/>
    <d v="1899-12-30T15:36:00"/>
    <d v="1899-12-30T15:42:00"/>
    <n v="52"/>
    <n v="14"/>
    <d v="1899-12-30T15:43:19"/>
    <d v="1899-12-30T16:38:35"/>
    <n v="55"/>
    <m/>
    <m/>
    <m/>
    <s v="SHME OR 09"/>
    <s v="General"/>
    <s v="Yes"/>
    <s v="Toman, Jeffrey Robert, Md"/>
    <s v="INCISION AND DRAINAGE OF ABSCESS (EG, CARBUNCLE, SUPPURATIVEHIDRADENITIS, CUTANEOUS OR SUBCUTANEOUS ABSCESS, CYST, FURUNCLE, ORPARONYCHIA); SIMPLE OR SINGLE"/>
    <s v="Incision and drainage of left flank abscess - Left"/>
    <s v="Mon"/>
    <m/>
    <m/>
    <m/>
    <s v="TOMAN, JEFFREY ROBERT"/>
    <m/>
    <s v="Jeffrey Robert Toman, MD"/>
    <m/>
    <s v="Toman"/>
  </r>
  <r>
    <d v="2026-08-03T00:00:00"/>
    <s v="6619980"/>
    <s v="Johnston, Raymond C"/>
    <s v="Inpatient"/>
    <x v="0"/>
    <n v="3901446071"/>
    <s v="810114733"/>
    <d v="1945-12-19T00:00:00"/>
    <s v="Li, Robin T, MD"/>
    <s v="General"/>
    <s v="3"/>
    <d v="1899-12-30T19:05:00"/>
    <d v="1899-12-30T20:43:00"/>
    <n v="98"/>
    <d v="1899-12-30T18:30:00"/>
    <d v="1899-12-30T20:05:00"/>
    <n v="95"/>
    <d v="1899-12-30T19:05:00"/>
    <d v="1899-12-30T20:35:00"/>
    <n v="90"/>
    <d v="1899-12-30T19:41:00"/>
    <d v="1899-12-30T20:19:00"/>
    <d v="1899-12-30T20:35:00"/>
    <n v="90"/>
    <n v="38"/>
    <d v="1899-12-30T20:31:00"/>
    <d v="1899-12-30T21:20:00"/>
    <n v="49"/>
    <m/>
    <m/>
    <m/>
    <s v="SHME OR 04"/>
    <s v="Plastics"/>
    <s v="No"/>
    <s v="Hess, Jason R, Md"/>
    <s v="EXPLORATION OF PENETRATING WOUND (SEPARATE PROCEDURE); EXTREMITY_x000a_MUSCLE, MYOCUTANEOUS, OR FASCIOCUTANEOUS FLAP; LOWER EXTREMITY"/>
    <s v="EXPLORATION OF PENETRATING WOUND (SEPARATE PROCEDURE); EXTREMITY - Bilateral"/>
    <s v="Mon"/>
    <m/>
    <m/>
    <m/>
    <s v="HESS, JASON R"/>
    <m/>
    <s v="Jason R Hess, MD"/>
    <m/>
    <s v="Hess"/>
  </r>
  <r>
    <d v="2026-08-03T00:00:00"/>
    <s v="6620010"/>
    <s v="Addonizio, Michael C"/>
    <s v="Outpatient"/>
    <x v="1"/>
    <n v="3901445986"/>
    <s v="700388850"/>
    <d v="1998-03-09T00:00:00"/>
    <s v="Kim, Eung Do, MD"/>
    <s v="General"/>
    <s v="1"/>
    <d v="1899-12-30T17:53:00"/>
    <d v="1899-12-30T18:52:00"/>
    <n v="59"/>
    <d v="1899-12-30T18:15:00"/>
    <d v="1899-12-30T19:10:00"/>
    <n v="55"/>
    <d v="1899-12-30T17:53:00"/>
    <d v="1899-12-30T18:44:00"/>
    <n v="51"/>
    <d v="1899-12-30T18:18:00"/>
    <d v="1899-12-30T18:34:00"/>
    <d v="1899-12-30T18:44:00"/>
    <n v="51"/>
    <n v="16"/>
    <d v="1899-12-30T18:46:34"/>
    <d v="1899-12-30T19:32:15"/>
    <n v="46"/>
    <m/>
    <m/>
    <m/>
    <s v="SHME OR 09"/>
    <s v="General"/>
    <s v="No"/>
    <s v="Bansal, Vishal, Md"/>
    <s v="LAPAROSCOPY, SURGICAL, APPENDECTOMY"/>
    <s v="LAPAROSCOPY, SURGICAL, APPENDECTOMY - N/A"/>
    <s v="Mon"/>
    <m/>
    <m/>
    <m/>
    <s v="BANSAL, VISHAL"/>
    <m/>
    <s v="Vishal Bansal, MD"/>
    <m/>
    <s v="Bansal"/>
  </r>
  <r>
    <d v="2026-08-03T00:00:00"/>
    <s v="6620177"/>
    <s v="Lee, Ge"/>
    <s v="Inpatient"/>
    <x v="0"/>
    <n v="3901440907"/>
    <s v="701869474"/>
    <d v="1984-01-11T00:00:00"/>
    <s v="Chung, Michelle Sheryl, MD"/>
    <s v="Regional"/>
    <s v="4"/>
    <d v="1899-12-30T20:00:00"/>
    <d v="1899-12-30T23:22:00"/>
    <n v="202"/>
    <d v="1899-12-30T20:00:00"/>
    <d v="1899-12-30T00:10:00"/>
    <n v="280"/>
    <d v="1899-12-30T20:00:00"/>
    <d v="1899-12-30T23:03:00"/>
    <n v="183"/>
    <d v="1899-12-30T20:56:00"/>
    <d v="1899-12-30T22:55:00"/>
    <d v="1899-12-30T23:03:00"/>
    <n v="183"/>
    <n v="119"/>
    <m/>
    <m/>
    <m/>
    <m/>
    <m/>
    <m/>
    <s v="SHME OR 05"/>
    <s v="Cardiothoracic"/>
    <s v="No"/>
    <s v="Williams, David Mccann, Md"/>
    <s v="THORACOSCOPY, DIAGNOSTIC (SEPARATE PROCEDURE); LUNGS AND PLEURAL SPACE,WITHOUT BIOPSY_x000a_THORACOTOMY, MAJOR; WITH EXPLORATION AND BIOPSY"/>
    <s v="THORACOSCOPY, DIAGNOSTIC (SEPARATE PROCEDURE); LUNGS AND PLEURAL SPACE,WITHOUT BIOPSY - Right"/>
    <s v="Mon"/>
    <m/>
    <m/>
    <m/>
    <s v="WILLIAMS, DAVID MCCANN"/>
    <m/>
    <s v="David McCann Williams, MD"/>
    <m/>
    <s v="Williams"/>
  </r>
  <r>
    <d v="2026-08-03T00:00:00"/>
    <s v="6620214"/>
    <s v="Zarka, Kathy S"/>
    <s v="Inpatient"/>
    <x v="0"/>
    <n v="3901446103"/>
    <s v="810268644"/>
    <d v="1951-04-21T00:00:00"/>
    <s v="Yehushua, Liora, MD"/>
    <s v="General"/>
    <s v="5"/>
    <d v="1899-12-30T20:00:00"/>
    <d v="1899-12-30T21:52:00"/>
    <n v="112"/>
    <d v="1899-12-30T20:40:00"/>
    <d v="1899-12-30T22:10:00"/>
    <n v="120"/>
    <d v="1899-12-30T20:05:00"/>
    <d v="1899-12-30T21:42:00"/>
    <n v="97"/>
    <d v="1899-12-30T20:31:00"/>
    <d v="1899-12-30T21:12:00"/>
    <d v="1899-12-30T21:42:00"/>
    <n v="97"/>
    <n v="41"/>
    <m/>
    <m/>
    <m/>
    <m/>
    <m/>
    <m/>
    <s v="SHME OR 03"/>
    <s v="General"/>
    <s v="Not on file"/>
    <s v="Bansal, Vishal, Md"/>
    <s v="EXPLORATORY LAPAROTOMY, EXPLORATORY CELIOTOMY WITH OR WITHOUT BIOPSY(S)(SEPARATE PROCEDURE)"/>
    <s v="EXPLORATORY LAPAROTOMY, EXPLORATORY CELIOTOMY WITH OR WITHOUT BIOPSY(S)(SEPARATE PROCEDURE) - N/A"/>
    <s v="Mon"/>
    <m/>
    <m/>
    <m/>
    <s v="BANSAL, VISHAL"/>
    <m/>
    <s v="Vishal Bansal, MD"/>
    <m/>
    <s v="Bansal"/>
  </r>
  <r>
    <d v="2026-08-03T00:00:00"/>
    <s v="6276267"/>
    <s v="Ambrose, Greg R"/>
    <s v="Inpatient"/>
    <x v="0"/>
    <n v="3901381450"/>
    <s v="811416559"/>
    <d v="1956-09-02T00:00:00"/>
    <s v="Vasant, Kris Kishore, MD"/>
    <s v="Regional"/>
    <s v="4"/>
    <d v="1899-12-30T06:30:00"/>
    <d v="1899-12-30T14:28:00"/>
    <n v="478"/>
    <d v="1899-12-30T06:15:00"/>
    <d v="1899-12-30T11:15:00"/>
    <n v="300"/>
    <d v="1899-12-30T06:30:00"/>
    <d v="1899-12-30T14:08:00"/>
    <n v="458"/>
    <d v="1899-12-30T08:41:00"/>
    <d v="1899-12-30T13:58:00"/>
    <d v="1899-12-30T14:08:00"/>
    <n v="458"/>
    <n v="317"/>
    <m/>
    <m/>
    <m/>
    <m/>
    <m/>
    <m/>
    <s v="SHME OR 08"/>
    <s v="Cardiothoracic"/>
    <s v="No"/>
    <s v="Hemp, James Robert, Md"/>
    <s v="VALVULOPLASTY, MITRAL VALVE, WITH CARDIOPULMONARY BYPASS; RADICALRECONSTRUCTION, WITH OR WITHOUT RING_x000a_REPLACEMENT, MITRAL VALVE, WITH CARDIOPULMONARY BYPASS_x000a_MEDIASTINOTOMY WITH EXPLORATION, DRAINAGE, REMOVAL OF FOREIGN BODY, ORBIOPSY; TRANSTHORACIC APPROACH, INCLUDING EITHER TRANSTHORACIC OR MEDIANSTERNOTOMY"/>
    <s v="ROBOTIC MITRAL VALVE REPAIR; POSSIBLE BIOPROSTHETIC VALVE REPLACEMENT; POSSIBLE STERNOTOMY - N/A"/>
    <s v="Mon"/>
    <m/>
    <m/>
    <m/>
    <s v="ISLAMI MANUCHEHRY, MOHAMMAD HOSEIN_x000a_HEMP, JAMES ROBERT"/>
    <s v="Panel 1: Dr. Hemp, James Robert, MD / Islami Manuchehry, Mohammad Hosein, MD"/>
    <s v="James Robert Hemp, MD"/>
    <m/>
    <s v="Hemp"/>
  </r>
  <r>
    <d v="2026-08-03T00:00:00"/>
    <s v="6506309"/>
    <s v="Higareda Valdovino, Jose R"/>
    <s v="Inpatient"/>
    <x v="0"/>
    <n v="3901424748"/>
    <s v="811466778"/>
    <d v="1983-10-13T00:00:00"/>
    <s v="Narla, Vinod Venkat, MD"/>
    <s v="General"/>
    <s v="2"/>
    <d v="1899-12-30T08:20:00"/>
    <d v="1899-12-30T12:19:00"/>
    <n v="239"/>
    <d v="1899-12-30T08:00:00"/>
    <d v="1899-12-30T11:45:00"/>
    <n v="225"/>
    <d v="1899-12-30T08:20:00"/>
    <d v="1899-12-30T12:11:00"/>
    <n v="231"/>
    <d v="1899-12-30T08:49:00"/>
    <d v="1899-12-30T12:07:00"/>
    <d v="1899-12-30T12:11:00"/>
    <n v="231"/>
    <n v="198"/>
    <d v="1899-12-30T12:13:16"/>
    <d v="1899-12-30T13:35:00"/>
    <n v="82"/>
    <m/>
    <m/>
    <m/>
    <s v="SHME OR 04"/>
    <s v="Orthopedics"/>
    <s v="Yes"/>
    <s v="Abitbol, Jean-Jacques, Md"/>
    <s v="CORD, CAUDA EQUINA OR NERVE ROOT(S), LOWER THORACIC, LUM_x000a_ARTHRODESIS, ANTERIOR INTERBODY TECHNIQUE, INCLUDING MINIMAL DISCECTOMYTO PREPARE INTERSPACE (OTHER THAN FOR DECOMPRESSION); LUMBAR_x000a_CORD, CAUDA EQUINA OR NERVE ROOT(S), LOWER THORACIC, LUMB_x000a_ANTERIOR INSTRUMENTATION; 2 TO 3 VERTEBRAL SEGMENTS (LIST SEPARATELY INADDITION TO CODE FOR PRIMARY PROCEDURE)_x000a_INSERTION OF INTERVERTEBRAL BIOMECHANICAL DEVICE(S) (EG, SYNTHETIC CAGE, MESH,METHYLMETHACRYLATE) TO INTERVERTEBRAL DISC SPACE OR VERTEBRAL BODY DEFECTWITHOUT INTERBODY ARTHRODESIS, EACH CONTIGUOUS_x000a_AUTOGRAFT FOR SPINE SURGERY ONLY (INCLUDES HARVESTING THE GRAFT);MORSELIZED (THROUGH SEPARATE SKIN OR FASCIAL INCISION) (LIST SEPARATELYIN ADDITION TO CODE FOR PRIMARY PROCEDURE)_x000a_ALLOGRAFT, STRUCTURAL, FOR SPINE SURGERY ONLY (LIST SEPARATELY INADDITION TO CODE FOR PRIMARY PROCEDURE)_x000a_RADIOLOGIC EXAMINATION, SPINE, LUMBOSACRAL; MINIMUM OF 4 VIEWS_x000a_CONTINUOUS INTRAOPERATIVE NEUROPHYSIOLOGY MONITORING IN THE OPERATINGROOM, ONE ON ONE MONITORING REQUIRING PERSONAL ATTENDANCE, EACH 15MINUTES (LIST SEPARATELY IN ADDITION TO CODE FOR PRIMARY PROCED_x000a_CTR MOTR EP STD TRANSCRNL MOTR STIM UPR&amp;LOW LIMB_x000a_NEEDLE ELECTROMYOGRAPHY, EACH EXTREMITY, WITH RELATED PARASPINAL AREAS,WHEN PERFORMED, DONE WITH NERVE CONDUCTION, AMPLITUDE ANDLATENCY/VELOCITY STUDY; LIMITED (LIST SEPARATELY IN ADDITION TO CODEF_x000a_SHORT-LATENCY SOMATOSENSORY EVOKED POTENTIAL STUDY, STIMULATION OFANY/ALL PERIPHERAL NERVES OR SKIN SITES, RECORDING FROM THE CENTRALNERVOUS SYSTEM;..."/>
    <s v="ANTERIOR LUMBAR INTERBODY FUSION LUMBAR 5 TO SACRUM 1 WITH POSTERIOR DECOMPRESSION AND FUSION LUMBAR 5 TO SACRUM 1 - Bilateral"/>
    <s v="Mon"/>
    <m/>
    <m/>
    <m/>
    <s v="TERRAMANI, THOMAS TINO_x000a_ABITBOL, JEAN-JACQUES"/>
    <s v="Panel 1: Dr. Abitbol, Jean-Jacques, MD / Terramani, Thomas Tino, MD, FACS"/>
    <s v="Jean-Jacques Abitbol, MD"/>
    <m/>
    <s v="Abitbol"/>
  </r>
  <r>
    <d v="2026-08-04T00:00:00"/>
    <s v="6510335"/>
    <s v="Browne, Jean R"/>
    <s v="Inpatient"/>
    <x v="0"/>
    <n v="3901425558"/>
    <s v="701026452"/>
    <d v="1944-06-05T00:00:00"/>
    <s v="Nwabueze, Onyemaechi, MD"/>
    <s v="Regional"/>
    <s v="3"/>
    <d v="1899-12-30T07:35:00"/>
    <d v="1899-12-30T10:31:00"/>
    <n v="176"/>
    <d v="1899-12-30T07:30:00"/>
    <d v="1899-12-30T10:15:00"/>
    <n v="165"/>
    <d v="1899-12-30T07:35:00"/>
    <d v="1899-12-30T10:24:00"/>
    <n v="169"/>
    <d v="1899-12-30T08:24:00"/>
    <d v="1899-12-30T10:15:00"/>
    <d v="1899-12-30T10:24:00"/>
    <n v="169"/>
    <n v="111"/>
    <d v="1899-12-30T10:32:40"/>
    <d v="1899-12-30T10:55:40"/>
    <n v="23"/>
    <m/>
    <m/>
    <m/>
    <s v="SHME OR 04"/>
    <s v="Orthopedics"/>
    <s v="Yes"/>
    <s v="Kansara, Devanshu Velji, Md"/>
    <s v="ARTHROPLASTY, GLENOHUMERAL JOINT; TOTAL SHOULDER (GLENOID AND PROXIMALHUMERAL REPLACEMENT (EG, TOTAL SHOULDER))"/>
    <s v="RIGHT REVERSE SHOULDER ARTHROPLASTY - Right"/>
    <s v="Tue"/>
    <m/>
    <m/>
    <m/>
    <s v="KANSARA, DEVANSHU VELJI"/>
    <m/>
    <s v="Devanshu Velji Kansara, MD"/>
    <m/>
    <s v="Kansara"/>
  </r>
  <r>
    <d v="2026-08-04T00:00:00"/>
    <s v="6515743"/>
    <s v="Stevenson, Shanetta V"/>
    <s v="Outpatient"/>
    <x v="1"/>
    <n v="3901427058"/>
    <s v="608236551"/>
    <d v="1971-12-08T00:00:00"/>
    <s v="Li, Robin T, MD"/>
    <s v="General"/>
    <s v="2"/>
    <d v="1899-12-30T12:53:00"/>
    <d v="1899-12-30T13:35:00"/>
    <n v="42"/>
    <d v="1899-12-30T12:30:00"/>
    <d v="1899-12-30T13:00:00"/>
    <n v="30"/>
    <d v="1899-12-30T12:53:00"/>
    <d v="1899-12-30T13:28:00"/>
    <n v="35"/>
    <d v="1899-12-30T13:14:00"/>
    <d v="1899-12-30T13:23:00"/>
    <d v="1899-12-30T13:28:00"/>
    <n v="35"/>
    <n v="9"/>
    <d v="1899-12-30T13:30:00"/>
    <d v="1899-12-30T14:15:00"/>
    <n v="45"/>
    <d v="1899-12-30T14:16:00"/>
    <d v="1899-12-30T15:09:00"/>
    <n v="53"/>
    <s v="SHME OR 16"/>
    <s v="Obstetrics"/>
    <s v="No"/>
    <s v="Hefzi, Nousha, Md"/>
    <s v="HYSTEROSCOPY, SURGICAL; WITH SAMPLING (BIOPSY) OF ENDOMETRIUM AND/ORPOLYPECTOMY, WITH OR WITHOUT D &amp; C"/>
    <s v="HYSTEROSCOPY DILATION AND CURETTAGE - N/A"/>
    <s v="Tue"/>
    <m/>
    <m/>
    <m/>
    <s v="HEFZI, NOUSHA"/>
    <m/>
    <s v="Nousha Hefzi, MD"/>
    <m/>
    <s v="Hefzi"/>
  </r>
  <r>
    <d v="2026-08-04T00:00:00"/>
    <s v="6551976"/>
    <s v="Flores, Donald M"/>
    <s v="Outpatient"/>
    <x v="1"/>
    <n v="3901432827"/>
    <s v="700957473"/>
    <d v="1942-02-08T00:00:00"/>
    <s v="Saunders, Reed Michael, MD"/>
    <s v="General"/>
    <s v="3"/>
    <d v="1899-12-30T07:28:00"/>
    <d v="1899-12-30T08:26:00"/>
    <n v="58"/>
    <d v="1899-12-30T07:30:00"/>
    <d v="1899-12-30T08:30:00"/>
    <n v="60"/>
    <d v="1899-12-30T07:28:00"/>
    <d v="1899-12-30T08:21:00"/>
    <n v="53"/>
    <d v="1899-12-30T07:47:00"/>
    <d v="1899-12-30T08:14:00"/>
    <d v="1899-12-30T08:21:00"/>
    <n v="53"/>
    <n v="27"/>
    <d v="1899-12-30T08:25:40"/>
    <d v="1899-12-30T08:59:00"/>
    <n v="34"/>
    <d v="1899-12-30T09:00:00"/>
    <d v="1899-12-30T09:45:00"/>
    <n v="45"/>
    <s v="SHME OR 01"/>
    <s v="Orthopedics"/>
    <s v="Yes"/>
    <s v="Tanaka, Scott Kiyoshi, Md"/>
    <s v="NEUROPLASTY AND/OR TRANSPOSITION; MEDIAN NERVE AT CARPAL TUNNEL_x000a_TENDON SHEATH INCISION (EG, FOR TRIGGER FINGER)"/>
    <s v="RIGHT CARPAL TUNNEL RELEASE; RIGHT INDEX AND MIDDLE FINGER TIRGGER RELEASE - Right"/>
    <s v="Tue"/>
    <m/>
    <m/>
    <m/>
    <s v="TANAKA, SCOTT KIYOSHI"/>
    <m/>
    <s v="Scott Kiyoshi Tanaka, MD"/>
    <m/>
    <s v="Tanaka"/>
  </r>
  <r>
    <d v="2026-08-04T00:00:00"/>
    <s v="6558359"/>
    <s v="Sanchez Casillas, Salvador"/>
    <s v="Outpatient"/>
    <x v="1"/>
    <n v="3901433979"/>
    <s v="611919041"/>
    <d v="1962-05-23T00:00:00"/>
    <s v="Saunders, Reed Michael, MD"/>
    <s v="General"/>
    <s v="3"/>
    <d v="1899-12-30T08:48:00"/>
    <d v="1899-12-30T09:36:00"/>
    <n v="48"/>
    <d v="1899-12-30T09:00:00"/>
    <d v="1899-12-30T09:45:00"/>
    <n v="45"/>
    <d v="1899-12-30T08:48:00"/>
    <d v="1899-12-30T09:30:00"/>
    <n v="42"/>
    <d v="1899-12-30T09:04:00"/>
    <d v="1899-12-30T09:15:00"/>
    <d v="1899-12-30T09:30:00"/>
    <n v="42"/>
    <n v="11"/>
    <d v="1899-12-30T09:33:00"/>
    <d v="1899-12-30T10:09:00"/>
    <n v="36"/>
    <d v="1899-12-30T10:10:00"/>
    <d v="1899-12-30T11:00:00"/>
    <n v="50"/>
    <s v="SHME OR 01"/>
    <s v="Orthopedics"/>
    <s v="No"/>
    <s v="Tanaka, Scott Kiyoshi, Md"/>
    <s v="NEUROPLASTY AND/OR TRANSPOSITION; MEDIAN NERVE AT CARPAL TUNNEL"/>
    <s v="LEFT CARPAL TUNNEL RELEASE - Left"/>
    <s v="Tue"/>
    <m/>
    <m/>
    <m/>
    <s v="TANAKA, SCOTT KIYOSHI"/>
    <m/>
    <s v="Scott Kiyoshi Tanaka, MD"/>
    <m/>
    <s v="Tanaka"/>
  </r>
  <r>
    <d v="2026-08-04T00:00:00"/>
    <s v="6559277"/>
    <s v="Couchman, Sammy Anthony Jr."/>
    <s v="Inpatient"/>
    <x v="0"/>
    <n v="3901434084"/>
    <s v="811371898"/>
    <d v="1973-12-20T00:00:00"/>
    <s v="Ramos, Joshua Neftalie, MD"/>
    <s v="General"/>
    <s v="3"/>
    <d v="1899-12-30T11:33:00"/>
    <d v="1899-12-30T14:31:00"/>
    <n v="178"/>
    <d v="1899-12-30T12:15:00"/>
    <d v="1899-12-30T14:45:00"/>
    <n v="150"/>
    <d v="1899-12-30T11:33:00"/>
    <d v="1899-12-30T14:22:00"/>
    <n v="169"/>
    <d v="1899-12-30T12:02:00"/>
    <d v="1899-12-30T14:13:00"/>
    <d v="1899-12-30T14:22:00"/>
    <n v="169"/>
    <n v="131"/>
    <d v="1899-12-30T14:22:19"/>
    <d v="1899-12-30T15:35:00"/>
    <n v="73"/>
    <m/>
    <m/>
    <m/>
    <s v="SHME OR 10"/>
    <s v="Urology"/>
    <s v="No"/>
    <s v="Salem, Carol Elizabeth, Md"/>
    <s v="LAPAROSCOPY, SURGICAL PROSTATECTOMY, RETROPUBIC RADICAL, INCLUDING NERVESPARING, INCLUDES ROBOTIC ASSISTANCE, WHEN PERFORMED"/>
    <s v="ROBOTIC RADICAL PROSTATECTOMY - N/A"/>
    <s v="Tue"/>
    <m/>
    <m/>
    <m/>
    <s v="SALEM, CAROL ELIZABETH"/>
    <m/>
    <s v="Carol Elizabeth Salem, MD"/>
    <m/>
    <s v="Salem"/>
  </r>
  <r>
    <d v="2026-08-04T00:00:00"/>
    <s v="6559722"/>
    <s v="Powell, Phil C"/>
    <s v="Outpatient"/>
    <x v="1"/>
    <n v="3901443281"/>
    <s v="607802536"/>
    <d v="1957-10-22T00:00:00"/>
    <s v="Ngo, Donald Hanh, MD"/>
    <s v="General"/>
    <s v="3"/>
    <d v="1899-12-30T12:52:00"/>
    <d v="1899-12-30T14:34:00"/>
    <n v="102"/>
    <d v="1899-12-30T12:30:00"/>
    <d v="1899-12-30T14:15:00"/>
    <n v="105"/>
    <d v="1899-12-30T12:52:00"/>
    <d v="1899-12-30T14:29:00"/>
    <n v="97"/>
    <d v="1899-12-30T13:23:00"/>
    <d v="1899-12-30T14:24:00"/>
    <d v="1899-12-30T14:29:00"/>
    <n v="97"/>
    <n v="61"/>
    <d v="1899-12-30T14:37:43"/>
    <d v="1899-12-30T15:34:00"/>
    <n v="57"/>
    <d v="1899-12-30T15:35:00"/>
    <d v="1899-12-30T16:57:00"/>
    <n v="82"/>
    <s v="SHME OR 14"/>
    <s v="General"/>
    <s v="No"/>
    <s v="Lim, Lian, Md"/>
    <s v="LAPAROSCOPY, SURGICAL; REPAIR INITIAL INGUINAL HERNIA"/>
    <s v="ROBOTIC RIGHT INGUINAL HERNIA REPAIR WITH MESH, POSSIBLE OPEN - Right"/>
    <s v="Tue"/>
    <m/>
    <m/>
    <m/>
    <s v="LIM, LIAN"/>
    <m/>
    <s v="Lian Lim, MD"/>
    <m/>
    <s v="Lim"/>
  </r>
  <r>
    <d v="2026-08-04T00:00:00"/>
    <s v="6560442"/>
    <s v="Hill, Michael"/>
    <s v="Outpatient"/>
    <x v="1"/>
    <n v="3901439813"/>
    <s v="811395027"/>
    <d v="1962-12-28T00:00:00"/>
    <s v="Ngo, Donald Hanh, MD"/>
    <s v="General"/>
    <s v="2"/>
    <d v="1899-12-30T07:36:00"/>
    <d v="1899-12-30T09:04:00"/>
    <n v="88"/>
    <d v="1899-12-30T07:30:00"/>
    <d v="1899-12-30T09:00:00"/>
    <n v="90"/>
    <d v="1899-12-30T07:36:00"/>
    <d v="1899-12-30T08:58:00"/>
    <n v="82"/>
    <d v="1899-12-30T07:54:00"/>
    <d v="1899-12-30T08:53:00"/>
    <d v="1899-12-30T08:58:00"/>
    <n v="82"/>
    <n v="59"/>
    <d v="1899-12-30T09:02:14"/>
    <d v="1899-12-30T10:01:00"/>
    <n v="59"/>
    <d v="1899-12-30T10:02:00"/>
    <d v="1899-12-30T11:18:00"/>
    <n v="76"/>
    <s v="SHME OR 14"/>
    <s v="General"/>
    <s v="No"/>
    <s v="Lim, Lian, Md"/>
    <s v="LAPAROSCOPY, SURGICAL; CHOLECYSTECTOMY"/>
    <s v="ROBOTIC CHOLECYSTECTOMY, POSSIBLE OPEN - N/A"/>
    <s v="Tue"/>
    <m/>
    <m/>
    <m/>
    <s v="LIM, LIAN"/>
    <m/>
    <s v="Lian Lim, MD"/>
    <m/>
    <s v="Lim"/>
  </r>
  <r>
    <d v="2026-08-04T00:00:00"/>
    <s v="6211323"/>
    <s v="Burch, Gene"/>
    <s v="Inpatient"/>
    <x v="0"/>
    <n v="3901362570"/>
    <s v="612630251"/>
    <d v="1953-10-17T00:00:00"/>
    <s v="Vasant, Kris Kishore, MD"/>
    <s v="Regional"/>
    <s v="4"/>
    <d v="1899-12-30T06:29:00"/>
    <d v="1899-12-30T13:32:00"/>
    <n v="423"/>
    <d v="1899-12-30T06:15:00"/>
    <d v="1899-12-30T11:15:00"/>
    <n v="300"/>
    <d v="1899-12-30T06:29:00"/>
    <d v="1899-12-30T13:19:00"/>
    <n v="410"/>
    <d v="1899-12-30T08:48:00"/>
    <d v="1899-12-30T13:05:00"/>
    <d v="1899-12-30T13:19:00"/>
    <n v="410"/>
    <n v="257"/>
    <m/>
    <m/>
    <m/>
    <m/>
    <m/>
    <m/>
    <s v="SHME OR 08"/>
    <s v="Cardiothoracic"/>
    <s v="No"/>
    <s v="Hemp, James Robert, Md"/>
    <s v="VALVULOPLASTY, MITRAL VALVE, WITH CARDIOPULMONARY BYPASS; RADICALRECONSTRUCTION, WITH OR WITHOUT RING_x000a_REPLACEMENT, MITRAL VALVE, WITH CARDIOPULMONARY BYPASS_x000a_MEDIASTINOTOMY WITH EXPLORATION, DRAINAGE, REMOVAL OF FOREIGN BODY, ORBIOPSY; TRANSTHORACIC APPROACH, INCLUDING EITHER TRANSTHORACIC OR MEDIANSTERNOTOMY"/>
    <s v="ROBOTIC MITRAL VALVE REPAIR; POSSIBLE BIOPROSTHETIC VALVE REPLACEMENT; POSSIBLE STERNOTOMY - N/A"/>
    <s v="Tue"/>
    <m/>
    <m/>
    <m/>
    <s v="HEMP, JAMES ROBERT_x000a_ISLAMI MANUCHEHRY, MOHAMMAD HOSEIN"/>
    <s v="Panel 1: Dr. Hemp, James Robert, MD / Islami Manuchehry, Mohammad Hosein, MD"/>
    <s v="James Robert Hemp, MD"/>
    <m/>
    <s v="Hemp"/>
  </r>
  <r>
    <d v="2026-08-04T00:00:00"/>
    <s v="6588874"/>
    <s v="Hernandez-Penaloza, Delfino"/>
    <s v="Outpatient"/>
    <x v="1"/>
    <n v="3901439928"/>
    <s v="811365131"/>
    <d v="1983-10-23T00:00:00"/>
    <s v="Chitlur, Abhijith Harish, MD"/>
    <s v="General"/>
    <s v="2"/>
    <d v="1899-12-30T12:46:00"/>
    <d v="1899-12-30T13:52:00"/>
    <n v="66"/>
    <d v="1899-12-30T13:00:00"/>
    <d v="1899-12-30T14:00:00"/>
    <n v="60"/>
    <d v="1899-12-30T12:46:00"/>
    <d v="1899-12-30T13:48:00"/>
    <n v="62"/>
    <d v="1899-12-30T13:06:00"/>
    <d v="1899-12-30T13:43:00"/>
    <d v="1899-12-30T13:48:00"/>
    <n v="62"/>
    <n v="37"/>
    <d v="1899-12-30T13:52:00"/>
    <d v="1899-12-30T14:16:00"/>
    <n v="24"/>
    <d v="1899-12-30T14:17:00"/>
    <d v="1899-12-30T14:55:00"/>
    <n v="38"/>
    <s v="SHME OR 01"/>
    <s v="Orthopedics"/>
    <s v="Yes"/>
    <s v="Kuhn, Kevin Matthew, Md"/>
    <s v="REMOVAL OF IMPLANT; DEEP (EG, BURIED WIRE, PIN, SCREW, METAL BAND, NAIL,ROD OR PLATE)_x000a_MANUAL APPLICATION OF STRESS PERFORMED BY PHYSICIAN OR OTHER QUALIFIEDHEALTH CARE PROFESSIONAL FOR JOINT RADIOGRAPHY, INCLUDING CONTRALATERALJOINT IF INDICATED"/>
    <s v="RIGHT KNEE HARDWARE REMOVAL,STRESS EXAM - Right"/>
    <s v="Tue"/>
    <m/>
    <m/>
    <m/>
    <s v="KUHN, KEVIN MATTHEW"/>
    <m/>
    <s v="Kevin Matthew Kuhn, MD"/>
    <m/>
    <s v="Kuhn"/>
  </r>
  <r>
    <d v="2026-08-04T00:00:00"/>
    <s v="6589030"/>
    <s v="Vought, Robert W"/>
    <s v="Inpatient"/>
    <x v="0"/>
    <n v="3901439966"/>
    <s v="607123779"/>
    <d v="1958-10-15T00:00:00"/>
    <s v="Ramos, Joshua Neftalie, MD"/>
    <s v="Regional"/>
    <s v="3"/>
    <d v="1899-12-30T07:28:00"/>
    <d v="1899-12-30T10:44:00"/>
    <n v="196"/>
    <d v="1899-12-30T07:30:00"/>
    <d v="1899-12-30T11:45:00"/>
    <n v="255"/>
    <d v="1899-12-30T07:28:00"/>
    <d v="1899-12-30T10:35:00"/>
    <n v="187"/>
    <d v="1899-12-30T08:16:00"/>
    <d v="1899-12-30T10:17:00"/>
    <d v="1899-12-30T10:35:00"/>
    <n v="187"/>
    <n v="121"/>
    <d v="1899-12-30T10:35:00"/>
    <d v="1899-12-30T11:04:04"/>
    <n v="29"/>
    <m/>
    <m/>
    <m/>
    <s v="SHME OR 10"/>
    <s v="Urology"/>
    <s v="Yes"/>
    <s v="Salem, Carol Elizabeth, Md"/>
    <s v="URETEROENTEROSTOMY, DIRECT ANASTOMOSIS OF URETER TO INTESTINE_x000a_ENTEROLYSIS (FREEING OF INTESTINAL ADHESION) (SEPARATE PROCEDURE)"/>
    <s v="OPEN MAJOR LYSIS OF ADHESIONS, RIGHT URETER REIMPLANT - Right"/>
    <s v="Tue"/>
    <m/>
    <m/>
    <m/>
    <s v="SALEM, CAROL ELIZABETH"/>
    <m/>
    <s v="Carol Elizabeth Salem, MD"/>
    <m/>
    <s v="Salem"/>
  </r>
  <r>
    <d v="2026-08-04T00:00:00"/>
    <s v="6376935"/>
    <s v="France, Maya N"/>
    <s v="Outpatient"/>
    <x v="1"/>
    <n v="3901401745"/>
    <s v="811331119"/>
    <d v="1993-07-25T00:00:00"/>
    <s v="Li, Robin T, MD"/>
    <s v="General"/>
    <s v="2"/>
    <d v="1899-12-30T14:05:00"/>
    <d v="1899-12-30T14:47:00"/>
    <n v="42"/>
    <d v="1899-12-30T13:30:00"/>
    <d v="1899-12-30T14:30:00"/>
    <n v="60"/>
    <d v="1899-12-30T14:05:00"/>
    <d v="1899-12-30T14:39:00"/>
    <n v="34"/>
    <d v="1899-12-30T14:21:00"/>
    <d v="1899-12-30T14:34:00"/>
    <d v="1899-12-30T14:39:00"/>
    <n v="34"/>
    <n v="13"/>
    <d v="1899-12-30T14:41:00"/>
    <d v="1899-12-30T15:16:00"/>
    <n v="35"/>
    <d v="1899-12-30T15:17:00"/>
    <d v="1899-12-30T15:31:00"/>
    <n v="14"/>
    <s v="SHME OR 16"/>
    <s v="Obstetrics"/>
    <s v="No"/>
    <s v="Hefzi, Nousha, Md"/>
    <s v="COLPOSCOPY OF THE CERVIX INCLUDING UPPER/ADJACENT VAGINA; WITH LOOPELECTRODE BIOPSY(S) OF THE CERVIX"/>
    <s v="LEEP - N/A"/>
    <s v="Tue"/>
    <m/>
    <m/>
    <m/>
    <s v="HEFZI, NOUSHA"/>
    <m/>
    <s v="Nousha Hefzi, MD"/>
    <m/>
    <s v="Hefzi"/>
  </r>
  <r>
    <d v="2026-08-04T00:00:00"/>
    <s v="6597298"/>
    <s v="Hobbs, Patricia"/>
    <s v="Outpatient"/>
    <x v="1"/>
    <n v="3901442839"/>
    <s v="810713902"/>
    <d v="1989-11-14T00:00:00"/>
    <s v="Ngo, Donald Hanh, MD"/>
    <s v="Monitor Anesthesia Care"/>
    <s v="1"/>
    <d v="1899-12-30T14:40:00"/>
    <d v="1899-12-30T15:23:00"/>
    <n v="43"/>
    <d v="1899-12-30T14:30:00"/>
    <d v="1899-12-30T15:30:00"/>
    <n v="60"/>
    <d v="1899-12-30T14:40:00"/>
    <d v="1899-12-30T15:16:00"/>
    <n v="36"/>
    <d v="1899-12-30T14:52:00"/>
    <d v="1899-12-30T15:14:00"/>
    <d v="1899-12-30T15:16:00"/>
    <n v="36"/>
    <n v="22"/>
    <d v="1899-12-30T15:20:00"/>
    <d v="1899-12-30T15:42:00"/>
    <n v="22"/>
    <d v="1899-12-30T15:43:00"/>
    <d v="1899-12-30T16:18:00"/>
    <n v="35"/>
    <s v="SHME OR 02"/>
    <s v="General"/>
    <s v="No"/>
    <s v="Lim, Lian, Md"/>
    <s v="EXCISION, TUMOR, SOFT TISSUE OF BACK OR FLANK, SUBCUTANEOUS; 3 CM ORGREATER"/>
    <s v="RIGHT UPPER BACK MASS EXCISION - Right"/>
    <s v="Tue"/>
    <m/>
    <m/>
    <m/>
    <s v="LIM, LIAN"/>
    <m/>
    <s v="Lian Lim, MD"/>
    <m/>
    <s v="Lim"/>
  </r>
  <r>
    <d v="2026-08-04T00:00:00"/>
    <s v="6598770"/>
    <s v="Aguinaldo, Jen L"/>
    <s v="Outpatient"/>
    <x v="1"/>
    <n v="3901441979"/>
    <s v="810677882"/>
    <d v="1988-11-30T00:00:00"/>
    <s v="Li, Robin T, MD"/>
    <s v="General"/>
    <s v="2"/>
    <d v="1899-12-30T07:56:00"/>
    <d v="1899-12-30T10:25:00"/>
    <n v="149"/>
    <d v="1899-12-30T07:30:00"/>
    <d v="1899-12-30T09:30:00"/>
    <n v="120"/>
    <d v="1899-12-30T07:56:00"/>
    <d v="1899-12-30T10:16:00"/>
    <n v="140"/>
    <d v="1899-12-30T08:21:00"/>
    <d v="1899-12-30T10:09:00"/>
    <d v="1899-12-30T10:16:00"/>
    <n v="140"/>
    <n v="108"/>
    <d v="1899-12-30T10:17:55"/>
    <d v="1899-12-30T12:02:00"/>
    <n v="105"/>
    <m/>
    <m/>
    <m/>
    <s v="SHME OR 05"/>
    <s v="ENT"/>
    <s v="No"/>
    <s v="Mansfield, Perry Thomas, Md, Frcpc"/>
    <s v="STEREOTACTIC COMPUTER-ASSISTED (NAVIGATIONAL) PROCEDURE; CRANIAL,EXTRADURAL (LIST SEPARATELY IN ADDITION TO CODE FOR PRIMARY PROCEDURE)_x000a_SEPTOPLASTY OR SUBMUCOUS RESECTION, WITH OR WITHOUT CARTILAGE SCORING,CONTOURING OR REPLACEMENT WITH GRAFT_x000a_CARTILAGE GRAFT; NASAL SEPTUM_x000a_REPAIR, COMPLEX, EYELIDS, NOSE, EARS AND/OR LIPS; 1.1 CM TO 2.5 CM_x000a_EXCISION OF BONE (EG, FOR OSTEOMYELITIS OR BONE ABSCESS); FACIAL BONE(S)_x000a_FRACTURE NASAL INFERIOR TURBINATE(S), THERAPEUTIC_x000a_NASAL/SINUS ENDOSCOPY, SURGICAL WITH FRONTAL SINUS EXPLORATION, WITH ORWITHOUT REMOVAL OF TISSUE FROM FRONTAL SINUS_x000a_NASAL/SINUS ENDOSCOPY, SURGICAL, WITH MAXILLARY ANTROSTOMY; WITH REMOVALOF TISSUE FROM MAXILLARY SINUS_x000a_NASAL/SINUS ENDOSCOPY, SURGICAL WITH ETHMOIDECTOMY; TOTAL (ANTERIOR AND POSTERIOR), INCLUDING SPHENOIDOTOMY, WITH REMOVAL OF TISSUE FROM THE SPHENOID SINUS_x000a_NASAL/SINUS ENDOSCOPY, SURGICAL; WITH MEDIAL ORBITAL WALL AND INFERIORORBITAL WALL DECOMPRESSION"/>
    <s v="USE OF STEREOTACTIC NAVIGATION, SEPTOPLASTY, NASAL SEPTUM CARTILAGE GRAFT, TURBINATE OUTFRACTURE, BILATERAL FRONTAL SINUSOTOMY, BILATERAL MAXILLARY ANTROSTOMY,BILATERAL TOTAL ETHMOIDECTOMY AND SPHENOIDOTOMY, LEFT ORBITAL DECOMPRESSION - N/A"/>
    <s v="Tue"/>
    <m/>
    <m/>
    <m/>
    <s v="MANSFIELD, PERRY THOMAS"/>
    <m/>
    <s v="Perry Thomas Mansfield, MD, FRCPC"/>
    <m/>
    <s v="Mansfield"/>
  </r>
  <r>
    <d v="2026-08-04T00:00:00"/>
    <s v="6599969"/>
    <s v="Carruitero, Martha"/>
    <s v="Outpatient"/>
    <x v="1"/>
    <n v="3901442163"/>
    <s v="610060511"/>
    <d v="1951-09-03T00:00:00"/>
    <s v="Julian, Jeric Israel Burguillos, DO"/>
    <s v="General"/>
    <s v="3"/>
    <d v="1899-12-30T09:48:00"/>
    <d v="1899-12-30T11:03:00"/>
    <n v="75"/>
    <d v="1899-12-30T09:45:00"/>
    <d v="1899-12-30T11:00:00"/>
    <n v="75"/>
    <d v="1899-12-30T09:48:00"/>
    <d v="1899-12-30T10:58:00"/>
    <n v="70"/>
    <d v="1899-12-30T10:19:00"/>
    <d v="1899-12-30T10:50:00"/>
    <d v="1899-12-30T10:58:00"/>
    <n v="70"/>
    <n v="31"/>
    <d v="1899-12-30T11:02:51"/>
    <d v="1899-12-30T11:20:00"/>
    <n v="18"/>
    <d v="1899-12-30T11:21:00"/>
    <d v="1899-12-30T11:55:00"/>
    <n v="34"/>
    <s v="SHME OR 15"/>
    <s v="General"/>
    <s v="Yes"/>
    <s v="Bertucci, William Robert, Md"/>
    <s v="LAPAROSCOPY, SURGICAL, GASTRIC RESTRICTIVE PROCEDURE; REMOVAL OFADJUSTABLE GASTRIC RESTRICTIVE DEVICE AND SUBCUTANEOUS PORT COMPONENTS"/>
    <s v="ROBOTIC GASTRIC BAND REMOVAL - N/A"/>
    <s v="Tue"/>
    <m/>
    <m/>
    <m/>
    <s v="BERTUCCI, WILLIAM ROBERT_x000a_TALLER, JANOS"/>
    <s v="Panel 1: Dr. Bertucci, William Robert, MD / Taller, Janos, MD"/>
    <s v="William Robert Bertucci, MD"/>
    <m/>
    <s v="Bertucci"/>
  </r>
  <r>
    <d v="2026-08-04T00:00:00"/>
    <s v="6600076"/>
    <s v="Rosario, Alyana V"/>
    <s v="Inpatient"/>
    <x v="0"/>
    <n v="3901442469"/>
    <s v="811480789"/>
    <d v="1992-11-12T00:00:00"/>
    <s v="Julian, Jeric Israel Burguillos, DO"/>
    <s v="General"/>
    <s v="3"/>
    <d v="1899-12-30T07:32:00"/>
    <d v="1899-12-30T09:13:00"/>
    <n v="101"/>
    <d v="1899-12-30T07:30:00"/>
    <d v="1899-12-30T09:15:00"/>
    <n v="105"/>
    <d v="1899-12-30T07:32:00"/>
    <d v="1899-12-30T09:08:00"/>
    <n v="96"/>
    <d v="1899-12-30T08:05:00"/>
    <d v="1899-12-30T09:01:00"/>
    <d v="1899-12-30T09:08:00"/>
    <n v="96"/>
    <n v="56"/>
    <d v="1899-12-30T09:10:00"/>
    <d v="1899-12-30T09:33:00"/>
    <n v="23"/>
    <d v="1899-12-30T09:33:00"/>
    <d v="1899-12-30T12:50:00"/>
    <n v="197"/>
    <s v="SHME OR 15"/>
    <s v="General"/>
    <s v="No"/>
    <s v="Taller, Janos, Md"/>
    <s v="LAPAROSCOPY, SURGICAL, GASTRIC RESTRICTIVE PROCEDURE; LONGITUDINALGASTRECTOMY (IE, SLEEVE GASTRECTOMY)"/>
    <s v="ROBOTIC SLEEVE GASTRECTOMY - N/A"/>
    <s v="Tue"/>
    <m/>
    <m/>
    <m/>
    <s v="TALLER, JANOS_x000a_BERTUCCI, WILLIAM ROBERT"/>
    <s v="Panel 1: Dr. Taller, Janos, MD / Bertucci, William Robert, MD"/>
    <s v="Janos Taller, MD"/>
    <m/>
    <s v="Taller"/>
  </r>
  <r>
    <d v="2026-08-04T00:00:00"/>
    <s v="6600121"/>
    <s v="Perez-Ackerman, Melissa"/>
    <s v="Inpatient"/>
    <x v="0"/>
    <n v="3901442484"/>
    <s v="701697751"/>
    <d v="1980-09-16T00:00:00"/>
    <s v="Julian, Jeric Israel Burguillos, DO"/>
    <s v="General"/>
    <s v="3"/>
    <d v="1899-12-30T11:41:00"/>
    <d v="1899-12-30T13:41:00"/>
    <n v="120"/>
    <d v="1899-12-30T11:30:00"/>
    <d v="1899-12-30T14:00:00"/>
    <n v="150"/>
    <d v="1899-12-30T11:41:00"/>
    <d v="1899-12-30T13:35:00"/>
    <n v="114"/>
    <d v="1899-12-30T12:36:00"/>
    <d v="1899-12-30T13:27:00"/>
    <d v="1899-12-30T13:35:00"/>
    <n v="114"/>
    <n v="51"/>
    <d v="1899-12-30T13:37:00"/>
    <d v="1899-12-30T14:09:00"/>
    <n v="32"/>
    <m/>
    <m/>
    <m/>
    <s v="SHME OR 15"/>
    <s v="General"/>
    <s v="No"/>
    <s v="Taller, Janos, Md"/>
    <s v="LAPAROSCOPY, ABDOMEN, PERITONEUM, AND OMENTUM, DIAGNOSTIC, WITH ORWITHOUT COLLECTION OF SPECIMEN(S) BY BRUSHING OR WASHING (SEPARATEPROCEDURE)"/>
    <s v="ROBOTIC BARIATRIC DIAGNOSTIC LAPAROSCOPY - N/A"/>
    <s v="Tue"/>
    <m/>
    <m/>
    <m/>
    <s v="TALLER, JANOS_x000a_BERTUCCI, WILLIAM ROBERT"/>
    <s v="Panel 1: Dr. Taller, Janos, MD / Bertucci, William Robert, MD"/>
    <s v="Janos Taller, MD"/>
    <m/>
    <s v="Taller"/>
  </r>
  <r>
    <d v="2026-08-04T00:00:00"/>
    <s v="6600903"/>
    <s v="Richardson, Wayne"/>
    <s v="Outpatient"/>
    <x v="1"/>
    <n v="3901442339"/>
    <s v="810041014"/>
    <d v="1940-02-13T00:00:00"/>
    <s v="Saunders, Reed Michael, MD"/>
    <s v="General"/>
    <s v="3"/>
    <d v="1899-12-30T10:00:00"/>
    <d v="1899-12-30T11:18:00"/>
    <n v="78"/>
    <d v="1899-12-30T10:00:00"/>
    <d v="1899-12-30T11:15:00"/>
    <n v="75"/>
    <d v="1899-12-30T10:00:00"/>
    <d v="1899-12-30T11:12:00"/>
    <n v="72"/>
    <d v="1899-12-30T10:21:00"/>
    <d v="1899-12-30T11:06:00"/>
    <d v="1899-12-30T11:12:00"/>
    <n v="72"/>
    <n v="45"/>
    <d v="1899-12-30T11:15:52"/>
    <d v="1899-12-30T12:29:00"/>
    <n v="74"/>
    <d v="1899-12-30T12:30:00"/>
    <d v="1899-12-30T13:26:47"/>
    <n v="56"/>
    <s v="SHME OR 01"/>
    <s v="Urology"/>
    <s v="No"/>
    <s v="Dicks, Brian Michael, Md"/>
    <s v="LASER VAPORIZATION OF PROSTATE, INCLUDING CONTROL OF POSTOPERATIVEBLEEDING, COMPLETE (VASECTOMY, MEATOTOMY, CYSTOURETHROSCOPY, URETHRALCALIBRATION AND/OR DILATION, INTERNAL URETHROTOMY AND TRANSURET"/>
    <s v="GREENLIGHT LASER VAPORIZATION OF THE PROSTATE - N/A"/>
    <s v="Tue"/>
    <m/>
    <m/>
    <m/>
    <s v="DICKS, BRIAN MICHAEL"/>
    <m/>
    <s v="Brian Michael Dicks, MD"/>
    <m/>
    <s v="Dicks"/>
  </r>
  <r>
    <d v="2026-08-04T00:00:00"/>
    <s v="6603533"/>
    <s v="Hensley, Cary D"/>
    <s v="Inpatient"/>
    <x v="0"/>
    <n v="3901442878"/>
    <s v="701646720"/>
    <d v="1969-03-11T00:00:00"/>
    <s v="Narla, Vinod Venkat, MD"/>
    <s v="General"/>
    <s v="3"/>
    <d v="1899-12-30T07:35:00"/>
    <d v="1899-12-30T10:30:00"/>
    <n v="175"/>
    <d v="1899-12-30T07:30:00"/>
    <d v="1899-12-30T10:30:00"/>
    <n v="180"/>
    <d v="1899-12-30T07:35:00"/>
    <d v="1899-12-30T10:22:00"/>
    <n v="167"/>
    <d v="1899-12-30T08:24:00"/>
    <d v="1899-12-30T10:08:00"/>
    <d v="1899-12-30T10:22:00"/>
    <n v="167"/>
    <n v="104"/>
    <d v="1899-12-30T10:23:42"/>
    <d v="1899-12-30T12:15:00"/>
    <n v="112"/>
    <m/>
    <m/>
    <m/>
    <s v="SHME OR 06"/>
    <s v="General"/>
    <s v="No"/>
    <s v="Fernandez, Nathanial, Md"/>
    <s v="THROMBOENDARTERECTOMY, INCLUDING PATCH GRAFT, IF PERFORMED; CAROTID,VERTEBRAL, SUBCLAVIAN, BY NECK INCISION"/>
    <s v="RIGHT CAROTID ENDARTERECTOMY - Right"/>
    <s v="Tue"/>
    <m/>
    <m/>
    <m/>
    <s v="FERNANDEZ, NATHANIAL"/>
    <m/>
    <s v="Nathanial Fernandez, MD"/>
    <m/>
    <s v="Fernandez"/>
  </r>
  <r>
    <d v="2026-08-04T00:00:00"/>
    <s v="6603548"/>
    <s v="Navarro, Jesus"/>
    <s v="Inpatient"/>
    <x v="0"/>
    <n v="3901435138"/>
    <s v="811475894"/>
    <d v="1963-07-08T00:00:00"/>
    <s v="Narla, Vinod Venkat, MD"/>
    <s v="General"/>
    <s v="4"/>
    <d v="1899-12-30T11:24:00"/>
    <d v="1899-12-30T14:46:00"/>
    <n v="202"/>
    <d v="1899-12-30T11:00:00"/>
    <d v="1899-12-30T13:30:00"/>
    <n v="150"/>
    <d v="1899-12-30T11:24:00"/>
    <d v="1899-12-30T14:35:00"/>
    <n v="191"/>
    <d v="1899-12-30T11:47:00"/>
    <d v="1899-12-30T13:49:00"/>
    <d v="1899-12-30T14:35:00"/>
    <n v="191"/>
    <n v="122"/>
    <m/>
    <m/>
    <m/>
    <m/>
    <m/>
    <m/>
    <s v="SHME OR 06"/>
    <s v="Vascular"/>
    <s v="Not on file"/>
    <s v="Fernandez, Nathanial, Md"/>
    <s v="CREATION OF ARTERIOVENOUS FISTULA BY OTHER THAN DIRECT ARTERIOVENOUSANASTOMOSIS (SEPARATE PROCEDURE); NONAUTOGENOUS GRAFT (EG, BIOLOGICALCOLLAGEN, THERMOPLASTIC GRAFT)"/>
    <s v="LEFT UPPER EXTREMITY ARTERIOVENOUS GRAFT - Left"/>
    <s v="Tue"/>
    <m/>
    <m/>
    <m/>
    <s v="FERNANDEZ, NATHANIAL"/>
    <m/>
    <s v="Nathanial Fernandez, MD"/>
    <m/>
    <s v="Fernandez"/>
  </r>
  <r>
    <d v="2026-08-04T00:00:00"/>
    <s v="6605345"/>
    <s v="Issa, Hiyam"/>
    <s v="Outpatient"/>
    <x v="1"/>
    <n v="3901443144"/>
    <s v="701724290"/>
    <d v="1952-07-01T00:00:00"/>
    <s v="Nwabueze, Onyemaechi, MD"/>
    <s v="Regional"/>
    <s v="3"/>
    <d v="1899-12-30T14:46:00"/>
    <d v="1899-12-30T16:43:00"/>
    <n v="117"/>
    <d v="1899-12-30T14:15:00"/>
    <d v="1899-12-30T16:15:00"/>
    <n v="120"/>
    <d v="1899-12-30T14:46:00"/>
    <d v="1899-12-30T16:33:00"/>
    <n v="107"/>
    <d v="1899-12-30T15:30:00"/>
    <d v="1899-12-30T16:25:00"/>
    <d v="1899-12-30T16:33:00"/>
    <n v="107"/>
    <n v="55"/>
    <d v="1899-12-30T16:38:00"/>
    <d v="1899-12-30T17:30:00"/>
    <n v="52"/>
    <d v="1899-12-30T17:31:00"/>
    <d v="1899-12-30T18:50:00"/>
    <n v="79"/>
    <s v="SHME OR 04"/>
    <s v="Orthopedics"/>
    <s v="No"/>
    <s v="Kansara, Devanshu Velji, Md"/>
    <s v="ARTHROSCOPY, SHOULDER, SURGICAL; WITH ROTATOR CUFF REPAIR_x000a_ARTHROSCOPY, SHOULDER, SURGICAL; DECOMPRESSION OF SUBACROMIAL SPACE WITHPARTIAL ACROMIOPLASTY, WITH OR WITHOUT CORACOACROMIAL RELEASE"/>
    <s v="LEFT SHOULDER ARTHROSCOPIC ROTATOR CUFF REPAIR AND SUBACROMIAL DECOMPRESSION - Left"/>
    <s v="Tue"/>
    <m/>
    <m/>
    <m/>
    <s v="KANSARA, DEVANSHU VELJI"/>
    <m/>
    <s v="Devanshu Velji Kansara, MD"/>
    <m/>
    <s v="Kansara"/>
  </r>
  <r>
    <d v="2026-08-04T00:00:00"/>
    <s v="6607207"/>
    <s v="Lemus, Vanessa M"/>
    <s v="Outpatient"/>
    <x v="1"/>
    <n v="3901443624"/>
    <s v="811466765"/>
    <d v="1992-11-13T00:00:00"/>
    <s v="Baja, Diosdado An Jr., MD"/>
    <s v="General"/>
    <s v="1"/>
    <d v="1899-12-30T11:13:00"/>
    <d v="1899-12-30T12:17:00"/>
    <n v="64"/>
    <d v="1899-12-30T11:15:00"/>
    <d v="1899-12-30T12:00:00"/>
    <n v="45"/>
    <d v="1899-12-30T11:13:00"/>
    <d v="1899-12-30T12:13:00"/>
    <n v="60"/>
    <d v="1899-12-30T11:50:00"/>
    <d v="1899-12-30T12:07:00"/>
    <d v="1899-12-30T12:13:00"/>
    <n v="60"/>
    <n v="17"/>
    <d v="1899-12-30T12:15:00"/>
    <d v="1899-12-30T12:41:00"/>
    <n v="26"/>
    <d v="1899-12-30T12:42:00"/>
    <d v="1899-12-30T14:12:00"/>
    <n v="90"/>
    <s v="SHME OR 16"/>
    <s v="Gynecology"/>
    <s v="No"/>
    <s v="Brahmbhatt, Bhoomi Manoj, Md"/>
    <s v="TREATMENT OF MISSED ABORTION, COMPLETED SURGICALLY; FIRST TRIMESTER"/>
    <s v="DILATION AND CURETTAGE (SUCTION D&amp;C) - N/A"/>
    <s v="Tue"/>
    <m/>
    <m/>
    <m/>
    <s v="BRAHMBHATT, BHOOMI MANOJ"/>
    <m/>
    <s v="Bhoomi Manoj Brahmbhatt, MD (858-493-1833)"/>
    <m/>
    <s v="Brahmbhatt"/>
  </r>
  <r>
    <d v="2026-08-04T00:00:00"/>
    <s v="6607958"/>
    <s v="Palacios, Maximo"/>
    <s v="Inpatient"/>
    <x v="0"/>
    <n v="3400724225"/>
    <s v="610607611"/>
    <d v="1948-10-20T00:00:00"/>
    <s v="Yehushua, Liora, MD"/>
    <s v="General"/>
    <s v="4"/>
    <d v="1899-12-30T09:40:00"/>
    <d v="1899-12-30T17:32:00"/>
    <n v="472"/>
    <d v="1899-12-30T09:30:00"/>
    <d v="1899-12-30T15:00:00"/>
    <n v="330"/>
    <d v="1899-12-30T09:40:00"/>
    <d v="1899-12-30T17:15:00"/>
    <n v="455"/>
    <d v="1899-12-30T11:42:00"/>
    <d v="1899-12-30T16:34:00"/>
    <d v="1899-12-30T17:15:00"/>
    <n v="455"/>
    <n v="292"/>
    <m/>
    <m/>
    <m/>
    <m/>
    <m/>
    <m/>
    <s v="SHME OR 07"/>
    <s v="Cardiothoracic"/>
    <s v="Yes"/>
    <s v="Williams, David Mccann, Md"/>
    <s v="TRANSCATHETER AORTIC VALVE REPLACEMENT (TAVR/TAVI) WITH PROSTHETICVALVE; OPEN AXILLARY ARTERY APPROACH_x000a_REPLACEMENT, AORTIC VALVE, OPEN, WITH CARDIOPULMONARY BYPASS; WITH PROSTHETICVALVE OTHER THAN HOMOGRAFT OR STENTLESS VALVE"/>
    <s v="TAVR EXPLANT; AORTIC VALVE REPLACEMENT - N/A"/>
    <s v="Tue"/>
    <m/>
    <m/>
    <m/>
    <s v="WILLIAMS, DAVID MCCANN_x000a_ISLAMI MANUCHEHRY, MOHAMMAD HOSEIN"/>
    <s v="Panel 1: Dr. Williams, David McCann, MD / Islami Manuchehry, Mohammad Hosein, MD"/>
    <s v="David McCann Williams, MD"/>
    <m/>
    <s v="Williams"/>
  </r>
  <r>
    <d v="2026-08-04T00:00:00"/>
    <s v="6618087"/>
    <s v="Ocampo, Claudia"/>
    <s v="Inpatient"/>
    <x v="0"/>
    <n v="3901445299"/>
    <s v="400446602"/>
    <d v="1972-11-14T00:00:00"/>
    <s v="Ramos, Joshua Neftalie, MD"/>
    <s v="Monitor Anesthesia Care"/>
    <s v="3"/>
    <d v="1899-12-30T16:24:00"/>
    <d v="1899-12-30T17:24:00"/>
    <n v="60"/>
    <d v="1899-12-30T16:00:00"/>
    <d v="1899-12-30T17:00:00"/>
    <n v="60"/>
    <d v="1899-12-30T16:24:00"/>
    <d v="1899-12-30T17:15:00"/>
    <n v="51"/>
    <d v="1899-12-30T16:45:00"/>
    <d v="1899-12-30T17:10:00"/>
    <d v="1899-12-30T17:15:00"/>
    <n v="51"/>
    <n v="25"/>
    <d v="1899-12-30T17:19:29"/>
    <d v="1899-12-30T17:49:04"/>
    <n v="30"/>
    <m/>
    <m/>
    <m/>
    <s v="SHME OR 06"/>
    <s v="Podiatry"/>
    <s v="Yes"/>
    <s v="Rice, Brittany Michelle Caridad, Dpm"/>
    <s v="SECONDARY CLOSURE OF SURGICAL WOUND OR DEHISCENCE, EXTENSIVE ORCOMPLICATED_x000a_OSTECTOMY, COMPLETE EXCISION; OTHER METATARSAL HEAD (SECOND, THIRD ORFOURTH)"/>
    <s v="RIGHT FOOT DELAYED PRIMARY CLOSURE WITH POSSIBLE PARTIAL SECOND RAY RESECTION WITH REMOVAL OF ALL NON-VIABLE SOFT TISSUE AND BONE - Right"/>
    <s v="Tue"/>
    <m/>
    <m/>
    <m/>
    <s v="RICE, BRITTANY MICHELLE CARIDAD"/>
    <m/>
    <s v="Brittany Michelle Caridad Rice, DPM"/>
    <m/>
    <s v="Rice"/>
  </r>
  <r>
    <d v="2026-08-04T00:00:00"/>
    <s v="6618598"/>
    <s v="Arana Trujillo, Agapito"/>
    <s v="Inpatient"/>
    <x v="0"/>
    <n v="3901445554"/>
    <s v="810795781"/>
    <d v="1935-10-10T00:00:00"/>
    <s v="Ramos, Joshua Neftalie, MD"/>
    <s v="General"/>
    <s v="3"/>
    <d v="1899-12-30T15:11:00"/>
    <d v="1899-12-30T16:14:00"/>
    <n v="63"/>
    <d v="1899-12-30T15:30:00"/>
    <d v="1899-12-30T16:40:00"/>
    <n v="70"/>
    <d v="1899-12-30T15:11:00"/>
    <d v="1899-12-30T16:05:00"/>
    <n v="54"/>
    <d v="1899-12-30T15:48:00"/>
    <d v="1899-12-30T15:57:00"/>
    <d v="1899-12-30T16:05:00"/>
    <n v="54"/>
    <n v="9"/>
    <d v="1899-12-30T16:10:00"/>
    <d v="1899-12-30T17:10:56"/>
    <n v="60"/>
    <m/>
    <m/>
    <m/>
    <s v="SHME OR 10"/>
    <s v="Urology"/>
    <s v="No"/>
    <s v="Salem, Carol Elizabeth, Md"/>
    <s v="CYSTOURETHROSCOPY, WITH FULGURATION (INCLUDING CRYOSURGERY OR LASERSURGERY) AND/OR RESECTION OF; LARGE BLADDER TUMOR(S)"/>
    <s v="CYSTOURETHROSCOPY, WITH FULGURATION (INCLUDING CRYOSURGERY OR LASERSURGERY) AND/OR RESECTION OF; LARGE BLADDER TUMOR(S) - N/A"/>
    <s v="Tue"/>
    <m/>
    <m/>
    <m/>
    <s v="SALEM, CAROL ELIZABETH"/>
    <m/>
    <s v="Carol Elizabeth Salem, MD"/>
    <m/>
    <s v="Salem"/>
  </r>
  <r>
    <d v="2026-08-04T00:00:00"/>
    <s v="6619102"/>
    <s v="Zendejas, Theresa A"/>
    <s v="Inpatient"/>
    <x v="0"/>
    <n v="3400726801"/>
    <s v="604940199"/>
    <d v="1966-09-22T00:00:00"/>
    <s v="Julian, Jeric Israel Burguillos, DO"/>
    <s v="Regional"/>
    <s v="2"/>
    <d v="1899-12-30T14:33:00"/>
    <d v="1899-12-30T16:00:00"/>
    <n v="87"/>
    <d v="1899-12-30T14:30:00"/>
    <d v="1899-12-30T16:45:00"/>
    <n v="135"/>
    <d v="1899-12-30T14:33:00"/>
    <d v="1899-12-30T15:56:00"/>
    <n v="83"/>
    <d v="1899-12-30T14:59:00"/>
    <d v="1899-12-30T15:49:00"/>
    <d v="1899-12-30T15:56:00"/>
    <n v="83"/>
    <n v="50"/>
    <d v="1899-12-30T15:57:34"/>
    <d v="1899-12-30T16:46:00"/>
    <n v="49"/>
    <m/>
    <m/>
    <m/>
    <s v="SHME OR 01"/>
    <s v="Orthopedics"/>
    <s v="No"/>
    <s v="Dromsky, David Michael, Md"/>
    <s v="OPEN TREATMENT OF DISTAL RADIAL INTRA-ARTICULAR FRACTURE OR EPIPHYSEALSEPARATION; WITH INTERNAL FIXATION OF 2 FRAGMENTS_x000a_MANUAL APPLICATION OF STRESS PERFORMED BY PHYSICIAN OR OTHER QUALIFIEDHEALTH CARE PROFESSIONAL FOR JOINT RADIOGRAPHY, INCLUDING CONTRALATERALJOINT IF INDICATED"/>
    <s v="RIGHT RADIUS OPEN REDUCTION INTERNAL FIXATOR,STRESS EXAM - Right"/>
    <s v="Tue"/>
    <m/>
    <m/>
    <m/>
    <s v="DROMSKY, DAVID MICHAEL"/>
    <m/>
    <s v="David Michael Dromsky, MD"/>
    <m/>
    <s v="Dromsky"/>
  </r>
  <r>
    <d v="2026-08-04T00:00:00"/>
    <s v="6619262"/>
    <s v="Arou, James Ayom"/>
    <s v="Inpatient"/>
    <x v="0"/>
    <n v="3901423434"/>
    <s v="811467118"/>
    <d v="1983-01-01T00:00:00"/>
    <s v="Saunders, Reed Michael, MD"/>
    <s v="General"/>
    <s v="3"/>
    <d v="1899-12-30T12:13:00"/>
    <d v="1899-12-30T14:55:00"/>
    <n v="162"/>
    <d v="1899-12-30T12:00:00"/>
    <d v="1899-12-30T14:15:00"/>
    <n v="135"/>
    <d v="1899-12-30T12:13:00"/>
    <d v="1899-12-30T14:55:00"/>
    <n v="162"/>
    <d v="1899-12-30T13:15:00"/>
    <d v="1899-12-30T14:32:00"/>
    <d v="1899-12-30T14:55:00"/>
    <n v="162"/>
    <n v="77"/>
    <m/>
    <m/>
    <m/>
    <m/>
    <m/>
    <m/>
    <s v="SHME OR 09"/>
    <s v="Neurosurgery"/>
    <s v="No"/>
    <s v="Zauner, Alois, Md"/>
    <s v="CRANIOPLASTY FOR SKULL DEFECT; LARGER THAN 5 CM DIAMETER_x000a_MICROSURGICAL TECHNIQUES, REQUIRING USE OF OPERATING MICROSCOPE (LISTSEPARATELY IN ADDITION TO CODE FOR PRIMARY PROCEDURE)"/>
    <s v="RIGHT SIDED CRANIOPLASTY UNDER GENERAL ANESTHESIA - Right"/>
    <s v="Tue"/>
    <m/>
    <s v="ED/IP/IC"/>
    <m/>
    <s v="ZAUNER, ALOIS"/>
    <m/>
    <s v="Alois Zauner, MD"/>
    <m/>
    <s v="Zauner"/>
  </r>
  <r>
    <d v="2026-08-04T00:00:00"/>
    <s v="6620005"/>
    <s v="Sanchez, Fabian J"/>
    <s v="Inpatient"/>
    <x v="0"/>
    <n v="3901446127"/>
    <s v="810340039"/>
    <d v="1999-11-19T00:00:00"/>
    <s v="Julian, Jeric Israel Burguillos, DO"/>
    <s v="General"/>
    <s v="2"/>
    <d v="1899-12-30T16:18:00"/>
    <d v="1899-12-30T18:11:00"/>
    <n v="113"/>
    <d v="1899-12-30T16:30:00"/>
    <d v="1899-12-30T18:50:00"/>
    <n v="140"/>
    <d v="1899-12-30T16:18:00"/>
    <d v="1899-12-30T18:06:00"/>
    <n v="108"/>
    <d v="1899-12-30T16:51:00"/>
    <d v="1899-12-30T18:02:00"/>
    <d v="1899-12-30T18:06:00"/>
    <n v="108"/>
    <n v="71"/>
    <d v="1899-12-30T18:08:00"/>
    <d v="1899-12-30T19:31:00"/>
    <n v="83"/>
    <m/>
    <m/>
    <m/>
    <s v="SHME OR 05"/>
    <s v="Orthopedics"/>
    <s v="No"/>
    <s v="Dromsky, David Michael, Md"/>
    <s v="OPEN TREATMENT OF FEMORAL SHAFT FRACTURE, WITH OR WITHOUT EXTERNALFIXATION, WITH INSERTION OF INTRAMEDULLARY IMPLANT, WITH OR WITHOUTCERCLAGE AND/OR LOCKING SCREWS"/>
    <s v="OPEN TREATMENT OF FEMORAL SHAFT FRACTURE, WITH OR WITHOUT EXTERNALFIXATION, WITH INSERTION OF INTRAMEDULLARY IMPLANT, WITH OR WITHOUTCERCLAGE AND/OR LOCKING SCREWS - Right"/>
    <s v="Tue"/>
    <m/>
    <m/>
    <m/>
    <s v="DROMSKY, DAVID MICHAEL"/>
    <m/>
    <s v="David Michael Dromsky, MD"/>
    <m/>
    <s v="Dromsky"/>
  </r>
  <r>
    <d v="2026-08-04T00:00:00"/>
    <s v="6441317"/>
    <s v="Bognar, Rosemary L"/>
    <s v="Outpatient"/>
    <x v="1"/>
    <n v="3901415504"/>
    <s v="700026087"/>
    <d v="1942-06-26T00:00:00"/>
    <s v="Ngo, Donald Hanh, MD"/>
    <s v="General"/>
    <s v="3"/>
    <d v="1899-12-30T09:48:00"/>
    <d v="1899-12-30T12:17:00"/>
    <n v="149"/>
    <d v="1899-12-30T09:30:00"/>
    <d v="1899-12-30T12:00:00"/>
    <n v="150"/>
    <d v="1899-12-30T09:48:00"/>
    <d v="1899-12-30T12:11:00"/>
    <n v="143"/>
    <d v="1899-12-30T10:16:00"/>
    <d v="1899-12-30T12:04:00"/>
    <d v="1899-12-30T12:11:00"/>
    <n v="143"/>
    <n v="108"/>
    <d v="1899-12-30T12:15:00"/>
    <d v="1899-12-30T13:01:00"/>
    <n v="46"/>
    <d v="1899-12-30T13:02:00"/>
    <d v="1899-12-30T13:41:00"/>
    <n v="39"/>
    <s v="SHME OR 14"/>
    <s v="General"/>
    <s v="No"/>
    <s v="Lim, Lian, Md"/>
    <s v="REPAIR OF ANTERIOR ABDOMINAL HERNIA(S) (IE, EPIGASTRIC, INCISIONAL, VENTRAL, UMBILICAL, SPIGELIAN), ANY APPROACH (IE, OPEN, LAPAROSCOPIC, ROBOTIC), INITIAL, INCLUDING IMPLANTATION OF MESH OR OTHER"/>
    <s v="ROBOTIC VENTRAL HERNIA REPAIR WITH MESH, POSSIBLE OPEN - N/A"/>
    <s v="Tue"/>
    <m/>
    <m/>
    <m/>
    <s v="LIM, LIAN"/>
    <m/>
    <s v="Lian Lim, MD"/>
    <m/>
    <s v="Lim"/>
  </r>
  <r>
    <d v="2026-08-04T00:00:00"/>
    <s v="6620314"/>
    <s v="Ferreyra Chavez, Seira"/>
    <s v="Outpatient"/>
    <x v="1"/>
    <n v="3901446176"/>
    <s v="810954452"/>
    <d v="2000-02-24T00:00:00"/>
    <s v="Chitlur, Abhijith Harish, MD"/>
    <s v="General"/>
    <s v="2"/>
    <d v="1899-12-30T10:30:00"/>
    <d v="1899-12-30T12:07:00"/>
    <n v="97"/>
    <d v="1899-12-30T10:15:00"/>
    <d v="1899-12-30T11:50:00"/>
    <n v="95"/>
    <d v="1899-12-30T10:30:00"/>
    <d v="1899-12-30T12:02:00"/>
    <n v="92"/>
    <d v="1899-12-30T10:54:00"/>
    <d v="1899-12-30T11:50:00"/>
    <d v="1899-12-30T12:02:00"/>
    <n v="92"/>
    <n v="56"/>
    <d v="1899-12-30T12:03:00"/>
    <d v="1899-12-30T13:16:00"/>
    <n v="73"/>
    <m/>
    <m/>
    <m/>
    <s v="SHME OR 02"/>
    <s v="General"/>
    <s v="No"/>
    <s v="Bansal, Vishal, Md"/>
    <s v="LAPAROSCOPY, SURGICAL; CHOLECYSTECTOMY"/>
    <s v="LAPAROSCOPY, SURGICAL; CHOLECYSTECTOMY - N/A"/>
    <s v="Tue"/>
    <m/>
    <m/>
    <m/>
    <s v="BANSAL, VISHAL"/>
    <m/>
    <s v="Vishal Bansal, MD"/>
    <m/>
    <s v="Bansal"/>
  </r>
  <r>
    <d v="2026-08-04T00:00:00"/>
    <s v="6620602"/>
    <s v="Romo, Cesar"/>
    <s v="Inpatient"/>
    <x v="0"/>
    <n v="3901446211"/>
    <s v="811478873"/>
    <d v="2001-08-29T00:00:00"/>
    <s v="Baja, Diosdado An Jr., MD"/>
    <s v="Regional"/>
    <s v="1"/>
    <d v="1899-12-30T13:02:00"/>
    <d v="1899-12-30T14:33:00"/>
    <n v="91"/>
    <d v="1899-12-30T13:00:00"/>
    <d v="1899-12-30T14:45:00"/>
    <n v="105"/>
    <d v="1899-12-30T12:59:00"/>
    <d v="1899-12-30T14:26:00"/>
    <n v="87"/>
    <d v="1899-12-30T13:25:00"/>
    <d v="1899-12-30T14:21:00"/>
    <d v="1899-12-30T14:26:00"/>
    <n v="87"/>
    <n v="56"/>
    <d v="1899-12-30T14:30:00"/>
    <d v="1899-12-30T15:25:52"/>
    <n v="55"/>
    <m/>
    <m/>
    <m/>
    <s v="SHME OR 05"/>
    <s v="Orthopedics"/>
    <s v="No"/>
    <s v="Quacinella, Michael Andrew, Do, Mph"/>
    <s v="OPEN TREATMENT OF CARPAL SCAPHOID (NAVICULAR) FRACTURE, INCLUDESINTERNAL FIXATION, WHEN PERFORMED"/>
    <s v="OPEN TREATMENT OF CARPAL SCAPHOID (NAVICULAR) FRACTURE, INCLUDESINTERNAL FIXATION, WHEN PERFORMED - Right"/>
    <s v="Tue"/>
    <m/>
    <m/>
    <m/>
    <s v="QUACINELLA, MICHAEL ANDREW"/>
    <m/>
    <s v="Michael Andrew Quacinella, DO, MPH"/>
    <m/>
    <s v="Quacinella"/>
  </r>
  <r>
    <d v="2026-08-04T00:00:00"/>
    <s v="6623206"/>
    <s v="Rangel, Raul"/>
    <s v="Inpatient"/>
    <x v="0"/>
    <n v="3901446747"/>
    <s v="700394491"/>
    <d v="2006-04-17T00:00:00"/>
    <s v="Ngo, Donald Hanh, MD"/>
    <s v="General"/>
    <s v="4"/>
    <d v="1899-12-30T15:37:00"/>
    <d v="1899-12-30T17:44:00"/>
    <n v="127"/>
    <d v="1899-12-30T16:00:00"/>
    <d v="1899-12-30T18:20:00"/>
    <n v="140"/>
    <d v="1899-12-30T15:37:00"/>
    <d v="1899-12-30T17:35:00"/>
    <n v="118"/>
    <d v="1899-12-30T15:58:00"/>
    <d v="1899-12-30T17:24:00"/>
    <d v="1899-12-30T17:35:00"/>
    <n v="118"/>
    <n v="86"/>
    <m/>
    <m/>
    <m/>
    <m/>
    <m/>
    <m/>
    <s v="SHME OR 03"/>
    <s v="General"/>
    <s v="No"/>
    <s v="Wallace, James David, Md"/>
    <s v="THORACOSCOPY; WITH DIAGNOSTIC BIOPSY(IES) OF LUNG INFILTRATE(S) (EG,WEDGE, INCISIONAL), UNILATERAL"/>
    <s v="LEFT THORACOTOMY - Left"/>
    <s v="Tue"/>
    <m/>
    <m/>
    <m/>
    <s v="WALLACE, JAMES DAVID_x000a_BANSAL, VISHAL"/>
    <s v="Panel 1: Dr. Wallace, James David, MD / Bansal, Vishal, MD"/>
    <s v="James David Wallace, MD"/>
    <m/>
    <s v="Wallace"/>
  </r>
  <r>
    <d v="2026-08-04T00:00:00"/>
    <s v="6623345"/>
    <s v="Padilla-Rivas, Samantha"/>
    <s v="Inpatient"/>
    <x v="0"/>
    <n v="3901446837"/>
    <s v="811483854"/>
    <d v="1999-09-10T00:00:00"/>
    <s v="Haidar, Jason, DO"/>
    <s v="General"/>
    <s v="2"/>
    <d v="1899-12-30T17:57:00"/>
    <d v="1899-12-30T19:42:00"/>
    <n v="105"/>
    <d v="1899-12-30T17:30:00"/>
    <d v="1899-12-30T19:10:00"/>
    <n v="100"/>
    <d v="1899-12-30T17:57:00"/>
    <d v="1899-12-30T19:37:00"/>
    <n v="100"/>
    <d v="1899-12-30T18:27:00"/>
    <d v="1899-12-30T19:16:00"/>
    <d v="1899-12-30T19:37:00"/>
    <n v="100"/>
    <n v="49"/>
    <d v="1899-12-30T19:38:00"/>
    <d v="1899-12-30T21:10:00"/>
    <n v="92"/>
    <m/>
    <m/>
    <m/>
    <s v="SHME OR 01"/>
    <s v="Orthopedics"/>
    <s v="No"/>
    <s v="Sanzone, Anthony Gerard, Md"/>
    <s v="DEBRIDEMENT INCLUDING REMOVAL OF FOREIGN MATERIAL AT THE SITE OF AN OPENFRACTURE AND/OR AN OPEN DISLOCATION (EG, EXCISIONAL DEBRIDEMENT); SKIN,SUBCUTANEOUS TISSUE, MUSCLE FASCIA, MUSCLE, AND BONE_x000a_APPLICATION OF A UNIPLANE (PINS OR WIRES IN 1 PLANE), UNILATERAL,EXTERNAL FIXATION SYSTEM_x000a_CLOSED TREATMENT OF TIBIAL SHAFT FRACTURE (WITH OR WITHOUT FIBULARFRACTURE); WITH MANIPULATION, WITH OR WITHOUT SKELETAL TRACTION"/>
    <s v="DEBRIDEMENT INCLUDING REMOVAL OF FOREIGN MATERIAL AT THE SITE OF AN OPENFRACTURE AND/OR AN OPEN DISLOCATION (EG, EXCISIONAL DEBRIDEMENT); SKIN,SUBCUTANEOUS TISSUE, MUSCLE FASCIA, MUSCLE, AND BONE - Left"/>
    <s v="Tue"/>
    <m/>
    <m/>
    <m/>
    <s v="SANZONE, ANTHONY GERARD_x000a_SANZONE, ANTHONY GERARD"/>
    <m/>
    <s v="Anthony Gerard Sanzone, MD (619-476-5519)"/>
    <m/>
    <s v="Sanzone"/>
  </r>
  <r>
    <d v="2026-08-04T00:00:00"/>
    <s v="6449628"/>
    <s v="Marx, Michael Kay"/>
    <s v="Outpatient"/>
    <x v="1"/>
    <n v="3901413897"/>
    <s v="811460121"/>
    <d v="1965-05-19T00:00:00"/>
    <s v="Nwabueze, Onyemaechi, MD"/>
    <s v="Regional"/>
    <s v="2"/>
    <d v="1899-12-30T11:14:00"/>
    <d v="1899-12-30T14:10:00"/>
    <n v="176"/>
    <d v="1899-12-30T10:45:00"/>
    <d v="1899-12-30T13:45:00"/>
    <n v="180"/>
    <d v="1899-12-30T11:14:00"/>
    <d v="1899-12-30T14:00:00"/>
    <n v="166"/>
    <d v="1899-12-30T11:58:00"/>
    <d v="1899-12-30T13:55:00"/>
    <d v="1899-12-30T14:00:00"/>
    <n v="166"/>
    <n v="117"/>
    <d v="1899-12-30T14:03:00"/>
    <d v="1899-12-30T14:46:00"/>
    <n v="43"/>
    <d v="1899-12-30T14:47:00"/>
    <d v="1899-12-30T16:41:00"/>
    <n v="114"/>
    <s v="SHME OR 04"/>
    <s v="Orthopedics"/>
    <s v="No"/>
    <s v="Kansara, Devanshu Velji, Md"/>
    <s v="ARTHROPLASTY, ACETABULAR AND PROXIMAL FEMORAL PROSTHETIC REPLACEMENT(TOTAL HIP ARTHROPLASTY), WITH OR WITHOUT AUTOGRAFT OR ALLOGRAFT"/>
    <s v="ANTERIOR RIGHT TOTAL HIP ARTHROPLASTY - Right"/>
    <s v="Tue"/>
    <m/>
    <m/>
    <m/>
    <s v="KANSARA, DEVANSHU VELJI"/>
    <m/>
    <s v="Devanshu Velji Kansara, MD"/>
    <m/>
    <s v="Kansara"/>
  </r>
  <r>
    <d v="2026-08-04T00:00:00"/>
    <s v="6449705"/>
    <s v="Pash, Courtney A"/>
    <s v="Outpatient"/>
    <x v="1"/>
    <n v="3901413917"/>
    <s v="810871978"/>
    <d v="1976-04-07T00:00:00"/>
    <s v="Baja, Diosdado An Jr., MD"/>
    <s v="General"/>
    <s v="1"/>
    <d v="1899-12-30T07:30:00"/>
    <d v="1899-12-30T08:15:00"/>
    <n v="45"/>
    <d v="1899-12-30T07:30:00"/>
    <d v="1899-12-30T08:15:00"/>
    <n v="45"/>
    <d v="1899-12-30T07:30:00"/>
    <d v="1899-12-30T08:10:00"/>
    <n v="40"/>
    <d v="1899-12-30T07:51:00"/>
    <d v="1899-12-30T08:06:00"/>
    <d v="1899-12-30T08:10:00"/>
    <n v="40"/>
    <n v="15"/>
    <d v="1899-12-30T08:15:00"/>
    <d v="1899-12-30T08:45:00"/>
    <n v="30"/>
    <d v="1899-12-30T08:46:00"/>
    <d v="1899-12-30T08:50:00"/>
    <n v="4"/>
    <s v="SHME OR 16"/>
    <s v="Gynecology"/>
    <s v="No"/>
    <s v="Van Den Heuvel, Kelly Leighanne, Md"/>
    <s v="HYSTEROSCOPY, SURGICAL; WITH SAMPLING (BIOPSY) OF ENDOMETRIUM AND/ORPOLYPECTOMY, WITH OR WITHOUT D &amp; C_x000a_COLPOSCOPY OF THE CERVIX INCLUDING UPPER/ADJACENT VAGINA; WITH LOOPELECTRODE BIOPSY(S) OF THE CERVIX"/>
    <s v="DILATION AND CURETTAGE HYSTEROSCOPY AND CERVICAL POLYPECTOMY VIA LEEP - N/A"/>
    <s v="Tue"/>
    <m/>
    <m/>
    <m/>
    <s v="VAN DEN HEUVEL, KELLY LEIGHANNE"/>
    <m/>
    <s v="Kelly Leighanne Van Den Heuvel, MD"/>
    <m/>
    <s v="Van Den Heuvel"/>
  </r>
  <r>
    <d v="2026-08-04T00:00:00"/>
    <s v="6451694"/>
    <s v="Reyes, Sandra E"/>
    <s v="Outpatient"/>
    <x v="1"/>
    <n v="3901414381"/>
    <s v="811246575"/>
    <d v="1986-10-11T00:00:00"/>
    <s v="Li, Robin T, MD"/>
    <s v="General"/>
    <s v="2"/>
    <d v="1899-12-30T15:22:00"/>
    <d v="1899-12-30T16:09:00"/>
    <n v="47"/>
    <d v="1899-12-30T15:00:00"/>
    <d v="1899-12-30T15:45:00"/>
    <n v="45"/>
    <d v="1899-12-30T15:22:00"/>
    <d v="1899-12-30T16:01:00"/>
    <n v="39"/>
    <d v="1899-12-30T15:39:00"/>
    <d v="1899-12-30T15:55:00"/>
    <d v="1899-12-30T16:01:00"/>
    <n v="39"/>
    <n v="16"/>
    <d v="1899-12-30T16:05:52"/>
    <d v="1899-12-30T17:12:21"/>
    <n v="67"/>
    <d v="1899-12-30T17:12:28"/>
    <d v="1899-12-30T17:17:23"/>
    <n v="5"/>
    <s v="SHME OR 16"/>
    <s v="Obstetrics"/>
    <s v="No"/>
    <s v="Hefzi, Nousha, Md"/>
    <s v="HYSTEROSCOPY, SURGICAL; WITH SAMPLING (BIOPSY) OF ENDOMETRIUM AND/ORPOLYPECTOMY, WITH OR WITHOUT D &amp; C_x000a_HYSTEROSCOPY, SURGICAL; WITH REMOVAL OF LEIOMYOMATA_x000a_REMOVAL OF INTRAUTERINE DEVICE (IUD)"/>
    <s v="HYSTEROSCOPY DILATION AND CURETTAGE POSSIBLE POLYPECTOMY, POSSIBLE MYOMECTOMY, IUD REMOVAL AND ALL OTHER INDICATED PROCEDURES - N/A"/>
    <s v="Tue"/>
    <m/>
    <m/>
    <m/>
    <s v="HEFZI, NOUSHA"/>
    <m/>
    <s v="Nousha Hefzi, MD"/>
    <m/>
    <s v="Hefzi"/>
  </r>
  <r>
    <d v="2026-08-04T00:00:00"/>
    <s v="6464896"/>
    <s v="HUTCHINS, Karen L"/>
    <s v="Outpatient"/>
    <x v="1"/>
    <n v="3901417257"/>
    <s v="810525005"/>
    <d v="1969-02-17T00:00:00"/>
    <s v="Baja, Diosdado An Jr., MD"/>
    <s v="General"/>
    <s v="2"/>
    <d v="1899-12-30T08:47:00"/>
    <d v="1899-12-30T09:32:00"/>
    <n v="45"/>
    <d v="1899-12-30T08:45:00"/>
    <d v="1899-12-30T09:30:00"/>
    <n v="45"/>
    <d v="1899-12-30T08:47:00"/>
    <d v="1899-12-30T09:29:00"/>
    <n v="42"/>
    <d v="1899-12-30T09:07:00"/>
    <d v="1899-12-30T09:23:00"/>
    <d v="1899-12-30T09:29:00"/>
    <n v="42"/>
    <n v="16"/>
    <d v="1899-12-30T09:31:00"/>
    <d v="1899-12-30T10:01:00"/>
    <n v="30"/>
    <d v="1899-12-30T10:02:00"/>
    <d v="1899-12-30T10:27:00"/>
    <n v="25"/>
    <s v="SHME OR 16"/>
    <s v="Gynecology"/>
    <s v="No"/>
    <s v="Van Den Heuvel, Kelly Leighanne, Md"/>
    <s v="HYSTEROSCOPY, SURGICAL; WITH SAMPLING (BIOPSY) OF ENDOMETRIUM AND/ORPOLYPECTOMY, WITH OR WITHOUT D &amp; C"/>
    <s v="DILATION AND CURETTAGE HYSTEROSCOPY, POLYPECTOMY - N/A"/>
    <s v="Tue"/>
    <m/>
    <m/>
    <m/>
    <s v="VAN DEN HEUVEL, KELLY LEIGHANNE"/>
    <m/>
    <s v="Kelly Leighanne Van Den Heuvel, MD"/>
    <m/>
    <s v="Van Den Heuvel"/>
  </r>
  <r>
    <d v="2026-08-04T00:00:00"/>
    <s v="6488516"/>
    <s v="Farley, Renee L"/>
    <s v="Outpatient"/>
    <x v="1"/>
    <n v="3901421761"/>
    <s v="701208963"/>
    <d v="1976-12-14T00:00:00"/>
    <s v="Baja, Diosdado An Jr., MD"/>
    <s v="General"/>
    <s v="2"/>
    <d v="1899-12-30T09:59:00"/>
    <d v="1899-12-30T10:40:00"/>
    <n v="41"/>
    <d v="1899-12-30T10:00:00"/>
    <d v="1899-12-30T10:45:00"/>
    <n v="45"/>
    <d v="1899-12-30T09:59:00"/>
    <d v="1899-12-30T10:37:00"/>
    <n v="38"/>
    <d v="1899-12-30T10:14:00"/>
    <d v="1899-12-30T10:32:00"/>
    <d v="1899-12-30T10:37:00"/>
    <n v="38"/>
    <n v="18"/>
    <d v="1899-12-30T10:38:00"/>
    <d v="1899-12-30T11:45:00"/>
    <n v="67"/>
    <d v="1899-12-30T11:46:00"/>
    <d v="1899-12-30T13:00:00"/>
    <n v="74"/>
    <s v="SHME OR 16"/>
    <s v="Gynecology"/>
    <s v="No"/>
    <s v="Van Den Heuvel, Kelly Leighanne, Md"/>
    <s v="HYSTEROSCOPY, SURGICAL; WITH SAMPLING (BIOPSY) OF ENDOMETRIUM AND/ORPOLYPECTOMY, WITH OR WITHOUT D &amp; C"/>
    <s v="DILATION AND CURETTAGE HYSTEROSCOPY - N/A"/>
    <s v="Tue"/>
    <m/>
    <m/>
    <m/>
    <s v="VAN DEN HEUVEL, KELLY LEIGHANNE"/>
    <m/>
    <s v="Kelly Leighanne Van Den Heuvel, MD"/>
    <m/>
    <s v="Van Den Heuvel"/>
  </r>
  <r>
    <d v="2026-08-04T00:00:00"/>
    <s v="6496669"/>
    <s v="Ibarra Valencia, Rosalia"/>
    <s v="Outpatient"/>
    <x v="1"/>
    <n v="3901422909"/>
    <s v="811300363"/>
    <d v="1970-04-15T00:00:00"/>
    <s v="Chitlur, Abhijith Harish, MD"/>
    <s v="General"/>
    <s v="2"/>
    <d v="1899-12-30T09:03:00"/>
    <d v="1899-12-30T09:52:00"/>
    <n v="49"/>
    <d v="1899-12-30T09:00:00"/>
    <d v="1899-12-30T10:00:00"/>
    <n v="60"/>
    <d v="1899-12-30T09:03:00"/>
    <d v="1899-12-30T09:45:00"/>
    <n v="42"/>
    <d v="1899-12-30T09:18:00"/>
    <d v="1899-12-30T09:36:00"/>
    <d v="1899-12-30T09:45:00"/>
    <n v="42"/>
    <n v="18"/>
    <d v="1899-12-30T09:50:26"/>
    <d v="1899-12-30T10:11:00"/>
    <n v="21"/>
    <d v="1899-12-30T10:12:00"/>
    <d v="1899-12-30T10:55:00"/>
    <n v="43"/>
    <s v="SHME OR 02"/>
    <s v="Gynecology"/>
    <s v="No"/>
    <s v="Lipschitz, Lisa Susan, Md"/>
    <s v="HYSTEROSCOPY, SURGICAL; WITH SAMPLING (BIOPSY) OF ENDOMETRIUM AND/ORPOLYPECTOMY, WITH OR WITHOUT D &amp; C_x000a_HYSTEROSCOPY, SURGICAL; WITH REMOVAL OF LEIOMYOMATA"/>
    <s v="HYSTEROSCOPY, DILATION AND CURETTAGE - N/A"/>
    <s v="Tue"/>
    <m/>
    <m/>
    <m/>
    <s v="LIPSCHITZ, LISA SUSAN"/>
    <m/>
    <s v="Lisa Susan Lipschitz, MD (619-681-7572)"/>
    <m/>
    <s v="Lipschitz"/>
  </r>
  <r>
    <d v="2026-08-04T00:00:00"/>
    <s v="6498969"/>
    <s v="Sanchez, Gema"/>
    <s v="Outpatient"/>
    <x v="1"/>
    <n v="3901423301"/>
    <s v="400424006"/>
    <d v="1972-08-12T00:00:00"/>
    <s v="Chitlur, Abhijith Harish, MD"/>
    <s v="General"/>
    <s v="2"/>
    <d v="1899-12-30T07:41:00"/>
    <d v="1899-12-30T08:32:00"/>
    <n v="51"/>
    <d v="1899-12-30T07:30:00"/>
    <d v="1899-12-30T08:30:00"/>
    <n v="60"/>
    <d v="1899-12-30T07:41:00"/>
    <d v="1899-12-30T08:24:00"/>
    <n v="43"/>
    <d v="1899-12-30T08:03:00"/>
    <d v="1899-12-30T08:17:00"/>
    <d v="1899-12-30T08:24:00"/>
    <n v="43"/>
    <n v="14"/>
    <d v="1899-12-30T08:27:00"/>
    <d v="1899-12-30T09:01:00"/>
    <n v="34"/>
    <d v="1899-12-30T09:02:00"/>
    <d v="1899-12-30T09:21:00"/>
    <n v="19"/>
    <s v="SHME OR 02"/>
    <s v="Gynecology"/>
    <s v="No"/>
    <s v="Lipschitz, Lisa Susan, Md"/>
    <s v="HYSTEROSCOPY, SURGICAL; WITH SAMPLING (BIOPSY) OF ENDOMETRIUM AND/ORPOLYPECTOMY, WITH OR WITHOUT D &amp; C_x000a_HYSTEROSCOPY, SURGICAL; WITH REMOVAL OF LEIOMYOMATA"/>
    <s v="HYSTEROSCOPY, DILATION AND CURETTAGE - N/A"/>
    <s v="Tue"/>
    <m/>
    <m/>
    <m/>
    <s v="LIPSCHITZ, LISA SUSAN"/>
    <m/>
    <s v="Lisa Susan Lipschitz, MD (619-681-7572)"/>
    <m/>
    <s v="Lipschitz"/>
  </r>
  <r>
    <d v="2026-08-05T00:00:00"/>
    <s v="6538845"/>
    <s v="Goretsky, Claire H"/>
    <s v="Inpatient"/>
    <x v="0"/>
    <n v="3901430687"/>
    <s v="811227827"/>
    <d v="1939-11-06T00:00:00"/>
    <s v="Vasant, Kris Kishore, MD"/>
    <s v="Regional"/>
    <s v="4"/>
    <d v="1899-12-30T06:27:00"/>
    <d v="1899-12-30T13:10:00"/>
    <n v="403"/>
    <d v="1899-12-30T06:15:00"/>
    <d v="1899-12-30T12:15:00"/>
    <n v="360"/>
    <d v="1899-12-30T06:27:00"/>
    <d v="1899-12-30T12:46:00"/>
    <n v="379"/>
    <d v="1899-12-30T08:21:00"/>
    <d v="1899-12-30T12:31:00"/>
    <d v="1899-12-30T12:46:00"/>
    <n v="379"/>
    <n v="250"/>
    <m/>
    <m/>
    <m/>
    <m/>
    <m/>
    <m/>
    <s v="SHME OR 08"/>
    <s v="Cardiothoracic"/>
    <s v="No"/>
    <s v="Hemp, James Robert, Md"/>
    <s v="REPLACEMENT, MITRAL VALVE, WITH CARDIOPULMONARY BYPASS_x000a_EXCLUSION OF LEFT ATRIAL APPENDAGE, OPEN, PERFORMED AT THE TIME OF OTHER STERNOTOMY OR THORACOTOMY PROCEDURE(S), ANY METHOD (EXCISION, ISOLATION VIA STAPLING, OVERSEWING, LIGATION, PLICATION, CLIP)_x000a_MEDIASTINOTOMY WITH EXPLORATION, DRAINAGE, REMOVAL OF FOREIGN BODY, ORBIOPSY; TRANSTHORACIC APPROACH, INCLUDING EITHER TRANSTHORACIC OR MEDIANSTERNOTOMY"/>
    <s v="ROBOTIC BIOPROSTHETIC MITRAL VALVE REPLACEMENT; POSSIBLE EXTERNAL LEFT ATRIAL APPENDAGE CLIP; POSSIBLE STERNOTOMY - N/A"/>
    <s v="Wed"/>
    <m/>
    <m/>
    <m/>
    <s v="HEMP, JAMES ROBERT_x000a_ISLAMI MANUCHEHRY, MOHAMMAD HOSEIN"/>
    <s v="Panel 1: Dr. Hemp, James Robert, MD / Islami Manuchehry, Mohammad Hosein, MD"/>
    <s v="James Robert Hemp, MD"/>
    <m/>
    <s v="Hemp"/>
  </r>
  <r>
    <d v="2026-08-05T00:00:00"/>
    <s v="6539971"/>
    <s v="Soares, Albert M"/>
    <s v="Inpatient"/>
    <x v="0"/>
    <n v="3901430811"/>
    <s v="200417232"/>
    <d v="1959-04-02T00:00:00"/>
    <s v="Baja, Diosdado An Jr., MD"/>
    <s v="General"/>
    <s v="3"/>
    <d v="1899-12-30T07:38:00"/>
    <d v="1899-12-30T10:34:00"/>
    <n v="176"/>
    <d v="1899-12-30T07:30:00"/>
    <d v="1899-12-30T10:45:00"/>
    <n v="195"/>
    <d v="1899-12-30T07:38:00"/>
    <d v="1899-12-30T10:29:00"/>
    <n v="171"/>
    <d v="1899-12-30T08:16:00"/>
    <d v="1899-12-30T10:21:00"/>
    <d v="1899-12-30T10:29:00"/>
    <n v="171"/>
    <n v="125"/>
    <d v="1899-12-30T10:31:00"/>
    <d v="1899-12-30T14:33:00"/>
    <n v="242"/>
    <m/>
    <m/>
    <m/>
    <s v="SHME OR 07"/>
    <s v="General"/>
    <s v="No"/>
    <s v="Dieffenbach, Bryan Vinson, Md"/>
    <s v="THROMBOENDARTERECTOMY, INCLUDING PATCH GRAFT, IF PERFORMED; CAROTID,VERTEBRAL, SUBCLAVIAN, BY NECK INCISION"/>
    <s v="LEFT CAROTID ENDARTERECTOMY - Left"/>
    <s v="Wed"/>
    <m/>
    <m/>
    <m/>
    <s v="DIEFFENBACH, BRYAN VINSON_x000a_FERNANDEZ, NATHANIAL"/>
    <s v="Panel 1: Dr. Dieffenbach, Bryan Vinson, MD / Fernandez, Nathanial, MD"/>
    <s v="Bryan Vinson Dieffenbach, MD"/>
    <m/>
    <s v="Dieffenbach"/>
  </r>
  <r>
    <d v="2026-08-05T00:00:00"/>
    <s v="6564087"/>
    <s v="Cabanatuan, Pamela"/>
    <s v="Outpatient"/>
    <x v="1"/>
    <n v="3901435257"/>
    <s v="811216949"/>
    <d v="1959-08-18T00:00:00"/>
    <s v="Saunders, Reed Michael, MD"/>
    <s v="General"/>
    <s v="1"/>
    <d v="1899-12-30T10:30:00"/>
    <d v="1899-12-30T11:47:00"/>
    <n v="77"/>
    <d v="1899-12-30T10:15:00"/>
    <d v="1899-12-30T11:30:00"/>
    <n v="75"/>
    <d v="1899-12-30T10:30:00"/>
    <d v="1899-12-30T11:44:00"/>
    <n v="74"/>
    <d v="1899-12-30T11:05:00"/>
    <d v="1899-12-30T11:35:00"/>
    <d v="1899-12-30T11:44:00"/>
    <n v="74"/>
    <n v="30"/>
    <d v="1899-12-30T11:46:48"/>
    <d v="1899-12-30T12:23:33"/>
    <n v="37"/>
    <d v="1899-12-30T12:23:34"/>
    <d v="1899-12-30T13:24:57"/>
    <n v="61"/>
    <s v="SHME OR 15"/>
    <s v="Gynecology"/>
    <s v="No"/>
    <s v="Hui, Kim, Md"/>
    <s v="COMBINED ANTEROPOSTERIOR COLPORRHAPHY;"/>
    <s v="ANTERIOR AND POSTERIOR REPAIR - N/A"/>
    <s v="Wed"/>
    <m/>
    <m/>
    <m/>
    <s v="HUI, KIM"/>
    <m/>
    <s v="Kim Hui, MD (619-407-1011)"/>
    <m/>
    <s v="Hui"/>
  </r>
  <r>
    <d v="2026-08-05T00:00:00"/>
    <s v="6356669"/>
    <s v="Trevino, Ana Claudia"/>
    <s v="Outpatient"/>
    <x v="1"/>
    <n v="3901396340"/>
    <s v="608188696"/>
    <d v="1967-06-27T00:00:00"/>
    <s v="Saunders, Reed Michael, MD"/>
    <s v="General"/>
    <s v="2"/>
    <d v="1899-12-30T07:30:00"/>
    <d v="1899-12-30T08:21:00"/>
    <n v="51"/>
    <d v="1899-12-30T07:30:00"/>
    <d v="1899-12-30T08:15:00"/>
    <n v="45"/>
    <d v="1899-12-30T07:30:00"/>
    <d v="1899-12-30T08:18:00"/>
    <n v="48"/>
    <d v="1899-12-30T07:58:00"/>
    <d v="1899-12-30T08:05:00"/>
    <d v="1899-12-30T08:18:00"/>
    <n v="48"/>
    <n v="7"/>
    <d v="1899-12-30T08:19:26"/>
    <d v="1899-12-30T08:33:15"/>
    <n v="14"/>
    <d v="1899-12-30T08:33:17"/>
    <d v="1899-12-30T09:45:00"/>
    <n v="72"/>
    <s v="SHME OR 15"/>
    <s v="Gynecology"/>
    <s v="No"/>
    <s v="Hui, Kim, Md"/>
    <s v="HYSTEROSCOPY, SURGICAL; WITH SAMPLING (BIOPSY) OF ENDOMETRIUM AND/ORPOLYPECTOMY, WITH OR WITHOUT D &amp; C"/>
    <s v="HYSTEROSCOPY DILATION AND CURETTAGE - N/A"/>
    <s v="Wed"/>
    <m/>
    <m/>
    <m/>
    <s v="HUI, KIM"/>
    <m/>
    <s v="Kim Hui, MD (619-407-1011)"/>
    <m/>
    <s v="Hui"/>
  </r>
  <r>
    <d v="2026-08-05T00:00:00"/>
    <s v="6568481"/>
    <s v="Croff, James L"/>
    <s v="Outpatient"/>
    <x v="1"/>
    <n v="3901435559"/>
    <s v="810130389"/>
    <d v="1953-03-26T00:00:00"/>
    <s v="Fan, Ting-Wei, MD"/>
    <s v="General"/>
    <s v="2"/>
    <d v="1899-12-30T07:35:00"/>
    <d v="1899-12-30T10:24:00"/>
    <n v="169"/>
    <d v="1899-12-30T07:30:00"/>
    <d v="1899-12-30T10:30:00"/>
    <n v="180"/>
    <d v="1899-12-30T07:35:00"/>
    <d v="1899-12-30T10:16:00"/>
    <n v="161"/>
    <d v="1899-12-30T08:07:00"/>
    <d v="1899-12-30T10:07:00"/>
    <d v="1899-12-30T10:16:00"/>
    <n v="161"/>
    <n v="120"/>
    <d v="1899-12-30T10:19:00"/>
    <d v="1899-12-30T11:13:14"/>
    <n v="54"/>
    <d v="1899-12-30T11:13:18"/>
    <d v="1899-12-30T12:17:56"/>
    <n v="64"/>
    <s v="SHME OR 09"/>
    <s v="General"/>
    <s v="No"/>
    <s v="Giurgiu, Dan I.N., Md"/>
    <s v="LAPAROSCOPY, SURGICAL; REPAIR INITIAL INGUINAL HERNIA"/>
    <s v="ROBOT REPAIR OF BILATERAL INGUINAL HERNIA WITH MESH, POSSIBLE OPEN. - Bilateral"/>
    <s v="Wed"/>
    <m/>
    <m/>
    <m/>
    <s v="GIURGIU, DAN I.N."/>
    <m/>
    <s v="Dan I.N. Giurgiu, MD (619-330-8330)"/>
    <m/>
    <s v="Giurgiu"/>
  </r>
  <r>
    <d v="2026-08-05T00:00:00"/>
    <s v="6570225"/>
    <s v="Ruedas Montenegro, Petra"/>
    <s v="Outpatient"/>
    <x v="1"/>
    <n v="3901435951"/>
    <s v="810105968"/>
    <d v="1961-04-03T00:00:00"/>
    <s v="Rayan, Hany A, MD"/>
    <s v="General"/>
    <s v="3"/>
    <d v="1899-12-30T07:41:00"/>
    <d v="1899-12-30T08:57:00"/>
    <n v="76"/>
    <d v="1899-12-30T07:30:00"/>
    <d v="1899-12-30T08:15:00"/>
    <n v="45"/>
    <d v="1899-12-30T07:41:00"/>
    <d v="1899-12-30T08:50:00"/>
    <n v="69"/>
    <d v="1899-12-30T07:59:00"/>
    <d v="1899-12-30T08:43:00"/>
    <d v="1899-12-30T08:50:00"/>
    <n v="69"/>
    <n v="44"/>
    <d v="1899-12-30T08:50:00"/>
    <d v="1899-12-30T11:24:00"/>
    <n v="154"/>
    <d v="1899-12-30T11:25:00"/>
    <d v="1899-12-30T12:36:40"/>
    <n v="71"/>
    <s v="SHME OR 10"/>
    <s v="General"/>
    <s v="No"/>
    <s v="Langenberg, Bret James, Do"/>
    <s v="LAPAROSCOPY, SURGICAL; CHOLECYSTECTOMY"/>
    <s v="LAPAROSCOPIC CHOLECYSTECTOMY WITH LIVER BIOPSY - N/A"/>
    <s v="Wed"/>
    <m/>
    <m/>
    <m/>
    <s v="LANGENBERG, BRET JAMES"/>
    <m/>
    <s v="Bret James Langenberg, DO"/>
    <m/>
    <s v="Langenberg"/>
  </r>
  <r>
    <d v="2026-08-05T00:00:00"/>
    <s v="6570234"/>
    <s v="Coffey, John J"/>
    <s v="Outpatient"/>
    <x v="1"/>
    <n v="3901435952"/>
    <s v="100698134"/>
    <d v="1964-07-04T00:00:00"/>
    <s v="Rayan, Hany A, MD"/>
    <s v="General"/>
    <s v="2"/>
    <d v="1899-12-30T09:22:00"/>
    <d v="1899-12-30T10:19:00"/>
    <n v="57"/>
    <d v="1899-12-30T08:45:00"/>
    <d v="1899-12-30T10:00:00"/>
    <n v="75"/>
    <d v="1899-12-30T09:22:00"/>
    <d v="1899-12-30T10:10:00"/>
    <n v="48"/>
    <d v="1899-12-30T09:38:00"/>
    <d v="1899-12-30T10:02:00"/>
    <d v="1899-12-30T10:10:00"/>
    <n v="48"/>
    <n v="24"/>
    <d v="1899-12-30T10:11:29"/>
    <d v="1899-12-30T11:14:00"/>
    <n v="63"/>
    <d v="1899-12-30T11:15:00"/>
    <d v="1899-12-30T14:43:00"/>
    <n v="208"/>
    <s v="SHME OR 10"/>
    <s v="General"/>
    <s v="No"/>
    <s v="Langenberg, Bret James, Do"/>
    <s v="REPAIR OF ANTERIOR ABDOMINAL HERNIA(S) (IE, EPIGASTRIC, INCISIONAL, VENTRAL, UMBILICAL, SPIGELIAN), ANY APPROACH, INITIAL, TOTAL LENGTH OF DEFECT(S); 3 CM TO 10 CM, INCARCERATED OR STRANGULATED"/>
    <s v="OPEN REPAIR UMBILICAL HERNIA WITH MESH - N/A"/>
    <s v="Wed"/>
    <m/>
    <m/>
    <m/>
    <s v="LANGENBERG, BRET JAMES"/>
    <m/>
    <s v="Bret James Langenberg, DO"/>
    <m/>
    <s v="Langenberg"/>
  </r>
  <r>
    <d v="2026-08-05T00:00:00"/>
    <s v="6572228"/>
    <s v="Williams, Maria"/>
    <s v="Outpatient"/>
    <x v="1"/>
    <n v="3901436564"/>
    <s v="700055061"/>
    <d v="1968-04-27T00:00:00"/>
    <s v="Saunders, Reed Michael, MD"/>
    <s v="General"/>
    <s v="3"/>
    <d v="1899-12-30T12:09:00"/>
    <d v="1899-12-30T12:43:00"/>
    <n v="34"/>
    <d v="1899-12-30T12:00:00"/>
    <d v="1899-12-30T12:45:00"/>
    <n v="45"/>
    <d v="1899-12-30T12:09:00"/>
    <d v="1899-12-30T12:40:00"/>
    <n v="31"/>
    <d v="1899-12-30T12:27:00"/>
    <d v="1899-12-30T12:33:00"/>
    <d v="1899-12-30T12:40:00"/>
    <n v="31"/>
    <n v="6"/>
    <d v="1899-12-30T12:43:00"/>
    <d v="1899-12-30T13:31:33"/>
    <n v="48"/>
    <d v="1899-12-30T13:31:36"/>
    <d v="1899-12-30T13:53:35"/>
    <n v="22"/>
    <s v="SHME OR 14"/>
    <s v="Gynecology"/>
    <s v="No"/>
    <s v="Hui, Kim, Md"/>
    <s v="HYSTEROSCOPY, SURGICAL; WITH SAMPLING (BIOPSY) OF ENDOMETRIUM AND/ORPOLYPECTOMY, WITH OR WITHOUT D &amp; C"/>
    <s v="HYSTEROSCOPY DILATION AND CURETTAGE - N/A"/>
    <s v="Wed"/>
    <m/>
    <m/>
    <m/>
    <s v="HUI, KIM"/>
    <m/>
    <s v="Kim Hui, MD (619-407-1011)"/>
    <m/>
    <s v="Hui"/>
  </r>
  <r>
    <d v="2026-08-05T00:00:00"/>
    <s v="6578725"/>
    <s v="Tan, Takeshi"/>
    <s v="Inpatient"/>
    <x v="0"/>
    <n v="3901437776"/>
    <s v="607436408"/>
    <d v="1951-12-13T00:00:00"/>
    <s v="Saunders, Reed Michael, MD"/>
    <s v="Regional"/>
    <s v="2"/>
    <d v="1899-12-30T12:54:00"/>
    <d v="1899-12-30T14:34:00"/>
    <n v="100"/>
    <d v="1899-12-30T13:00:00"/>
    <d v="1899-12-30T15:30:00"/>
    <n v="150"/>
    <d v="1899-12-30T12:54:00"/>
    <d v="1899-12-30T14:30:00"/>
    <n v="96"/>
    <d v="1899-12-30T13:17:00"/>
    <d v="1899-12-30T14:07:00"/>
    <d v="1899-12-30T14:30:00"/>
    <n v="96"/>
    <n v="50"/>
    <d v="1899-12-30T14:33:00"/>
    <d v="1899-12-30T16:13:00"/>
    <n v="100"/>
    <m/>
    <m/>
    <m/>
    <s v="SHME OR 10"/>
    <s v="General"/>
    <s v="No"/>
    <s v="Isho, Mathew S, Md"/>
    <s v="LAPAROSCOPY, SURGICAL; COLECTOMY, PARTIAL, WITH REMOVAL OF TERMINALILEUM WITH ILEOCOLOSTOMY"/>
    <s v="ROBOTIC, POSSIBLE OPEN PARTIAL  COLECTOMY, OMENTECTOMY, SPLENIC FLEXURE MOBILIZATION - N/A"/>
    <s v="Wed"/>
    <m/>
    <m/>
    <m/>
    <s v="ISHO, MATHEW S_x000a_CASTEEL, CHRISTINA MARIE"/>
    <s v="Panel 1: Dr. Isho, Mathew S, MD / Casteel, Christina Marie, MD"/>
    <s v="Mathew S Isho, MD"/>
    <s v="Casteel, Christina Marie"/>
    <s v="Isho"/>
  </r>
  <r>
    <d v="2026-08-05T00:00:00"/>
    <s v="6582290"/>
    <s v="Alvarez, Jean S"/>
    <s v="Outpatient"/>
    <x v="1"/>
    <n v="3901438590"/>
    <s v="701718111"/>
    <d v="1964-06-07T00:00:00"/>
    <s v="Baja, Diosdado An Jr., MD"/>
    <s v="General"/>
    <s v="3"/>
    <d v="1899-12-30T11:18:00"/>
    <d v="1899-12-30T12:44:00"/>
    <n v="86"/>
    <d v="1899-12-30T11:15:00"/>
    <d v="1899-12-30T12:45:00"/>
    <n v="90"/>
    <d v="1899-12-30T11:18:00"/>
    <d v="1899-12-30T12:37:00"/>
    <n v="79"/>
    <d v="1899-12-30T11:45:00"/>
    <d v="1899-12-30T12:34:00"/>
    <d v="1899-12-30T12:37:00"/>
    <n v="79"/>
    <n v="49"/>
    <d v="1899-12-30T12:43:53"/>
    <d v="1899-12-30T13:41:00"/>
    <n v="58"/>
    <d v="1899-12-30T13:42:00"/>
    <d v="1899-12-30T14:26:00"/>
    <n v="44"/>
    <s v="SHME OR 07"/>
    <s v="General"/>
    <s v="Yes"/>
    <s v="Dieffenbach, Bryan Vinson, Md"/>
    <s v="REVISION, OPEN, ARTERIOVENOUS FISTULA; WITHOUT THROMBECTOMY, AUTOGENOUSOR NONAUTOGENOUS DIALYSIS GRAFT (SEPARATE PROCEDURE)"/>
    <s v="REVISION LEFT ARM ARTERIOVENOUS GRAFT - Left"/>
    <s v="Wed"/>
    <m/>
    <m/>
    <m/>
    <s v="DIEFFENBACH, BRYAN VINSON"/>
    <m/>
    <s v="Bryan Vinson Dieffenbach, MD"/>
    <m/>
    <s v="Dieffenbach"/>
  </r>
  <r>
    <d v="2026-08-05T00:00:00"/>
    <s v="6589420"/>
    <s v="Cymer, Peter"/>
    <s v="Outpatient"/>
    <x v="1"/>
    <n v="3901440047"/>
    <s v="811027087"/>
    <d v="1954-07-29T00:00:00"/>
    <s v="Nalbandian, Dikran Hratch, MD"/>
    <s v="General"/>
    <s v="3"/>
    <d v="1899-12-30T07:37:00"/>
    <d v="1899-12-30T08:22:00"/>
    <n v="45"/>
    <d v="1899-12-30T07:30:00"/>
    <d v="1899-12-30T08:15:00"/>
    <n v="45"/>
    <d v="1899-12-30T07:37:00"/>
    <d v="1899-12-30T08:15:00"/>
    <n v="38"/>
    <d v="1899-12-30T07:54:00"/>
    <d v="1899-12-30T08:06:00"/>
    <d v="1899-12-30T08:15:00"/>
    <n v="38"/>
    <n v="12"/>
    <d v="1899-12-30T08:15:45"/>
    <d v="1899-12-30T09:01:00"/>
    <n v="46"/>
    <d v="1899-12-30T09:02:00"/>
    <d v="1899-12-30T10:57:00"/>
    <n v="115"/>
    <s v="SHME OR 16"/>
    <s v="Urology"/>
    <s v="No"/>
    <s v="Salem, Carol Elizabeth, Md"/>
    <s v="CYSTOURETHROSCOPY, WITH BIOPSY(S)_x000a_BLADDER INSTILLATION OF ANTICARCINOGENIC AGENT (INCLUDING RETENTIONTIME)"/>
    <s v="CYSTOSCOPY WITH BLADDER BIOPSY AND GEMCITABINE BLADDER INSTILLATION - N/A"/>
    <s v="Wed"/>
    <m/>
    <m/>
    <m/>
    <s v="SALEM, CAROL ELIZABETH"/>
    <m/>
    <s v="Carol Elizabeth Salem, MD"/>
    <m/>
    <s v="Salem"/>
  </r>
  <r>
    <d v="2026-08-05T00:00:00"/>
    <s v="6592352"/>
    <s v="Cruz, Gerardo A"/>
    <s v="Outpatient"/>
    <x v="1"/>
    <n v="3901440670"/>
    <s v="811477075"/>
    <d v="1981-10-03T00:00:00"/>
    <s v="Fan, Ting-Wei, MD"/>
    <s v="General"/>
    <s v="1"/>
    <d v="1899-12-30T10:56:00"/>
    <d v="1899-12-30T11:38:00"/>
    <n v="42"/>
    <d v="1899-12-30T10:30:00"/>
    <d v="1899-12-30T11:00:00"/>
    <n v="30"/>
    <d v="1899-12-30T10:56:00"/>
    <d v="1899-12-30T11:29:00"/>
    <n v="33"/>
    <d v="1899-12-30T11:05:00"/>
    <d v="1899-12-30T11:21:00"/>
    <d v="1899-12-30T11:29:00"/>
    <n v="33"/>
    <n v="16"/>
    <d v="1899-12-30T11:32:33"/>
    <d v="1899-12-30T12:21:00"/>
    <n v="49"/>
    <d v="1899-12-30T12:22:00"/>
    <d v="1899-12-30T13:01:00"/>
    <n v="39"/>
    <s v="SHME OR 10"/>
    <s v="General"/>
    <s v="No"/>
    <s v="Langenberg, Bret James, Do"/>
    <s v="SURGICAL TREATMENT OF ANAL FISTULA (FISTULECTOMY/FISTULOTOMY);TRANSSPHINCTERIC, SUPRASPHINCTERIC, EXTRASPHINCTERIC OR MULTIPLE,INCLUDING PLACEMENT OF SETON, WHEN PERFORMED"/>
    <s v="ANAL FISTULECTOMY WITH POSSIBLE SETON PLACEMENT - N/A"/>
    <s v="Wed"/>
    <m/>
    <m/>
    <m/>
    <s v="LANGENBERG, BRET JAMES"/>
    <m/>
    <s v="Bret James Langenberg, DO"/>
    <m/>
    <s v="Langenberg"/>
  </r>
  <r>
    <d v="2026-08-05T00:00:00"/>
    <s v="6601254"/>
    <s v="Huinquez, Alma Alicia"/>
    <s v="Outpatient"/>
    <x v="1"/>
    <n v="3901442414"/>
    <s v="811154371"/>
    <d v="1968-12-22T00:00:00"/>
    <s v="Nalbandian, Dikran Hratch, MD"/>
    <s v="General"/>
    <s v="2"/>
    <d v="1899-12-30T08:49:00"/>
    <d v="1899-12-30T09:42:00"/>
    <n v="53"/>
    <d v="1899-12-30T08:45:00"/>
    <d v="1899-12-30T09:30:00"/>
    <n v="45"/>
    <d v="1899-12-30T08:49:00"/>
    <d v="1899-12-30T09:35:00"/>
    <n v="46"/>
    <d v="1899-12-30T09:17:00"/>
    <d v="1899-12-30T09:30:00"/>
    <d v="1899-12-30T09:35:00"/>
    <n v="46"/>
    <n v="13"/>
    <d v="1899-12-30T09:35:50"/>
    <d v="1899-12-30T10:05:00"/>
    <n v="30"/>
    <d v="1899-12-30T10:06:00"/>
    <d v="1899-12-30T11:41:00"/>
    <n v="95"/>
    <s v="SHME OR 16"/>
    <s v="Urology"/>
    <s v="No"/>
    <s v="Salem, Carol Elizabeth, Md"/>
    <s v="CYSTOURETHROSCOPY, WITH INSERTION OF INDWELLING URETERAL STENT (EG,GIBBONS OR DOUBLE-J TYPE)_x000a_UROGRAPHY, RETROGRADE, WITH OR WITHOUT KUB"/>
    <s v="CYSTOSCOPY, LEFT RETROGRADE PYELOGRAM, LEFT URETERAL STENT PLACEMENT - Left"/>
    <s v="Wed"/>
    <m/>
    <m/>
    <m/>
    <s v="SALEM, CAROL ELIZABETH"/>
    <m/>
    <s v="Carol Elizabeth Salem, MD"/>
    <m/>
    <s v="Salem"/>
  </r>
  <r>
    <d v="2026-08-05T00:00:00"/>
    <s v="6603170"/>
    <s v="Nespoli, Sheila"/>
    <s v="Outpatient"/>
    <x v="1"/>
    <n v="3901442803"/>
    <s v="811479384"/>
    <d v="1953-01-03T00:00:00"/>
    <s v="Chitlur, Abhijith Harish, MD"/>
    <s v="Regional"/>
    <s v="2"/>
    <d v="1899-12-30T13:07:00"/>
    <d v="1899-12-30T15:31:00"/>
    <n v="144"/>
    <d v="1899-12-30T11:15:00"/>
    <d v="1899-12-30T13:45:00"/>
    <n v="150"/>
    <d v="1899-12-30T13:07:00"/>
    <d v="1899-12-30T15:23:00"/>
    <n v="136"/>
    <d v="1899-12-30T13:33:00"/>
    <d v="1899-12-30T15:19:00"/>
    <d v="1899-12-30T15:23:00"/>
    <n v="136"/>
    <n v="106"/>
    <d v="1899-12-30T15:28:00"/>
    <d v="1899-12-30T17:59:00"/>
    <n v="151"/>
    <d v="1899-12-30T18:00:00"/>
    <d v="1899-12-30T19:31:11"/>
    <n v="91"/>
    <s v="SHME OR 01"/>
    <s v="Orthopedics"/>
    <s v="No"/>
    <s v="Kopp, Franz John, Md"/>
    <s v="OPEN TREATMENT OF TARSAL BONE FRACTURE (EXCEPT TALUS AND CALCANEUS),INCLUDES INTERNAL FIXATION, WHEN PERFORMED, EACH_x000a_OPEN TREATMENT OF TARSOMETATARSAL JOINT DISLOCATION, INCLUDES INTERNALFIXATION, WHEN PERFORMED_x000a_OPEN TREATMENT OF METATARSAL FRACTURE, INCLUDES INTERNAL FIXATION, WHENPERFORMED, EACH_x000a_MANUAL APPLICATION OF STRESS PERFORMED BY PHYSICIAN OR OTHER QUALIFIEDHEALTH CARE PROFESSIONAL FOR JOINT RADIOGRAPHY, INCLUDING CONTRALATERALJOINT IF INDICATED_x000a_FLUOROSCOPY (SEPARATE PROCEDURE), UP TO 1 HOUR PHYSICIAN OR OTHERQUALIFIED HEALTH CARE PROFESSIONAL TIME, OTHER THAN 71023 OR 71034 (EG,CARDIAC FLUOROSCOPY)"/>
    <s v="RIGHT FOOT MANUAL STRESS EXAMINATION UNDER ANESTHESIA, OPEN REDUCTION INTERNAL FIXATION OF MULTIPLE TARSOMETATARSAL FRACTURE DISLOCATIONS - Right"/>
    <s v="Wed"/>
    <m/>
    <m/>
    <m/>
    <s v="KOPP, FRANZ JOHN"/>
    <m/>
    <s v="Franz John Kopp, MD"/>
    <m/>
    <s v="Kopp"/>
  </r>
  <r>
    <d v="2026-08-05T00:00:00"/>
    <s v="6604798"/>
    <s v="Nosti, Charles Q"/>
    <s v="Outpatient"/>
    <x v="1"/>
    <n v="3901443036"/>
    <s v="811481362"/>
    <d v="2008-04-29T00:00:00"/>
    <s v="Chitlur, Abhijith Harish, MD"/>
    <s v="Regional"/>
    <s v="1"/>
    <d v="1899-12-30T15:50:00"/>
    <d v="1899-12-30T18:48:00"/>
    <n v="178"/>
    <d v="1899-12-30T16:00:00"/>
    <d v="1899-12-30T18:00:00"/>
    <n v="120"/>
    <d v="1899-12-30T15:50:00"/>
    <d v="1899-12-30T18:39:00"/>
    <n v="169"/>
    <d v="1899-12-30T16:28:00"/>
    <d v="1899-12-30T18:32:00"/>
    <d v="1899-12-30T18:39:00"/>
    <n v="169"/>
    <n v="124"/>
    <d v="1899-12-30T18:41:20"/>
    <d v="1899-12-30T19:05:47"/>
    <n v="24"/>
    <d v="1899-12-30T19:05:49"/>
    <d v="1899-12-30T19:47:00"/>
    <n v="42"/>
    <s v="SHME OR 05"/>
    <s v="Orthopedics"/>
    <s v="No"/>
    <s v="Kopp, Franz John, Md"/>
    <s v="OPEN TREATMENT OF METATARSAL FRACTURE, INCLUDES INTERNAL FIXATION, WHENPERFORMED, EACH_x000a_OPEN TREATMENT OF TARSOMETATARSAL JOINT DISLOCATION, INCLUDES INTERNALFIXATION, WHEN PERFORMED_x000a_OPEN TREATMENT OF DISTAL TIBIOFIBULAR JOINT (SYNDESMOSIS) DISRUPTION,INCLUDES INTERNAL FIXATION, WHEN PERFORMED_x000a_FLUOROSCOPY (SEPARATE PROCEDURE), UP TO 1 HOUR PHYSICIAN OR OTHERQUALIFIED HEALTH CARE PROFESSIONAL TIME, OTHER THAN 71023 OR 71034 (EG,CARDIAC FLUOROSCOPY)"/>
    <s v="RIGHT FOOT OPEN REDUCTION INTERNAL FIXATION OF SECOND, THRID , FOURTH METATARSALS POSSIBLE OPEN REDUCION INTERNAL FIXATION OF LIZFRANC - Right"/>
    <s v="Wed"/>
    <m/>
    <m/>
    <m/>
    <s v="KOPP, FRANZ JOHN"/>
    <m/>
    <s v="Franz John Kopp, MD"/>
    <m/>
    <s v="Kopp"/>
  </r>
  <r>
    <d v="2026-08-05T00:00:00"/>
    <s v="6607494"/>
    <s v="Cancassi, Mikayla R"/>
    <s v="Outpatient"/>
    <x v="1"/>
    <n v="3901443688"/>
    <s v="811403637"/>
    <d v="2001-09-12T00:00:00"/>
    <s v="Chung, Michelle Sheryl, MD"/>
    <s v="General"/>
    <s v="2"/>
    <d v="1899-12-30T07:28:00"/>
    <d v="1899-12-30T10:15:00"/>
    <n v="167"/>
    <d v="1899-12-30T07:30:00"/>
    <d v="1899-12-30T09:00:00"/>
    <n v="90"/>
    <d v="1899-12-30T07:28:00"/>
    <d v="1899-12-30T10:11:00"/>
    <n v="163"/>
    <d v="1899-12-30T07:53:00"/>
    <d v="1899-12-30T10:08:00"/>
    <d v="1899-12-30T10:11:00"/>
    <n v="163"/>
    <n v="135"/>
    <d v="1899-12-30T10:15:04"/>
    <d v="1899-12-30T10:45:58"/>
    <n v="30"/>
    <d v="1899-12-30T10:46:01"/>
    <d v="1899-12-30T11:52:52"/>
    <n v="66"/>
    <s v="SHME OR 14"/>
    <s v="Podiatry"/>
    <s v="No"/>
    <s v="Tukuafu, Jesse Tipasa, Dpm"/>
    <s v="REMOVAL OF IMPLANT; DEEP (EG, BURIED WIRE, PIN, SCREW, METAL BAND, NAIL,ROD OR PLATE)_x000a_BONE GRAFT, ANY DONOR AREA; MINOR OR SMALL (EG, DOWEL OR BUTTON)_x000a_OPEN TREATMENT OF METATARSAL FRACTURE, INCLUDES INTERNAL FIXATION, WHENPERFORMED, EACH"/>
    <s v="RIGHT FOOT 1ST METATARSAL NON-UNION OPEN REDUCTION INTERNAL FIXATION, HARDWARE REMOVAL AND CALCANEAL AUTOGRAFT HARVEST - Right"/>
    <s v="Wed"/>
    <m/>
    <m/>
    <m/>
    <s v="TUKUAFU, JESSE TIPASA"/>
    <m/>
    <s v="Jesse Tipasa Tukuafu, DPM"/>
    <m/>
    <s v="Tukuafu"/>
  </r>
  <r>
    <d v="2026-08-05T00:00:00"/>
    <s v="6607657"/>
    <s v="Gutierrez, Gonzalo P"/>
    <s v="Inpatient"/>
    <x v="0"/>
    <n v="3901437239"/>
    <s v="701841788"/>
    <d v="1954-01-10T00:00:00"/>
    <s v="Yehushua, Liora, MD"/>
    <s v="General"/>
    <s v="4"/>
    <d v="1899-12-30T07:30:00"/>
    <d v="1899-12-30T13:27:00"/>
    <n v="357"/>
    <d v="1899-12-30T07:30:00"/>
    <d v="1899-12-30T11:30:00"/>
    <n v="240"/>
    <d v="1899-12-30T07:37:00"/>
    <d v="1899-12-30T13:17:00"/>
    <n v="340"/>
    <d v="1899-12-30T09:23:00"/>
    <d v="1899-12-30T12:54:00"/>
    <d v="1899-12-30T13:17:00"/>
    <n v="340"/>
    <n v="211"/>
    <m/>
    <m/>
    <m/>
    <m/>
    <m/>
    <m/>
    <s v="SHME OR 05"/>
    <s v="Neurosurgery"/>
    <s v="Yes"/>
    <s v="Khan, Usman Ali, Md, Phd"/>
    <s v="ARTHRODESIS, POSTERIOR TECHNIQUE, CRANIOCERVICAL (OCCIPUT-C2)"/>
    <s v="OCCIPTAL - CERVICAL TWO FUSION, AND RESECTION OF CERVICAL ONE EXTRAMEDULLARY TUMOR - N/A"/>
    <s v="Wed"/>
    <m/>
    <m/>
    <m/>
    <s v="KURESHI, SOHAIB AHMAD_x000a_KHAN, USMAN ALI"/>
    <s v="Panel 1: Dr. Khan, Usman Ali, MD, PhD / Kureshi, Sohaib Ahmad, MD"/>
    <s v="Usman Ali Khan, MD, PhD"/>
    <m/>
    <s v="Khan"/>
  </r>
  <r>
    <d v="2026-08-05T00:00:00"/>
    <s v="6612483"/>
    <s v="Pearce, Kiara M"/>
    <s v="Inpatient"/>
    <x v="0"/>
    <n v="3901444498"/>
    <s v="811418949"/>
    <d v="2007-10-10T00:00:00"/>
    <s v="Stradleigh, Ryan Kellian, DO"/>
    <s v="General"/>
    <s v="2"/>
    <d v="1899-12-30T07:34:00"/>
    <d v="1899-12-30T11:48:00"/>
    <n v="254"/>
    <d v="1899-12-30T07:30:00"/>
    <d v="1899-12-30T11:30:00"/>
    <n v="240"/>
    <d v="1899-12-30T07:34:00"/>
    <d v="1899-12-30T11:43:00"/>
    <n v="249"/>
    <d v="1899-12-30T08:17:00"/>
    <d v="1899-12-30T11:36:00"/>
    <d v="1899-12-30T11:43:00"/>
    <n v="249"/>
    <n v="199"/>
    <d v="1899-12-30T11:45:00"/>
    <d v="1899-12-30T12:56:00"/>
    <n v="71"/>
    <m/>
    <m/>
    <m/>
    <s v="SHME OR 04"/>
    <s v="Orthopedics"/>
    <s v="No"/>
    <s v="Quacinella, Michael Andrew, Do, Mph"/>
    <s v="LIGAMENTOUS RECONSTRUCTION (AUGMENTATION), KNEE; EXTRA-ARTICULAR_x000a_LIGAMENTOUS RECONSTRUCTION (AUGMENTATION), KNEE; INTRA-ARTICULAR (OPEN)_x000a_REMOVAL OF IMPLANT; DEEP (EG, BURIED WIRE, PIN, SCREW, METAL BAND, NAIL,ROD OR PLATE)_x000a_MANUAL APPLICATION OF STRESS PERFORMED BY PHYSICIAN OR OTHER QUALIFIEDHEALTH CARE PROFESSIONAL FOR JOINT RADIOGRAPHY, INCLUDING CONTRALATERALJOINT IF INDICATED_x000a_LIGAMENTOUS RECONSTRUCTION (AUGMENTATION), KNEE; INTRA-ARTICULAR (OPEN)AND EXTRA-ARTICULAR"/>
    <s v="RIGHT KNEE LIGAMENTOUS RECONSTRUCTION, AUGMENTATION LIGAMENTOUS RECONSTRUCTION,HARDWARE REMOVAL,STRESS EXAM - Right"/>
    <s v="Wed"/>
    <m/>
    <m/>
    <m/>
    <s v="QUACINELLA, MICHAEL ANDREW"/>
    <m/>
    <s v="Michael Andrew Quacinella, DO, MPH"/>
    <m/>
    <s v="Quacinella"/>
  </r>
  <r>
    <d v="2026-08-05T00:00:00"/>
    <s v="6612542"/>
    <s v="Conley, Ryan"/>
    <s v="Outpatient"/>
    <x v="1"/>
    <n v="3901444504"/>
    <s v="811456562"/>
    <d v="1985-08-29T00:00:00"/>
    <s v="Stradleigh, Ryan Kellian, DO"/>
    <s v="General"/>
    <s v="1"/>
    <d v="1899-12-30T12:25:00"/>
    <d v="1899-12-30T14:38:00"/>
    <n v="133"/>
    <d v="1899-12-30T12:00:00"/>
    <d v="1899-12-30T14:00:00"/>
    <n v="120"/>
    <d v="1899-12-30T12:25:00"/>
    <d v="1899-12-30T14:33:00"/>
    <n v="128"/>
    <d v="1899-12-30T12:52:00"/>
    <d v="1899-12-30T14:27:00"/>
    <d v="1899-12-30T14:33:00"/>
    <n v="128"/>
    <n v="95"/>
    <d v="1899-12-30T14:35:52"/>
    <d v="1899-12-30T15:16:00"/>
    <n v="41"/>
    <d v="1899-12-30T15:17:00"/>
    <d v="1899-12-30T16:34:39"/>
    <n v="77"/>
    <s v="SHME OR 04"/>
    <s v="Orthopedics"/>
    <s v="No"/>
    <s v="Quacinella, Michael Andrew, Do, Mph"/>
    <s v="OPEN TREATMENT OF CLAVICULAR FRACTURE, INCLUDES INTERNAL FIXATION, WHENPERFORMED_x000a_MANUAL APPLICATION OF STRESS PERFORMED BY PHYSICIAN OR OTHER QUALIFIEDHEALTH CARE PROFESSIONAL FOR JOINT RADIOGRAPHY, INCLUDING CONTRALATERALJOINT IF INDICATED"/>
    <s v="OPEN REDUCTION, PLATE AND SCREW FIXATION WITH CORACOCLAVICULAR LIGAMENT AUGMENTATION RIGHT CLAVICLE - Right"/>
    <s v="Wed"/>
    <m/>
    <m/>
    <m/>
    <s v="QUACINELLA, MICHAEL ANDREW"/>
    <m/>
    <s v="Michael Andrew Quacinella, DO, MPH"/>
    <m/>
    <s v="Quacinella"/>
  </r>
  <r>
    <d v="2026-08-05T00:00:00"/>
    <s v="6616820"/>
    <s v="McNaughton, Michael W"/>
    <s v="Outpatient"/>
    <x v="1"/>
    <n v="3901445685"/>
    <s v="100505596"/>
    <d v="1947-12-19T00:00:00"/>
    <s v="Nalbandian, Dikran Hratch, MD"/>
    <s v="General"/>
    <s v="2"/>
    <d v="1899-12-30T10:02:00"/>
    <d v="1899-12-30T11:46:00"/>
    <n v="104"/>
    <d v="1899-12-30T10:00:00"/>
    <d v="1899-12-30T11:15:00"/>
    <n v="75"/>
    <d v="1899-12-30T10:02:00"/>
    <d v="1899-12-30T11:40:00"/>
    <n v="98"/>
    <d v="1899-12-30T10:28:00"/>
    <d v="1899-12-30T11:33:00"/>
    <d v="1899-12-30T11:40:00"/>
    <n v="98"/>
    <n v="65"/>
    <d v="1899-12-30T11:41:00"/>
    <d v="1899-12-30T11:54:40"/>
    <n v="13"/>
    <d v="1899-12-30T12:48:21"/>
    <d v="1899-12-30T13:00:16"/>
    <n v="12"/>
    <s v="SHME OR 16"/>
    <s v="Urology"/>
    <s v="No"/>
    <s v="Salem, Carol Elizabeth, Md"/>
    <s v="REMOVAL OF INFLATABLE URETHRAL/BLADDER NECK SPHINCTER, INCLUDING PUMP,RESERVOIR, AND CUFF"/>
    <s v="REMOVAL OF ARTIFICIAL URINARY SPHINCTER - N/A"/>
    <s v="Wed"/>
    <m/>
    <m/>
    <m/>
    <s v="SALEM, CAROL ELIZABETH"/>
    <m/>
    <s v="Carol Elizabeth Salem, MD"/>
    <m/>
    <s v="Salem"/>
  </r>
  <r>
    <d v="2026-08-05T00:00:00"/>
    <s v="6621011"/>
    <s v="Zarka, Kathy S"/>
    <s v="Inpatient"/>
    <x v="0"/>
    <n v="3901446103"/>
    <s v="810268644"/>
    <d v="1951-04-21T00:00:00"/>
    <s v="Baja, Diosdado An Jr., MD"/>
    <s v="General"/>
    <s v="3"/>
    <d v="1899-12-30T13:20:00"/>
    <d v="1899-12-30T14:47:00"/>
    <n v="87"/>
    <d v="1899-12-30T13:15:00"/>
    <d v="1899-12-30T15:00:00"/>
    <n v="105"/>
    <d v="1899-12-30T13:28:00"/>
    <d v="1899-12-30T14:41:00"/>
    <n v="73"/>
    <d v="1899-12-30T13:58:00"/>
    <d v="1899-12-30T14:29:00"/>
    <d v="1899-12-30T14:41:00"/>
    <n v="73"/>
    <n v="31"/>
    <m/>
    <m/>
    <m/>
    <m/>
    <m/>
    <m/>
    <s v="SHME OR 03"/>
    <s v="General"/>
    <s v="Not on file"/>
    <s v="Bansal, Vishal, Md"/>
    <s v="EXPLORATORY LAPAROTOMY, EXPLORATORY CELIOTOMY WITH OR WITHOUT BIOPSY(S)(SEPARATE PROCEDURE)"/>
    <s v="EXPLORATORY LAPAROTOMY - N/A"/>
    <s v="Wed"/>
    <m/>
    <m/>
    <m/>
    <s v="BANSAL, VISHAL"/>
    <m/>
    <s v="Vishal Bansal, MD"/>
    <m/>
    <s v="Bansal"/>
  </r>
  <r>
    <d v="2026-08-05T00:00:00"/>
    <s v="6623395"/>
    <s v="Huston, Taran Lee"/>
    <s v="Inpatient"/>
    <x v="0"/>
    <n v="3901446794"/>
    <s v="811483826"/>
    <d v="2006-05-28T00:00:00"/>
    <s v="Chung, Michelle Sheryl, MD"/>
    <s v="General"/>
    <s v="2"/>
    <d v="1899-12-30T10:40:00"/>
    <d v="1899-12-30T13:18:00"/>
    <n v="158"/>
    <d v="1899-12-30T10:15:00"/>
    <d v="1899-12-30T11:45:00"/>
    <n v="90"/>
    <d v="1899-12-30T10:40:00"/>
    <d v="1899-12-30T13:10:00"/>
    <n v="150"/>
    <d v="1899-12-30T11:09:00"/>
    <d v="1899-12-30T13:05:00"/>
    <d v="1899-12-30T13:10:00"/>
    <n v="150"/>
    <n v="116"/>
    <d v="1899-12-30T13:12:47"/>
    <d v="1899-12-30T14:23:46"/>
    <n v="71"/>
    <m/>
    <m/>
    <m/>
    <s v="SHME OR 06"/>
    <s v="Orthopedics"/>
    <s v="No"/>
    <s v="Sanzone, Anthony Gerard, Md"/>
    <s v="OPEN TREATMENT OF FEMORAL SHAFT FRACTURE, WITH OR WITHOUT EXTERNALFIXATION, WITH INSERTION OF INTRAMEDULLARY IMPLANT, WITH OR WITHOUTCERCLAGE AND/OR LOCKING SCREWS"/>
    <s v="OPEN TREATMENT OF FEMORAL SHAFT FRACTURE, WITH OR WITHOUT EXTERNALFIXATION, WITH INSERTION OF INTRAMEDULLARY IMPLANT, WITH OR WITHOUTCERCLAGE AND/OR LOCKING SCREWS - Right"/>
    <s v="Wed"/>
    <m/>
    <m/>
    <m/>
    <s v="SANZONE, ANTHONY GERARD"/>
    <m/>
    <s v="Anthony Gerard Sanzone, MD (619-476-5519)"/>
    <m/>
    <s v="Sanzone"/>
  </r>
  <r>
    <d v="2026-08-05T00:00:00"/>
    <s v="6624050"/>
    <s v="Carlisle, Bridget"/>
    <s v="Inpatient"/>
    <x v="0"/>
    <n v="3901430412"/>
    <s v="700668987"/>
    <d v="1965-10-27T00:00:00"/>
    <s v="Baja, Diosdado An Jr., MD"/>
    <s v="General"/>
    <s v="2"/>
    <d v="1899-12-30T16:34:00"/>
    <d v="1899-12-30T19:13:00"/>
    <n v="159"/>
    <d v="1899-12-30T15:30:00"/>
    <d v="1899-12-30T17:50:00"/>
    <n v="170"/>
    <d v="1899-12-30T16:34:00"/>
    <d v="1899-12-30T19:08:00"/>
    <n v="154"/>
    <d v="1899-12-30T17:14:00"/>
    <d v="1899-12-30T19:00:00"/>
    <d v="1899-12-30T19:08:00"/>
    <n v="154"/>
    <n v="106"/>
    <d v="1899-12-30T19:11:00"/>
    <d v="1899-12-30T20:41:59"/>
    <n v="90"/>
    <m/>
    <m/>
    <m/>
    <s v="SHME OR 06"/>
    <s v="Plastics"/>
    <s v="No"/>
    <s v="Hess, Jason R, Md"/>
    <s v="EXPLORATION FOR POSTOPERATIVE HEMORRHAGE, THROMBOSIS OR INFECTION;EXTREMITY"/>
    <s v="exploration right hip wound, possible wound vac - Right"/>
    <s v="Wed"/>
    <m/>
    <m/>
    <m/>
    <s v="HESS, JASON R_x000a_SCHULTZ, JEFFREY EUGENE"/>
    <s v="Panel 1: Dr. Hess, Jason R, MD / Schultz, Jeffrey Eugene, MD"/>
    <s v="Jason R Hess, MD"/>
    <m/>
    <s v="Hess"/>
  </r>
  <r>
    <d v="2026-08-05T00:00:00"/>
    <s v="6624450"/>
    <s v="Michener, Sarah A"/>
    <s v="Inpatient"/>
    <x v="0"/>
    <n v="3901445196"/>
    <s v="701918712"/>
    <d v="1952-12-20T00:00:00"/>
    <s v="Stradleigh, Ryan Kellian, DO"/>
    <s v="General"/>
    <s v="2"/>
    <d v="1899-12-30T15:19:00"/>
    <d v="1899-12-30T17:29:00"/>
    <n v="130"/>
    <d v="1899-12-30T14:30:00"/>
    <d v="1899-12-30T16:30:00"/>
    <n v="120"/>
    <d v="1899-12-30T15:19:00"/>
    <d v="1899-12-30T17:24:00"/>
    <n v="125"/>
    <d v="1899-12-30T15:47:00"/>
    <d v="1899-12-30T17:21:00"/>
    <d v="1899-12-30T17:24:00"/>
    <n v="125"/>
    <n v="94"/>
    <d v="1899-12-30T17:26:00"/>
    <d v="1899-12-30T18:31:00"/>
    <n v="65"/>
    <m/>
    <m/>
    <m/>
    <s v="SHME OR 04"/>
    <s v="Orthopedics"/>
    <s v="No"/>
    <s v="Quacinella, Michael Andrew, Do, Mph"/>
    <s v="OPEN TREATMENT OF BIMALLEOLAR ANKLE FRACTURE (EG, LATERAL AND MEDIALMALLEOLI, OR LATERAL AND POSTERIOR MALLEOLI, OR MEDIAL AND POSTERIORMALLEOLI), INCLUDES INTERNAL FIXATION, WHEN PERFORMED"/>
    <s v="operative treatment right ankle fracture - Right"/>
    <s v="Wed"/>
    <m/>
    <m/>
    <m/>
    <s v="QUACINELLA, MICHAEL ANDREW"/>
    <m/>
    <s v="Michael Andrew Quacinella, DO, MPH"/>
    <m/>
    <s v="Quacinella"/>
  </r>
  <r>
    <d v="2026-08-05T00:00:00"/>
    <s v="6624459"/>
    <s v="Mendez-Garcia, Karely A"/>
    <s v="Inpatient"/>
    <x v="0"/>
    <n v="3901445294"/>
    <s v="811482805"/>
    <d v="1997-04-23T00:00:00"/>
    <s v="Kim, Eung Do, MD"/>
    <s v="General"/>
    <s v="2"/>
    <d v="1899-12-30T17:51:00"/>
    <d v="1899-12-30T20:55:00"/>
    <n v="184"/>
    <d v="1899-12-30T16:45:00"/>
    <d v="1899-12-30T18:45:00"/>
    <n v="120"/>
    <d v="1899-12-30T17:51:00"/>
    <d v="1899-12-30T20:50:00"/>
    <n v="179"/>
    <d v="1899-12-30T18:24:00"/>
    <d v="1899-12-30T20:46:00"/>
    <d v="1899-12-30T20:50:00"/>
    <n v="179"/>
    <n v="142"/>
    <d v="1899-12-30T20:55:00"/>
    <d v="1899-12-30T21:38:30"/>
    <n v="43"/>
    <m/>
    <m/>
    <m/>
    <s v="SHME OR 01"/>
    <s v="Orthopedics"/>
    <s v="No"/>
    <s v="Quacinella, Michael Andrew, Do, Mph"/>
    <s v="OPEN TREATMENT OF BIMALLEOLAR ANKLE FRACTURE (EG, LATERAL AND MEDIALMALLEOLI, OR LATERAL AND POSTERIOR MALLEOLI, OR MEDIAL AND POSTERIORMALLEOLI), INCLUDES INTERNAL FIXATION, WHEN PERFORMED"/>
    <s v="operative treatment of left ankle fracture - Left"/>
    <s v="Wed"/>
    <m/>
    <m/>
    <m/>
    <s v="QUACINELLA, MICHAEL ANDREW"/>
    <m/>
    <s v="Michael Andrew Quacinella, DO, MPH"/>
    <m/>
    <s v="Quacinella"/>
  </r>
  <r>
    <d v="2026-08-05T00:00:00"/>
    <s v="6626232"/>
    <s v="Dudeck, Chris J"/>
    <s v="Inpatient"/>
    <x v="0"/>
    <n v="3901443713"/>
    <s v="610392091"/>
    <d v="1952-07-19T00:00:00"/>
    <s v="Saunders, Reed Michael, MD"/>
    <s v="General"/>
    <s v="3"/>
    <d v="1899-12-30T15:54:00"/>
    <d v="1899-12-30T17:24:00"/>
    <n v="90"/>
    <d v="1899-12-30T15:45:00"/>
    <d v="1899-12-30T16:45:00"/>
    <n v="90"/>
    <d v="1899-12-30T15:54:00"/>
    <d v="1899-12-30T17:21:00"/>
    <n v="87"/>
    <d v="1899-12-30T16:35:00"/>
    <d v="1899-12-30T16:44:00"/>
    <d v="1899-12-30T17:21:00"/>
    <n v="87"/>
    <n v="9"/>
    <d v="1899-12-30T17:22:11"/>
    <d v="1899-12-30T17:54:40"/>
    <n v="32"/>
    <m/>
    <m/>
    <m/>
    <s v="SHME OR 09"/>
    <s v="Cardiothoracic"/>
    <s v="No"/>
    <s v="Hemp, James Robert, Md"/>
    <s v="INCISION AND DRAINAGE, COMPLEX, POSTOPERATIVE WOUND INFECTION"/>
    <s v="INCISION AND DRAINAGE, COMPLEX, POSTOPERATIVE WOUND INFECTION - Right"/>
    <s v="Wed"/>
    <m/>
    <m/>
    <m/>
    <s v="HEMP, JAMES ROBERT"/>
    <m/>
    <s v="James Robert Hemp, MD"/>
    <m/>
    <s v="Hemp"/>
  </r>
  <r>
    <d v="2026-08-05T00:00:00"/>
    <s v="6626315"/>
    <s v="Manning, Mark R"/>
    <s v="Inpatient"/>
    <x v="0"/>
    <n v="3901447133"/>
    <s v="701797362"/>
    <d v="1961-11-05T00:00:00"/>
    <s v="Fan, Ting-Wei, MD"/>
    <s v="General"/>
    <s v="3"/>
    <d v="1899-12-30T15:50:00"/>
    <d v="1899-12-30T18:00:00"/>
    <n v="130"/>
    <d v="1899-12-30T16:00:00"/>
    <d v="1899-12-30T16:55:00"/>
    <n v="55"/>
    <d v="1899-12-30T15:50:00"/>
    <d v="1899-12-30T17:52:00"/>
    <n v="122"/>
    <d v="1899-12-30T16:04:00"/>
    <d v="1899-12-30T17:46:00"/>
    <d v="1899-12-30T17:52:00"/>
    <n v="122"/>
    <n v="102"/>
    <d v="1899-12-30T17:53:03"/>
    <d v="1899-12-30T18:46:00"/>
    <n v="53"/>
    <m/>
    <m/>
    <m/>
    <s v="SHME OR 03"/>
    <s v="General"/>
    <s v="No"/>
    <s v="Peck, Kimberly Ann, Md"/>
    <s v="REMOVAL OF FECAL IMPACTION OR FOREIGN BODY (SEPARATE PROCEDURE) UNDERANESTHESIA"/>
    <s v="REMOVAL OF FECAL IMPACTION OR FOREIGN BODY (SEPARATE PROCEDURE) UNDERANESTHESIA - N/A"/>
    <s v="Wed"/>
    <m/>
    <m/>
    <m/>
    <s v="PECK, KIMBERLY ANN"/>
    <m/>
    <s v="Kimberly Ann Peck, MD"/>
    <m/>
    <s v="Peck"/>
  </r>
  <r>
    <d v="2026-08-05T00:00:00"/>
    <s v="6626366"/>
    <s v="Avila Moreno, Alberto"/>
    <s v="Inpatient"/>
    <x v="0"/>
    <n v="3901447367"/>
    <s v="811483745"/>
    <d v="1967-03-17T00:00:00"/>
    <s v="Yehushua, Liora, MD"/>
    <s v="General"/>
    <s v="4"/>
    <d v="1899-12-30T14:14:00"/>
    <d v="1899-12-30T16:06:00"/>
    <n v="112"/>
    <d v="1899-12-30T14:00:00"/>
    <d v="1899-12-30T16:05:00"/>
    <n v="155"/>
    <d v="1899-12-30T14:35:00"/>
    <d v="1899-12-30T15:53:00"/>
    <n v="78"/>
    <d v="1899-12-30T15:05:00"/>
    <d v="1899-12-30T15:40:00"/>
    <d v="1899-12-30T15:53:00"/>
    <n v="78"/>
    <n v="35"/>
    <m/>
    <m/>
    <m/>
    <m/>
    <m/>
    <m/>
    <s v="SHME OR 07"/>
    <s v="General"/>
    <s v="Not on file"/>
    <s v="Dieffenbach, Bryan Vinson, Md"/>
    <s v="EXCISION OF INFECTED GRAFT; EXTREMITY"/>
    <s v="excision of infected RIGHT arm arteriovenous graft - Right"/>
    <s v="Wed"/>
    <m/>
    <m/>
    <m/>
    <s v="DIEFFENBACH, BRYAN VINSON"/>
    <m/>
    <s v="Bryan Vinson Dieffenbach, MD"/>
    <m/>
    <s v="Dieffenbach"/>
  </r>
  <r>
    <d v="2026-08-05T00:00:00"/>
    <s v="6627003"/>
    <s v="Alvarez, Alfred D"/>
    <s v="Inpatient"/>
    <x v="0"/>
    <n v="3901447280"/>
    <s v="611760611"/>
    <d v="1942-09-24T00:00:00"/>
    <s v="Narla, Vinod Venkat, MD"/>
    <s v="General"/>
    <s v="2"/>
    <d v="1899-12-30T18:53:00"/>
    <d v="1899-12-30T19:56:00"/>
    <n v="63"/>
    <d v="1899-12-30T17:30:00"/>
    <d v="1899-12-30T18:35:00"/>
    <n v="95"/>
    <d v="1899-12-30T18:53:00"/>
    <d v="1899-12-30T19:49:00"/>
    <n v="56"/>
    <d v="1899-12-30T19:13:00"/>
    <d v="1899-12-30T19:48:00"/>
    <d v="1899-12-30T19:49:00"/>
    <n v="56"/>
    <n v="35"/>
    <d v="1899-12-30T19:51:00"/>
    <d v="1899-12-30T20:30:23"/>
    <n v="39"/>
    <m/>
    <m/>
    <m/>
    <s v="SHME OR 02"/>
    <s v="General"/>
    <s v="Yes"/>
    <s v="Peck, Kimberly Ann, Md"/>
    <s v="INCISION AND DRAINAGE OF ABSCESS (EG, CARBUNCLE, SUPPURATIVEHIDRADENITIS, CUTANEOUS OR SUBCUTANEOUS ABSCESS, CYST, FURUNCLE, ORPARONYCHIA); COMPLICATED OR MULTIPLE"/>
    <s v="INCISION AND DRAINAGE OF ABSCESS (EG, CARBUNCLE, SUPPURATIVEHIDRADENITIS, CUTANEOUS OR SUBCUTANEOUS ABSCESS, CYST, FURUNCLE, ORPARONYCHIA); COMPLICATED OR MULTIPLE - Right"/>
    <s v="Wed"/>
    <m/>
    <m/>
    <m/>
    <s v="PECK, KIMBERLY ANN"/>
    <m/>
    <s v="Kimberly Ann Peck, MD"/>
    <m/>
    <s v="Peck"/>
  </r>
  <r>
    <d v="2026-08-05T00:00:00"/>
    <s v="6443683"/>
    <s v="Griffis, Valarie R"/>
    <s v="Outpatient"/>
    <x v="1"/>
    <n v="3901412744"/>
    <s v="701485562"/>
    <d v="1971-02-14T00:00:00"/>
    <s v="Chitlur, Abhijith Harish, MD"/>
    <s v="Regional"/>
    <s v="3"/>
    <d v="1899-12-30T07:30:00"/>
    <d v="1899-12-30T12:21:00"/>
    <n v="291"/>
    <d v="1899-12-30T07:30:00"/>
    <d v="1899-12-30T10:45:00"/>
    <n v="195"/>
    <d v="1899-12-30T07:30:00"/>
    <d v="1899-12-30T12:13:00"/>
    <n v="283"/>
    <d v="1899-12-30T07:56:00"/>
    <d v="1899-12-30T12:02:00"/>
    <d v="1899-12-30T12:13:00"/>
    <n v="283"/>
    <n v="246"/>
    <d v="1899-12-30T12:15:00"/>
    <d v="1899-12-30T13:44:00"/>
    <n v="89"/>
    <d v="1899-12-30T13:45:00"/>
    <d v="1899-12-30T15:30:00"/>
    <n v="105"/>
    <s v="SHME OR 01"/>
    <s v="Orthopedics"/>
    <s v="No"/>
    <s v="Kopp, Franz John, Md"/>
    <s v="OSTEOTOMY; CALCANEUS (EG, DWYER OR CHAMBERS TYPE PROCEDURE), WITH ORWITHOUT INTERNAL FIXATION_x000a_TRANSFER OR TRANSPLANT OF SINGLE TENDON (WITH MUSCLE REDIRECTION ORREROUTING); DEEP (EG, ANTERIOR TIBIAL OR POSTERIOR TIBIAL THROUGHINTEROSSEOUS SPACE, FLEXOR DIGITORUM LONGUS, FLEXOR HALLUCIS LONGU_x000a_ARTHRODESIS, MIDTARSAL OR TARSOMETATARSAL, SINGLE JOINT_x000a_CORRECTION, HALLUX VALGUS WITH BUNIONECTOMY, WITH SESAMOIDECTOMY WHEN PERFORMED; WITH RESECTION OF PROXIMAL PHALANX BASE, WHEN PERFORMED, ANY METHOD_x000a_OSTEOTOMY, SHORTENING, ANGULAR OR ROTATIONAL CORRECTION; PROXIMALPHALANX, FIRST TOE (SEPARATE PROCEDURE)_x000a_FLUOROSCOPY (SEPARATE PROCEDURE), UP TO 1 HOUR PHYSICIAN OR OTHERQUALIFIED HEALTH CARE PROFESSIONAL TIME, OTHER THAN 71023 OR 71034 (EG,CARDIAC FLUOROSCOPY)"/>
    <s v="RIGHT FOOT/ANKLE CALCANEUS MEDIALIZING OSTEOTOMY, POSSIBLE CALCANEUS LATERAL COLUMN LENGTHENING OSTEOTOMY, FLEXOR DIGITORUM LONGUS TENDON REPAIR, FIRST TARSOMETATARSAL JOINT ARTHRODESIS, MODIFIED MCBRIDE PROCEDURE, POSSIBLE HALLUX AKIN OSTEOTOMY - Right"/>
    <s v="Wed"/>
    <m/>
    <m/>
    <m/>
    <s v="KOPP, FRANZ JOHN"/>
    <m/>
    <s v="Franz John Kopp, MD"/>
    <m/>
    <s v="Kopp"/>
  </r>
  <r>
    <d v="2026-08-05T00:00:00"/>
    <s v="6627956"/>
    <s v="Jimenez Velazquez, Rafael"/>
    <s v="Inpatient"/>
    <x v="0"/>
    <n v="3901447555"/>
    <s v="701816929"/>
    <d v="1948-01-11T00:00:00"/>
    <s v="Narla, Vinod Venkat, MD"/>
    <s v="General"/>
    <s v="5"/>
    <d v="1899-12-30T20:26:00"/>
    <d v="1899-12-30T21:52:00"/>
    <n v="86"/>
    <d v="1899-12-30T20:30:00"/>
    <d v="1899-12-30T22:35:00"/>
    <n v="155"/>
    <d v="1899-12-30T20:26:00"/>
    <d v="1899-12-30T21:42:00"/>
    <n v="76"/>
    <d v="1899-12-30T21:05:00"/>
    <d v="1899-12-30T21:39:00"/>
    <d v="1899-12-30T21:42:00"/>
    <n v="76"/>
    <n v="34"/>
    <m/>
    <m/>
    <m/>
    <m/>
    <m/>
    <m/>
    <s v="SHME OR 03"/>
    <s v="General"/>
    <s v="Yes"/>
    <s v="Peck, Kimberly Ann, Md"/>
    <s v="EXPLORATORY LAPAROTOMY, EXPLORATORY CELIOTOMY WITH OR WITHOUT BIOPSY(S)(SEPARATE PROCEDURE)"/>
    <s v="EXPLORATORY LAPAROTOMY, EXPLORATORY CELIOTOMY WITH OR WITHOUT BIOPSY(S)(SEPARATE PROCEDURE) - N/A"/>
    <s v="Wed"/>
    <m/>
    <m/>
    <m/>
    <s v="PECK, KIMBERLY ANN"/>
    <m/>
    <s v="Kimberly Ann Peck, MD"/>
    <m/>
    <s v="Peck"/>
  </r>
  <r>
    <d v="2026-08-05T00:00:00"/>
    <s v="6463717"/>
    <s v="Ramsey, Madison"/>
    <s v="Outpatient"/>
    <x v="1"/>
    <n v="3901416836"/>
    <s v="810830222"/>
    <d v="2007-08-05T00:00:00"/>
    <s v="Saunders, Reed Michael, MD"/>
    <s v="General"/>
    <s v="2"/>
    <d v="1899-12-30T08:54:00"/>
    <d v="1899-12-30T09:53:00"/>
    <n v="59"/>
    <d v="1899-12-30T08:45:00"/>
    <d v="1899-12-30T09:45:00"/>
    <n v="60"/>
    <d v="1899-12-30T08:54:00"/>
    <d v="1899-12-30T09:48:00"/>
    <n v="54"/>
    <d v="1899-12-30T09:18:00"/>
    <d v="1899-12-30T09:29:00"/>
    <d v="1899-12-30T09:48:00"/>
    <n v="54"/>
    <n v="11"/>
    <d v="1899-12-30T09:50:23"/>
    <d v="1899-12-30T11:01:00"/>
    <n v="71"/>
    <d v="1899-12-30T11:02:00"/>
    <d v="1899-12-30T11:21:00"/>
    <n v="19"/>
    <s v="SHME OR 15"/>
    <s v="Gynecology"/>
    <s v="No"/>
    <s v="Hui, Kim, Md"/>
    <s v="VULVECTOMY SIMPLE; PARTIAL"/>
    <s v="BILATERAL LABIA EXCISION - Bilateral"/>
    <s v="Wed"/>
    <m/>
    <m/>
    <m/>
    <s v="HUI, KIM"/>
    <m/>
    <s v="Kim Hui, MD (619-407-1011)"/>
    <m/>
    <s v="Hui"/>
  </r>
  <r>
    <d v="2026-08-05T00:00:00"/>
    <s v="6506895"/>
    <s v="Altarejos, Neda Velasco"/>
    <s v="Outpatient"/>
    <x v="1"/>
    <n v="3901424892"/>
    <s v="810560403"/>
    <d v="1949-07-06T00:00:00"/>
    <s v="Fan, Ting-Wei, MD"/>
    <s v="General"/>
    <s v="3"/>
    <d v="1899-12-30T12:27:00"/>
    <d v="1899-12-30T14:57:00"/>
    <n v="150"/>
    <d v="1899-12-30T12:30:00"/>
    <d v="1899-12-30T15:15:00"/>
    <n v="165"/>
    <d v="1899-12-30T12:27:00"/>
    <d v="1899-12-30T14:50:00"/>
    <n v="143"/>
    <d v="1899-12-30T12:59:00"/>
    <d v="1899-12-30T14:50:00"/>
    <d v="1899-12-30T14:50:00"/>
    <n v="143"/>
    <n v="111"/>
    <d v="1899-12-30T14:53:42"/>
    <d v="1899-12-30T15:41:00"/>
    <n v="48"/>
    <m/>
    <m/>
    <m/>
    <s v="SHME OR 02"/>
    <s v="Orthopedics"/>
    <s v="No"/>
    <s v="Schultz, Jeffrey Eugene, Md"/>
    <s v="ARTHROPLASTY, ACETABULAR AND PROXIMAL FEMORAL PROSTHETIC REPLACEMENT(TOTAL HIP ARTHROPLASTY), WITH OR WITHOUT AUTOGRAFT OR ALLOGRAFT"/>
    <s v="RIGHT TOTAL HIP REPLACEMENT - Right"/>
    <s v="Wed"/>
    <m/>
    <m/>
    <m/>
    <s v="SCHULTZ, JEFFREY EUGENE"/>
    <m/>
    <s v="Jeffrey Eugene Schultz, MD"/>
    <m/>
    <s v="Schultz"/>
  </r>
  <r>
    <d v="2026-08-06T00:00:00"/>
    <s v="6515537"/>
    <s v="Weyand, Michelle L"/>
    <s v="Outpatient"/>
    <x v="1"/>
    <n v="3901426528"/>
    <s v="700744416"/>
    <d v="1970-10-29T00:00:00"/>
    <s v="Nalbandian, Dikran Hratch, MD"/>
    <s v="General"/>
    <s v="2"/>
    <d v="1899-12-30T08:40:00"/>
    <d v="1899-12-30T09:36:00"/>
    <n v="56"/>
    <d v="1899-12-30T08:45:00"/>
    <d v="1899-12-30T09:45:00"/>
    <n v="60"/>
    <d v="1899-12-30T08:40:00"/>
    <d v="1899-12-30T09:28:00"/>
    <n v="48"/>
    <d v="1899-12-30T09:04:00"/>
    <d v="1899-12-30T09:18:00"/>
    <d v="1899-12-30T09:28:00"/>
    <n v="48"/>
    <n v="14"/>
    <d v="1899-12-30T09:28:39"/>
    <d v="1899-12-30T10:01:33"/>
    <n v="33"/>
    <d v="1899-12-30T10:01:34"/>
    <d v="1899-12-30T10:05:51"/>
    <n v="4"/>
    <s v="SHME OR 16"/>
    <s v="Urology"/>
    <s v="No"/>
    <s v="Unterberg, Stephen Harold, Md"/>
    <s v="CYSTOURETHROSCOPY, WITH URETEROSCOPY AND/OR PYELOSCOPY; WITHLITHOTRIPSY INCLUDING INSERTION OF INDWELLING URETERAL STENT (EG,GIBBONS OR DOUBLE-J TYPE)_x000a_UROGRAPHY, RETROGRADE, WITH OR WITHOUT KUB"/>
    <s v="CYSTOSCOPY, LEFT URETEROSCOPY, LEFT LASER LITHOTRIPSY, LEFT URETERAL STENT INSERTION - Left"/>
    <s v="Thu"/>
    <m/>
    <m/>
    <m/>
    <s v="UNTERBERG, STEPHEN HAROLD"/>
    <m/>
    <s v="Stephen Harold Unterberg, MD"/>
    <m/>
    <s v="Unterberg"/>
  </r>
  <r>
    <d v="2026-08-06T00:00:00"/>
    <s v="6540308"/>
    <s v="Martinez, Mark Stephen"/>
    <s v="Outpatient"/>
    <x v="1"/>
    <n v="3901430850"/>
    <s v="811460491"/>
    <d v="1964-05-11T00:00:00"/>
    <s v="Feduska, Collin Steven, MD"/>
    <s v="General"/>
    <s v="4"/>
    <d v="1899-12-30T08:46:00"/>
    <d v="1899-12-30T09:50:00"/>
    <n v="64"/>
    <d v="1899-12-30T08:30:00"/>
    <d v="1899-12-30T09:30:00"/>
    <n v="60"/>
    <d v="1899-12-30T08:46:00"/>
    <d v="1899-12-30T09:40:00"/>
    <n v="54"/>
    <d v="1899-12-30T09:01:00"/>
    <d v="1899-12-30T09:34:00"/>
    <d v="1899-12-30T09:40:00"/>
    <n v="54"/>
    <n v="33"/>
    <d v="1899-12-30T09:45:00"/>
    <d v="1899-12-30T10:52:53"/>
    <n v="67"/>
    <d v="1899-12-30T10:52:55"/>
    <d v="1899-12-30T12:00:06"/>
    <n v="68"/>
    <s v="SHME OR 02"/>
    <s v="Urology"/>
    <s v="No"/>
    <s v="Holden, Marc Mccaslin, Md"/>
    <s v="CYSTOURETHROSCOPY, WITH URETEROSCOPY AND/OR PYELOSCOPY; WITHLITHOTRIPSY INCLUDING INSERTION OF INDWELLING URETERAL STENT (EG,GIBBONS OR DOUBLE-J TYPE)"/>
    <s v="CYSTOSCOPY, LEFT URETEROSCOPY, LASER LITHOTRIPSY AND URETERAL STENT PLACEMENT - Left"/>
    <s v="Thu"/>
    <m/>
    <m/>
    <m/>
    <s v="HOLDEN, MARC MCCASLIN"/>
    <m/>
    <s v="Marc McCaslin Holden, MD"/>
    <m/>
    <s v="Holden"/>
  </r>
  <r>
    <d v="2026-08-06T00:00:00"/>
    <s v="6542962"/>
    <s v="Theodore, Sam D"/>
    <s v="Outpatient"/>
    <x v="1"/>
    <n v="3901431283"/>
    <s v="810477391"/>
    <d v="1960-07-05T00:00:00"/>
    <s v="Feduska, Collin Steven, MD"/>
    <s v="General"/>
    <s v="2"/>
    <d v="1899-12-30T10:20:00"/>
    <d v="1899-12-30T11:16:00"/>
    <n v="56"/>
    <d v="1899-12-30T10:00:00"/>
    <d v="1899-12-30T11:00:00"/>
    <n v="60"/>
    <d v="1899-12-30T10:20:00"/>
    <d v="1899-12-30T11:06:00"/>
    <n v="46"/>
    <d v="1899-12-30T10:37:00"/>
    <d v="1899-12-30T11:01:00"/>
    <d v="1899-12-30T11:06:00"/>
    <n v="46"/>
    <n v="24"/>
    <d v="1899-12-30T11:10:13"/>
    <d v="1899-12-30T11:56:43"/>
    <n v="46"/>
    <d v="1899-12-30T11:56:44"/>
    <d v="1899-12-30T12:13:19"/>
    <n v="17"/>
    <s v="SHME OR 02"/>
    <s v="Urology"/>
    <s v="No"/>
    <s v="Holden, Marc Mccaslin, Md"/>
    <s v="CYSTOURETHROSCOPY, WITH URETEROSCOPY AND/OR PYELOSCOPY; WITHLITHOTRIPSY INCLUDING INSERTION OF INDWELLING URETERAL STENT (EG,GIBBONS OR DOUBLE-J TYPE)_x000a_CYSTOURETHROSCOPY, WITH URETEROSCOPY AND/OR PYELOSCOPY; DIAGNOSTIC_x000a_UROGRAPHY, RETROGRADE, WITH OR WITHOUT KUB"/>
    <s v="CYSTOSCOPY, LEFT RETROGRADE PYELOGRAM, URETEROSCOPY, LASER LITHOTRIPSY AND LEFT URETERAL STENT PLACEMENT - Left"/>
    <s v="Thu"/>
    <m/>
    <m/>
    <m/>
    <s v="HOLDEN, MARC MCCASLIN"/>
    <m/>
    <s v="Marc McCaslin Holden, MD"/>
    <m/>
    <s v="Holden"/>
  </r>
  <r>
    <d v="2026-08-06T00:00:00"/>
    <s v="6543211"/>
    <s v="Cochren, Jo Ann J"/>
    <s v="Outpatient"/>
    <x v="1"/>
    <n v="3901431314"/>
    <s v="611521611"/>
    <d v="1948-10-20T00:00:00"/>
    <s v="Li, Robin T, MD"/>
    <s v="Regional"/>
    <s v="3"/>
    <d v="1899-12-30T10:58:00"/>
    <d v="1899-12-30T13:56:00"/>
    <n v="178"/>
    <d v="1899-12-30T10:45:00"/>
    <d v="1899-12-30T13:30:00"/>
    <n v="165"/>
    <d v="1899-12-30T10:58:00"/>
    <d v="1899-12-30T13:43:00"/>
    <n v="165"/>
    <d v="1899-12-30T11:26:00"/>
    <d v="1899-12-30T13:33:00"/>
    <d v="1899-12-30T13:43:00"/>
    <n v="165"/>
    <n v="127"/>
    <d v="1899-12-30T13:45:00"/>
    <d v="1899-12-30T14:37:00"/>
    <n v="52"/>
    <m/>
    <m/>
    <m/>
    <s v="SHME OR 04"/>
    <s v="Orthopedics"/>
    <s v="No"/>
    <s v="Schultz, Jeffrey Eugene, Md"/>
    <s v="ARTHROPLASTY, KNEE, CONDYLE AND PLATEAU; MEDIAL AND LATERAL COMPARTMENTSWITH OR WITHOUT PATELLA RESURFACING (TOTAL KNEE ARTHROPLASTY)"/>
    <s v="RIGHT TOTAL KNEE REPLACEMENT - Right"/>
    <s v="Thu"/>
    <m/>
    <m/>
    <m/>
    <s v="SCHULTZ, JEFFREY EUGENE"/>
    <m/>
    <s v="Jeffrey Eugene Schultz, MD"/>
    <m/>
    <s v="Schultz"/>
  </r>
  <r>
    <d v="2026-08-06T00:00:00"/>
    <s v="6543277"/>
    <s v="Martinez, Claudia A"/>
    <s v="Inpatient"/>
    <x v="0"/>
    <n v="3901431318"/>
    <s v="400203604"/>
    <d v="1972-05-23T00:00:00"/>
    <s v="Nalbandian, Dikran Hratch, MD"/>
    <s v="General"/>
    <s v="2"/>
    <d v="1899-12-30T15:23:00"/>
    <d v="1899-12-30T17:28:00"/>
    <n v="125"/>
    <d v="1899-12-30T15:30:00"/>
    <d v="1899-12-30T16:45:00"/>
    <n v="75"/>
    <d v="1899-12-30T15:23:00"/>
    <d v="1899-12-30T17:22:00"/>
    <n v="119"/>
    <d v="1899-12-30T15:50:00"/>
    <d v="1899-12-30T17:10:00"/>
    <d v="1899-12-30T17:22:00"/>
    <n v="119"/>
    <n v="80"/>
    <d v="1899-12-30T17:24:02"/>
    <d v="1899-12-30T20:02:00"/>
    <n v="158"/>
    <m/>
    <m/>
    <m/>
    <s v="SHME OR 14"/>
    <s v="Urology"/>
    <s v="No"/>
    <s v="Unterberg, Stephen Harold, Md"/>
    <s v="SLING OPERATION FOR STRESS INCONTINENCE (EG, FASCIA OR SYNTHETIC)_x000a_FASCIA LATA GRAFT; BY INCISION AND AREA EXPOSURE, COMPLEX OR SHEET_x000a_CYSTOURETHROSCOPY (SEPARATE PROCEDURE)"/>
    <s v="RECTUS FASCIAL SLING INSERTION, CYSTOSCOPY - N/A"/>
    <s v="Thu"/>
    <m/>
    <m/>
    <m/>
    <s v="UNTERBERG, STEPHEN HAROLD"/>
    <m/>
    <s v="Stephen Harold Unterberg, MD"/>
    <m/>
    <s v="Unterberg"/>
  </r>
  <r>
    <d v="2026-08-06T00:00:00"/>
    <s v="6546789"/>
    <s v="Geyer, Irene I"/>
    <s v="Inpatient"/>
    <x v="0"/>
    <n v="3901431924"/>
    <s v="810807478"/>
    <d v="1955-09-26T00:00:00"/>
    <s v="Julian, Jeric Israel Burguillos, DO"/>
    <s v="General"/>
    <s v="3"/>
    <d v="1899-12-30T07:34:00"/>
    <d v="1899-12-30T08:50:00"/>
    <n v="76"/>
    <d v="1899-12-30T07:30:00"/>
    <d v="1899-12-30T08:45:00"/>
    <n v="75"/>
    <d v="1899-12-30T07:34:00"/>
    <d v="1899-12-30T08:45:00"/>
    <n v="71"/>
    <d v="1899-12-30T07:54:00"/>
    <d v="1899-12-30T08:37:00"/>
    <d v="1899-12-30T08:45:00"/>
    <n v="71"/>
    <n v="43"/>
    <d v="1899-12-30T08:47:00"/>
    <d v="1899-12-30T11:52:00"/>
    <n v="185"/>
    <m/>
    <m/>
    <m/>
    <s v="SHME OR 14"/>
    <s v="General"/>
    <s v="No"/>
    <s v="Langenberg, Bret James, Do"/>
    <s v="REPAIR OF ANTERIOR ABDOMINAL HERNIA(S) (IE, EPIGASTRIC, INCISIONAL, VENTRAL, UMBILICAL, SPIGELIAN), ANY APPROACH, INITIAL, TOTAL LENGTH OF DEFECT(S); 3 CM TO 10 CM, INCARCERATED OR STRANGULATED"/>
    <s v="OPEN INCISIONAL HERNIA REPAIR WITH MESH - N/A"/>
    <s v="Thu"/>
    <m/>
    <m/>
    <m/>
    <s v="LANGENBERG, BRET JAMES"/>
    <m/>
    <s v="Bret James Langenberg, DO"/>
    <m/>
    <s v="Langenberg"/>
  </r>
  <r>
    <d v="2026-08-06T00:00:00"/>
    <s v="6549489"/>
    <s v="Alikhani, Cheryl"/>
    <s v="Outpatient"/>
    <x v="1"/>
    <n v="3901432486"/>
    <s v="611584061"/>
    <d v="1969-05-16T00:00:00"/>
    <s v="Feduska, Collin Steven, MD"/>
    <s v="General"/>
    <s v="4"/>
    <d v="1899-12-30T11:52:00"/>
    <d v="1899-12-30T12:54:00"/>
    <n v="62"/>
    <d v="1899-12-30T11:30:00"/>
    <d v="1899-12-30T12:30:00"/>
    <n v="60"/>
    <d v="1899-12-30T11:52:00"/>
    <d v="1899-12-30T12:44:00"/>
    <n v="52"/>
    <d v="1899-12-30T12:12:00"/>
    <d v="1899-12-30T12:39:00"/>
    <d v="1899-12-30T12:44:00"/>
    <n v="52"/>
    <n v="27"/>
    <d v="1899-12-30T12:48:32"/>
    <d v="1899-12-30T14:07:16"/>
    <n v="79"/>
    <m/>
    <m/>
    <m/>
    <s v="SHME OR 02"/>
    <s v="Urology"/>
    <s v="Yes"/>
    <s v="Holden, Marc Mccaslin, Md"/>
    <s v="CYSTOURETHROSCOPY, WITH URETEROSCOPY AND/OR PYELOSCOPY; WITH BIOPSYAND/OR FULGURATION OF URETERAL OR RENAL PELVIC LESION"/>
    <s v="CYSTOSCOPY, LEFT URETEROSCOPY, WITH TREATMENT OF URETERAL STRICTURE WITH POSSIBLE URETERAL STENT - Left"/>
    <s v="Thu"/>
    <m/>
    <m/>
    <m/>
    <s v="HOLDEN, MARC MCCASLIN"/>
    <m/>
    <s v="Marc McCaslin Holden, MD"/>
    <m/>
    <s v="Holden"/>
  </r>
  <r>
    <d v="2026-08-06T00:00:00"/>
    <s v="6551501"/>
    <s v="Dey, Karen A"/>
    <s v="Outpatient"/>
    <x v="1"/>
    <n v="3901432751"/>
    <s v="200418800"/>
    <d v="1945-02-22T00:00:00"/>
    <s v="Feduska, Collin Steven, MD"/>
    <s v="General"/>
    <s v="3"/>
    <d v="1899-12-30T14:42:00"/>
    <d v="1899-12-30T15:21:00"/>
    <n v="39"/>
    <d v="1899-12-30T14:30:00"/>
    <d v="1899-12-30T15:15:00"/>
    <n v="45"/>
    <d v="1899-12-30T14:42:00"/>
    <d v="1899-12-30T15:11:00"/>
    <n v="29"/>
    <d v="1899-12-30T14:57:00"/>
    <d v="1899-12-30T15:05:00"/>
    <d v="1899-12-30T15:11:00"/>
    <n v="29"/>
    <n v="8"/>
    <d v="1899-12-30T15:14:00"/>
    <d v="1899-12-30T15:30:00"/>
    <n v="16"/>
    <d v="1899-12-30T15:31:00"/>
    <d v="1899-12-30T16:11:00"/>
    <n v="40"/>
    <s v="SHME OR 02"/>
    <s v="Urology"/>
    <s v="No"/>
    <s v="Holden, Marc Mccaslin, Md"/>
    <s v="CYSTOURETHROSCOPY, WITH FULGURATION (INCLUDING CRYOSURGERY OR LASERSURGERY) AND/OR RESECTION OF; MEDIUM BLADDER TUMOR(S) (2.0 TO 5.0 CM)"/>
    <s v="TRANSURETHRAL RESECTION OF BLADDER TUMOR - N/A"/>
    <s v="Thu"/>
    <m/>
    <m/>
    <m/>
    <s v="HOLDEN, MARC MCCASLIN"/>
    <m/>
    <s v="Marc McCaslin Holden, MD"/>
    <m/>
    <s v="Holden"/>
  </r>
  <r>
    <d v="2026-08-06T00:00:00"/>
    <s v="6553966"/>
    <s v="Keller, Milt M"/>
    <s v="Outpatient"/>
    <x v="1"/>
    <n v="3901433168"/>
    <s v="700407045"/>
    <d v="1945-09-18T00:00:00"/>
    <s v="Feduska, Collin Steven, MD"/>
    <s v="General"/>
    <s v="2"/>
    <d v="1899-12-30T13:27:00"/>
    <d v="1899-12-30T14:22:00"/>
    <n v="55"/>
    <d v="1899-12-30T13:00:00"/>
    <d v="1899-12-30T14:00:00"/>
    <n v="60"/>
    <d v="1899-12-30T13:27:00"/>
    <d v="1899-12-30T14:12:00"/>
    <n v="45"/>
    <d v="1899-12-30T13:42:00"/>
    <d v="1899-12-30T14:07:00"/>
    <d v="1899-12-30T14:12:00"/>
    <n v="45"/>
    <n v="25"/>
    <d v="1899-12-30T14:17:02"/>
    <d v="1899-12-30T14:51:00"/>
    <n v="34"/>
    <d v="1899-12-30T14:52:00"/>
    <d v="1899-12-30T15:08:00"/>
    <n v="16"/>
    <s v="SHME OR 02"/>
    <s v="Urology"/>
    <s v="Yes"/>
    <s v="Holden, Marc Mccaslin, Md"/>
    <s v="CYSTOURETHROSCOPY, WITH URETEROSCOPY AND/OR PYELOSCOPY; WITHLITHOTRIPSY INCLUDING INSERTION OF INDWELLING URETERAL STENT (EG,GIBBONS OR DOUBLE-J TYPE)"/>
    <s v="CYSTOSCOPY, RIGHT URETEROSCOPY, LASER LITHOTRIPSY AND URETERAL STENT PLACEMENT - Right"/>
    <s v="Thu"/>
    <m/>
    <m/>
    <m/>
    <s v="HOLDEN, MARC MCCASLIN"/>
    <m/>
    <s v="Marc McCaslin Holden, MD"/>
    <m/>
    <s v="Holden"/>
  </r>
  <r>
    <d v="2026-08-06T00:00:00"/>
    <s v="6351368"/>
    <s v="Rodriguez, Irma"/>
    <s v="Outpatient"/>
    <x v="1"/>
    <n v="3901395348"/>
    <s v="811448095"/>
    <d v="1960-08-14T00:00:00"/>
    <s v="Patel, Lance Kirit, MD"/>
    <s v="Regional"/>
    <s v="2"/>
    <d v="1899-12-30T07:33:00"/>
    <d v="1899-12-30T10:06:00"/>
    <n v="153"/>
    <d v="1899-12-30T07:30:00"/>
    <d v="1899-12-30T10:00:00"/>
    <n v="150"/>
    <d v="1899-12-30T07:33:00"/>
    <d v="1899-12-30T09:56:00"/>
    <n v="143"/>
    <d v="1899-12-30T08:07:00"/>
    <d v="1899-12-30T09:51:00"/>
    <d v="1899-12-30T09:56:00"/>
    <n v="143"/>
    <n v="104"/>
    <d v="1899-12-30T10:02:06"/>
    <d v="1899-12-30T10:45:20"/>
    <n v="43"/>
    <m/>
    <m/>
    <m/>
    <s v="SHME OR 03"/>
    <s v="Orthopedics"/>
    <s v="No"/>
    <s v="Behr, Christopher Todd, Md"/>
    <s v="ARTHROPLASTY, KNEE, CONDYLE AND PLATEAU; MEDIAL AND LATERAL COMPARTMENTSWITH OR WITHOUT PATELLA RESURFACING (TOTAL KNEE ARTHROPLASTY)"/>
    <s v="LEFT TOTAL KNEE ARTHROPLASTY - Left"/>
    <s v="Thu"/>
    <m/>
    <m/>
    <m/>
    <s v="BEHR, CHRISTOPHER TODD"/>
    <m/>
    <s v="Christopher Todd Behr, MD"/>
    <m/>
    <s v="Behr"/>
  </r>
  <r>
    <d v="2026-08-06T00:00:00"/>
    <s v="6559585"/>
    <s v="Tully, Vince P"/>
    <s v="Outpatient"/>
    <x v="1"/>
    <n v="3901434138"/>
    <s v="305183921"/>
    <d v="1955-01-11T00:00:00"/>
    <s v="Rayan, Hany A, MD"/>
    <s v="General"/>
    <s v="2"/>
    <d v="1899-12-30T07:29:00"/>
    <d v="1899-12-30T10:32:00"/>
    <n v="183"/>
    <d v="1899-12-30T07:30:00"/>
    <d v="1899-12-30T10:00:00"/>
    <n v="150"/>
    <d v="1899-12-30T07:29:00"/>
    <d v="1899-12-30T10:25:00"/>
    <n v="176"/>
    <d v="1899-12-30T08:00:00"/>
    <d v="1899-12-30T10:18:00"/>
    <d v="1899-12-30T10:25:00"/>
    <n v="176"/>
    <n v="138"/>
    <d v="1899-12-30T10:25:36"/>
    <d v="1899-12-30T10:46:00"/>
    <n v="21"/>
    <m/>
    <m/>
    <m/>
    <s v="SHME OR 10"/>
    <s v="Urology"/>
    <s v="No"/>
    <s v="Salem, Carol Elizabeth, Md"/>
    <s v="LAPAROSCOPY, SURGICAL PROSTATECTOMY, RETROPUBIC RADICAL, INCLUDING NERVESPARING, INCLUDES ROBOTIC ASSISTANCE, WHEN PERFORMED"/>
    <s v="ROBOTIC RADICAL PROSTATECTOMY - N/A"/>
    <s v="Thu"/>
    <m/>
    <m/>
    <m/>
    <s v="SALEM, CAROL ELIZABETH"/>
    <m/>
    <s v="Carol Elizabeth Salem, MD"/>
    <m/>
    <s v="Salem"/>
  </r>
  <r>
    <d v="2026-08-06T00:00:00"/>
    <s v="6561563"/>
    <s v="Beal, Becky N"/>
    <s v="Outpatient"/>
    <x v="1"/>
    <n v="3901434524"/>
    <s v="811010515"/>
    <d v="1980-04-05T00:00:00"/>
    <s v="Rayan, Hany A, MD"/>
    <s v="General"/>
    <s v="2"/>
    <d v="1899-12-30T15:12:00"/>
    <d v="1899-12-30T17:06:00"/>
    <n v="114"/>
    <d v="1899-12-30T13:30:00"/>
    <d v="1899-12-30T15:30:00"/>
    <n v="120"/>
    <d v="1899-12-30T15:12:00"/>
    <d v="1899-12-30T17:02:00"/>
    <n v="110"/>
    <d v="1899-12-30T15:55:00"/>
    <d v="1899-12-30T16:55:00"/>
    <d v="1899-12-30T17:02:00"/>
    <n v="110"/>
    <n v="60"/>
    <d v="1899-12-30T17:04:40"/>
    <d v="1899-12-30T18:41:53"/>
    <n v="97"/>
    <d v="1899-12-30T18:41:55"/>
    <d v="1899-12-30T20:25:00"/>
    <n v="104"/>
    <s v="SHME OR 10"/>
    <s v="Urology"/>
    <s v="No"/>
    <s v="Salem, Carol Elizabeth, Md"/>
    <s v="PYELOPLASTY (FOLEY Y-PYELOPLASTY), PLASTIC OPERATION ON RENAL PELVIS,WITH OR WITHOUT PLASTIC OPERATION ON URETER, NEPHROPEXY, NEPHROSTOMY,PYELOSTOMY, OR URETERAL SPLINTING; SIMPLE"/>
    <s v="ROBOTIC RIGHT NEPHROPEXY - Right"/>
    <s v="Thu"/>
    <m/>
    <m/>
    <m/>
    <s v="SALEM, CAROL ELIZABETH"/>
    <m/>
    <s v="Carol Elizabeth Salem, MD"/>
    <m/>
    <s v="Salem"/>
  </r>
  <r>
    <d v="2026-08-06T00:00:00"/>
    <s v="6562147"/>
    <s v="Mercado, Rudy J"/>
    <s v="Inpatient"/>
    <x v="0"/>
    <n v="3901434633"/>
    <s v="612071201"/>
    <d v="1978-12-03T00:00:00"/>
    <s v="Rayan, Hany A, MD"/>
    <s v="General"/>
    <s v="2"/>
    <d v="1899-12-30T11:13:00"/>
    <d v="1899-12-30T14:26:00"/>
    <n v="193"/>
    <d v="1899-12-30T10:30:00"/>
    <d v="1899-12-30T13:00:00"/>
    <n v="150"/>
    <d v="1899-12-30T11:13:00"/>
    <d v="1899-12-30T14:20:00"/>
    <n v="187"/>
    <d v="1899-12-30T11:47:00"/>
    <d v="1899-12-30T14:13:00"/>
    <d v="1899-12-30T14:20:00"/>
    <n v="187"/>
    <n v="146"/>
    <d v="1899-12-30T14:21:00"/>
    <d v="1899-12-30T15:01:00"/>
    <n v="40"/>
    <m/>
    <m/>
    <m/>
    <s v="SHME OR 10"/>
    <s v="Urology"/>
    <s v="No"/>
    <s v="Salem, Carol Elizabeth, Md"/>
    <s v="LAPAROSCOPY, SURGICAL PROSTATECTOMY, RETROPUBIC RADICAL, INCLUDING NERVESPARING, INCLUDES ROBOTIC ASSISTANCE, WHEN PERFORMED"/>
    <s v="ROBOTIC RADICAL PROSTATECTOMY - N/A"/>
    <s v="Thu"/>
    <m/>
    <m/>
    <m/>
    <s v="SALEM, CAROL ELIZABETH"/>
    <m/>
    <s v="Carol Elizabeth Salem, MD"/>
    <m/>
    <s v="Salem"/>
  </r>
  <r>
    <d v="2026-08-06T00:00:00"/>
    <s v="6582884"/>
    <s v="Waldron, Lin C"/>
    <s v="Outpatient"/>
    <x v="1"/>
    <n v="3901438697"/>
    <s v="700073449"/>
    <d v="1950-02-07T00:00:00"/>
    <s v="Li, Robin T, MD"/>
    <s v="General"/>
    <s v="3"/>
    <d v="1899-12-30T14:40:00"/>
    <d v="1899-12-30T17:18:00"/>
    <n v="158"/>
    <d v="1899-12-30T14:00:00"/>
    <d v="1899-12-30T16:45:00"/>
    <n v="165"/>
    <d v="1899-12-30T14:40:00"/>
    <d v="1899-12-30T17:10:00"/>
    <n v="150"/>
    <d v="1899-12-30T15:15:00"/>
    <d v="1899-12-30T17:03:00"/>
    <d v="1899-12-30T17:10:00"/>
    <n v="150"/>
    <n v="108"/>
    <d v="1899-12-30T17:11:06"/>
    <d v="1899-12-30T17:33:00"/>
    <n v="22"/>
    <m/>
    <m/>
    <m/>
    <s v="SHME OR 04"/>
    <s v="Orthopedics"/>
    <s v="No"/>
    <s v="Schultz, Jeffrey Eugene, Md"/>
    <s v="ARTHROPLASTY, ACETABULAR AND PROXIMAL FEMORAL PROSTHETIC REPLACEMENT(TOTAL HIP ARTHROPLASTY), WITH OR WITHOUT AUTOGRAFT OR ALLOGRAFT"/>
    <s v="LEFT TOTAL HIP REPLACEMENT - Left"/>
    <s v="Thu"/>
    <m/>
    <m/>
    <m/>
    <s v="SCHULTZ, JEFFREY EUGENE"/>
    <m/>
    <s v="Jeffrey Eugene Schultz, MD"/>
    <m/>
    <s v="Schultz"/>
  </r>
  <r>
    <d v="2026-08-06T00:00:00"/>
    <s v="6587474"/>
    <s v="Mostowtt, Marian A"/>
    <s v="Outpatient"/>
    <x v="1"/>
    <n v="3901439617"/>
    <s v="607002769"/>
    <d v="1957-06-27T00:00:00"/>
    <s v="Ngo, Donald Hanh, MD"/>
    <s v="General"/>
    <s v="2"/>
    <d v="1899-12-30T07:29:00"/>
    <d v="1899-12-30T08:38:00"/>
    <n v="69"/>
    <d v="1899-12-30T07:30:00"/>
    <d v="1899-12-30T08:45:00"/>
    <n v="75"/>
    <d v="1899-12-30T07:29:00"/>
    <d v="1899-12-30T08:33:00"/>
    <n v="64"/>
    <d v="1899-12-30T07:46:00"/>
    <d v="1899-12-30T08:30:00"/>
    <d v="1899-12-30T08:33:00"/>
    <n v="64"/>
    <n v="44"/>
    <d v="1899-12-30T08:36:00"/>
    <d v="1899-12-30T09:00:00"/>
    <n v="24"/>
    <d v="1899-12-30T09:01:00"/>
    <d v="1899-12-30T09:15:00"/>
    <n v="14"/>
    <s v="SHME OR 15"/>
    <s v="General"/>
    <s v="No"/>
    <s v="Rivera, Louis, Md"/>
    <s v="EXCISION OF BREAST LESION IDENTIFIED BY PREOPERATIVE PLACEMENT OFRADIOLOGICAL MARKER, OPEN; SINGLE LESION_x000a_ADJACENT TISSUE TRANSFER OR REARRANGEMENT, TRUNK; DEFECT 10.1 SQ CM TO30.0 SQ CM"/>
    <s v="RIGHT LOCALIZED BREAST CONSERVING EXCISION OF BREAST CANCER, LOCAL TISSUE TRANSFER RIGHT BREAST - Right"/>
    <s v="Thu"/>
    <m/>
    <m/>
    <m/>
    <s v="RIVERA, LOUIS"/>
    <m/>
    <s v="Louis Rivera, MD"/>
    <m/>
    <s v="Rivera"/>
  </r>
  <r>
    <d v="2026-08-06T00:00:00"/>
    <s v="6588970"/>
    <s v="Schroeder, Donald R"/>
    <s v="Inpatient"/>
    <x v="0"/>
    <n v="3901439959"/>
    <s v="810634012"/>
    <d v="1961-12-24T00:00:00"/>
    <s v="Yehushua, Liora, MD"/>
    <s v="Regional"/>
    <s v="4"/>
    <d v="1899-12-30T06:18:00"/>
    <d v="1899-12-30T15:06:00"/>
    <n v="528"/>
    <d v="1899-12-30T06:15:00"/>
    <d v="1899-12-30T12:15:00"/>
    <n v="360"/>
    <d v="1899-12-30T06:18:00"/>
    <d v="1899-12-30T14:57:00"/>
    <n v="519"/>
    <d v="1899-12-30T08:53:00"/>
    <d v="1899-12-30T14:27:00"/>
    <d v="1899-12-30T14:57:00"/>
    <n v="519"/>
    <n v="334"/>
    <m/>
    <m/>
    <m/>
    <m/>
    <m/>
    <m/>
    <s v="SHME OR 08"/>
    <s v="Cardiothoracic"/>
    <s v="Yes"/>
    <s v="Williams, David Mccann, Md"/>
    <s v="CORONARY ARTERY BYPASS, USING ARTERIAL GRAFT(S); 3 CORONARY ARTERIALGRAFTS_x000a_ENDOSCOPY, SURGICAL, INCLUDING VIDEO-ASSISTED HARVEST OF VEIN(S) FORCORONARY ARTERY BYPASS PROCEDURE (LIST SEPARATELY IN ADDITION TO CODEFOR PRIMARY PROCEDURE)_x000a_HARVEST OF UPPER EXTREMITY ARTERY, 1 SEGMENT, FOR CORONARY ARTERY BYPASS PROCEDURE, OPEN"/>
    <s v="CORONARY ARTERY BYPASS GRAFT X 3; LEFT INTERNAL MAMMARY ARTERY; ENDOSCOPIC VEIN HARVEST; ENDO RADIAL HARVEST - N/A"/>
    <s v="Thu"/>
    <m/>
    <m/>
    <m/>
    <s v="WILLIAMS, DAVID MCCANN_x000a_ISLAMI MANUCHEHRY, MOHAMMAD HOSEIN"/>
    <s v="Panel 1: Dr. Williams, David McCann, MD / Islami Manuchehry, Mohammad Hosein, MD"/>
    <s v="David McCann Williams, MD"/>
    <m/>
    <s v="Williams"/>
  </r>
  <r>
    <d v="2026-08-06T00:00:00"/>
    <s v="6590262"/>
    <s v="Almissouri, Zeen"/>
    <s v="Outpatient"/>
    <x v="1"/>
    <n v="3901440177"/>
    <s v="811479329"/>
    <d v="1985-05-01T00:00:00"/>
    <s v="Feduska, Collin Steven, MD"/>
    <s v="General"/>
    <s v="4"/>
    <d v="1899-12-30T15:45:00"/>
    <d v="1899-12-30T17:13:00"/>
    <n v="88"/>
    <d v="1899-12-30T15:45:00"/>
    <d v="1899-12-30T16:45:00"/>
    <n v="60"/>
    <d v="1899-12-30T15:45:00"/>
    <d v="1899-12-30T17:03:00"/>
    <n v="78"/>
    <d v="1899-12-30T16:04:00"/>
    <d v="1899-12-30T16:58:00"/>
    <d v="1899-12-30T17:03:00"/>
    <n v="78"/>
    <n v="54"/>
    <d v="1899-12-30T17:11:15"/>
    <d v="1899-12-30T17:50:00"/>
    <n v="39"/>
    <d v="1899-12-30T17:50:00"/>
    <d v="1899-12-30T18:18:00"/>
    <n v="28"/>
    <s v="SHME OR 02"/>
    <s v="Urology"/>
    <s v="No"/>
    <s v="Holden, Marc Mccaslin, Md"/>
    <s v="CYSTOURETHROSCOPY, WITH URETEROSCOPY AND/OR PYELOSCOPY; WITHLITHOTRIPSY INCLUDING INSERTION OF INDWELLING URETERAL STENT (EG,GIBBONS OR DOUBLE-J TYPE)_x000a_CYSTOURETHROSCOPY, WITH URETEROSCOPY AND/OR PYELOSCOPY; DIAGNOSTIC_x000a_UROGRAPHY, RETROGRADE, WITH OR WITHOUT KUB"/>
    <s v="CYSTOSCOPY, LEFT URETEROSCOPY, LASER LITHOTRIPSY AND URETERAL STENT PLACEMENT - Left"/>
    <s v="Thu"/>
    <m/>
    <m/>
    <m/>
    <s v="HOLDEN, MARC MCCASLIN"/>
    <m/>
    <s v="Marc McCaslin Holden, MD"/>
    <m/>
    <s v="Holden"/>
  </r>
  <r>
    <d v="2026-08-06T00:00:00"/>
    <s v="6382671"/>
    <s v="Markello, Jim R"/>
    <s v="Outpatient"/>
    <x v="1"/>
    <n v="3901400990"/>
    <s v="811375098"/>
    <d v="1954-05-02T00:00:00"/>
    <s v="Li, Robin T, MD"/>
    <s v="Regional"/>
    <s v="3"/>
    <d v="1899-12-30T07:27:00"/>
    <d v="1899-12-30T10:22:00"/>
    <n v="175"/>
    <d v="1899-12-30T07:30:00"/>
    <d v="1899-12-30T10:15:00"/>
    <n v="165"/>
    <d v="1899-12-30T07:27:00"/>
    <d v="1899-12-30T10:12:00"/>
    <n v="165"/>
    <d v="1899-12-30T07:58:00"/>
    <d v="1899-12-30T10:09:00"/>
    <d v="1899-12-30T10:12:00"/>
    <n v="165"/>
    <n v="131"/>
    <d v="1899-12-30T10:15:00"/>
    <d v="1899-12-30T11:30:00"/>
    <n v="75"/>
    <m/>
    <m/>
    <m/>
    <s v="SHME OR 04"/>
    <s v="Orthopedics"/>
    <s v="No"/>
    <s v="Schultz, Jeffrey Eugene, Md"/>
    <s v="ARTHROPLASTY, KNEE, CONDYLE AND PLATEAU; MEDIAL AND LATERAL COMPARTMENTSWITH OR WITHOUT PATELLA RESURFACING (TOTAL KNEE ARTHROPLASTY)"/>
    <s v="RIGHT TOTAL KNEE REPLACEMENT - Right"/>
    <s v="Thu"/>
    <m/>
    <m/>
    <m/>
    <s v="SCHULTZ, JEFFREY EUGENE"/>
    <m/>
    <s v="Jeffrey Eugene Schultz, MD"/>
    <m/>
    <s v="Schultz"/>
  </r>
  <r>
    <d v="2026-08-06T00:00:00"/>
    <s v="6592362"/>
    <s v="Sadat, Said Zabit"/>
    <s v="Outpatient"/>
    <x v="1"/>
    <n v="3901440671"/>
    <s v="811473919"/>
    <d v="1985-06-04T00:00:00"/>
    <s v="Julian, Jeric Israel Burguillos, DO"/>
    <s v="General"/>
    <s v="2"/>
    <d v="1899-12-30T09:13:00"/>
    <d v="1899-12-30T10:05:00"/>
    <n v="52"/>
    <d v="1899-12-30T09:15:00"/>
    <d v="1899-12-30T10:30:00"/>
    <n v="75"/>
    <d v="1899-12-30T09:13:00"/>
    <d v="1899-12-30T10:00:00"/>
    <n v="47"/>
    <d v="1899-12-30T09:26:00"/>
    <d v="1899-12-30T09:51:00"/>
    <d v="1899-12-30T10:00:00"/>
    <n v="47"/>
    <n v="25"/>
    <d v="1899-12-30T10:09:39"/>
    <d v="1899-12-30T11:15:00"/>
    <n v="66"/>
    <d v="1899-12-30T11:16:00"/>
    <d v="1899-12-30T11:30:00"/>
    <n v="14"/>
    <s v="SHME OR 14"/>
    <s v="General"/>
    <s v="No"/>
    <s v="Langenberg, Bret James, Do"/>
    <s v="REPAIR INITIAL INGUINAL HERNIA, AGE 5 YEARS OR OLDER; REDUCIBLE"/>
    <s v="OPEN LEFT INGUINAL HERNIA REPAIR WITH MESH - Left"/>
    <s v="Thu"/>
    <m/>
    <m/>
    <m/>
    <s v="LANGENBERG, BRET JAMES"/>
    <m/>
    <s v="Bret James Langenberg, DO"/>
    <m/>
    <s v="Langenberg"/>
  </r>
  <r>
    <d v="2026-08-06T00:00:00"/>
    <s v="6596675"/>
    <s v="Malings, Judith Anne"/>
    <s v="Outpatient"/>
    <x v="1"/>
    <n v="3901441616"/>
    <s v="700451773"/>
    <d v="1958-04-22T00:00:00"/>
    <s v="Ngo, Donald Hanh, MD"/>
    <s v="General"/>
    <s v="2"/>
    <d v="1899-12-30T10:57:00"/>
    <d v="1899-12-30T12:31:00"/>
    <n v="94"/>
    <d v="1899-12-30T11:15:00"/>
    <d v="1899-12-30T12:45:00"/>
    <n v="90"/>
    <d v="1899-12-30T10:57:00"/>
    <d v="1899-12-30T12:26:00"/>
    <n v="89"/>
    <d v="1899-12-30T11:17:00"/>
    <d v="1899-12-30T12:24:00"/>
    <d v="1899-12-30T12:26:00"/>
    <n v="89"/>
    <n v="67"/>
    <d v="1899-12-30T12:28:00"/>
    <d v="1899-12-30T12:51:11"/>
    <n v="23"/>
    <d v="1899-12-30T12:51:12"/>
    <d v="1899-12-30T13:42:00"/>
    <n v="51"/>
    <s v="SHME OR 15"/>
    <s v="General"/>
    <s v="No"/>
    <s v="Rivera, Louis, Md"/>
    <s v="EXCISION OF BREAST LESION IDENTIFIED BY PREOPERATIVE PLACEMENT OFRADIOLOGICAL MARKER, OPEN; SINGLE LESION_x000a_ADJACENT TISSUE TRANSFER OR REARRANGEMENT, TRUNK; DEFECT 10.1 SQ CM TO30.0 SQ CM_x000a_BIOPSY OR EXCISION OF LYMPH NODE(S); OPEN, DEEP AXILLARY NODE(S)_x000a_INTRAOPERATIVE IDENTIFICATION (EG, MAPPING) OF SENTINEL LYMPH NODE(S)INCLUDES INJECTION OF NON-RADIOACTIVE DYE, WHEN PERFORMED (LISTSEPARATELY IN ADDITION TO CODE FOR PRIMARY PROCEDURE)"/>
    <s v="LEFT LOCALIZED BREAST CONSERVING EXCISION OF BREAST CANCER, LOCAL TISSUE TRANSFER LEFT BREAST, LEFT AXILLARY SENTINEL LYMPH NODE MAPPING AND BIOPSY - Left"/>
    <s v="Thu"/>
    <m/>
    <m/>
    <m/>
    <s v="RIVERA, LOUIS"/>
    <m/>
    <s v="Louis Rivera, MD"/>
    <m/>
    <s v="Rivera"/>
  </r>
  <r>
    <d v="2026-08-06T00:00:00"/>
    <s v="6597260"/>
    <s v="Minnick, Mike E"/>
    <s v="Outpatient"/>
    <x v="1"/>
    <n v="3901441720"/>
    <s v="700676059"/>
    <d v="1950-08-16T00:00:00"/>
    <s v="Ngo, Donald Hanh, MD"/>
    <s v="General"/>
    <s v="2"/>
    <d v="1899-12-30T09:12:00"/>
    <d v="1899-12-30T10:24:00"/>
    <n v="72"/>
    <d v="1899-12-30T09:15:00"/>
    <d v="1899-12-30T10:45:00"/>
    <n v="90"/>
    <d v="1899-12-30T09:12:00"/>
    <d v="1899-12-30T10:19:00"/>
    <n v="67"/>
    <d v="1899-12-30T09:31:00"/>
    <d v="1899-12-30T10:17:00"/>
    <d v="1899-12-30T10:19:00"/>
    <n v="67"/>
    <n v="46"/>
    <d v="1899-12-30T10:21:14"/>
    <d v="1899-12-30T10:45:00"/>
    <n v="24"/>
    <d v="1899-12-30T10:46:00"/>
    <d v="1899-12-30T11:47:00"/>
    <n v="61"/>
    <s v="SHME OR 15"/>
    <s v="General"/>
    <s v="No"/>
    <s v="Rivera, Louis, Md"/>
    <s v="EXCISION, MALIGNANT LESION INCLUDING MARGINS, TRUNK, ARMS, OR LEGS;EXCISED DIAMETER OVER 4.0 CM_x000a_REPAIR, INTERMEDIATE, WOUNDS OF SCALP, AXILLAE, TRUNK AND/OR EXTREMITIES(EXCLUDING HANDS AND FEET); 12.6 CM TO 20.0 CM_x000a_TOPICAL APPLICATION(S), WOUND ASSESSMENT, AND INSTRUCTION(S) FOR ONGOIN"/>
    <s v="WIDE LOCAL EXCISION IN-TRANSIT MELANOMA OF THE LEFT ANKLE, INTERMEDIATE COMPLEXITY CLOSURE LEFT ANKLE WOUND, POSSIBLE NEGATIVE PRESSURE WOUND THERAPY OPEN WOUND LEFT ANKLE - Left"/>
    <s v="Thu"/>
    <m/>
    <m/>
    <m/>
    <s v="RIVERA, LOUIS"/>
    <m/>
    <s v="Louis Rivera, MD"/>
    <m/>
    <s v="Rivera"/>
  </r>
  <r>
    <d v="2026-08-06T00:00:00"/>
    <s v="6597766"/>
    <s v="Rabinowitz, Sheryl"/>
    <s v="Outpatient"/>
    <x v="1"/>
    <n v="3901441796"/>
    <s v="608030464"/>
    <d v="1960-12-30T00:00:00"/>
    <s v="Ngo, Donald Hanh, MD"/>
    <s v="General"/>
    <s v="2"/>
    <d v="1899-12-30T13:09:00"/>
    <d v="1899-12-30T14:13:00"/>
    <n v="64"/>
    <d v="1899-12-30T13:15:00"/>
    <d v="1899-12-30T14:45:00"/>
    <n v="90"/>
    <d v="1899-12-30T13:09:00"/>
    <d v="1899-12-30T14:09:00"/>
    <n v="60"/>
    <d v="1899-12-30T13:25:00"/>
    <d v="1899-12-30T14:07:00"/>
    <d v="1899-12-30T14:09:00"/>
    <n v="60"/>
    <n v="42"/>
    <d v="1899-12-30T14:12:00"/>
    <d v="1899-12-30T14:48:02"/>
    <n v="36"/>
    <d v="1899-12-30T14:48:04"/>
    <d v="1899-12-30T15:21:45"/>
    <n v="33"/>
    <s v="SHME OR 15"/>
    <s v="General"/>
    <s v="No"/>
    <s v="Rivera, Louis, Md"/>
    <s v="EXCISION, MALIGNANT LESION INCLUDING MARGINS, TRUNK, ARMS, OR LEGS;EXCISED DIAMETER OVER 4.0 CM_x000a_REPAIR, INTERMEDIATE, WOUNDS OF SCALP, AXILLAE, TRUNK AND/OR EXTREMITIES(EXCLUDING HANDS AND FEET); 12.6 CM TO 20.0 CM_x000a_BIOPSY OR EXCISION OF LYMPH NODE(S); OPEN, DEEP AXILLARY NODE(S)_x000a_INTRAOPERATIVE IDENTIFICATION (EG, MAPPING) OF SENTINEL LYMPH NODE(S)INCLUDES INJECTION OF NON-RADIOACTIVE DYE, WHEN PERFORMED (LISTSEPARATELY IN ADDITION TO CODE FOR PRIMARY PROCEDURE)"/>
    <s v="WIDE LOCAL EXCISION OF RIGHT ARM MELANOMA, INTERMEDIATE COMPLEXITY CLOSURE RIGHT ARM WOUND, RIGHT AXILLARY SENTINEL LYMPH NODE MAPPING AND BIOPSY - Right"/>
    <s v="Thu"/>
    <m/>
    <m/>
    <m/>
    <s v="RIVERA, LOUIS"/>
    <m/>
    <s v="Louis Rivera, MD"/>
    <m/>
    <s v="Rivera"/>
  </r>
  <r>
    <d v="2026-08-06T00:00:00"/>
    <s v="6604461"/>
    <s v="Cohen, Neal M"/>
    <s v="Outpatient"/>
    <x v="1"/>
    <n v="3901442993"/>
    <s v="810254987"/>
    <d v="1950-02-21T00:00:00"/>
    <s v="Rayan, Hany A, MD"/>
    <s v="General"/>
    <s v="2"/>
    <d v="1899-12-30T17:12:00"/>
    <d v="1899-12-30T17:50:00"/>
    <n v="38"/>
    <d v="1899-12-30T17:00:00"/>
    <d v="1899-12-30T17:30:00"/>
    <n v="30"/>
    <d v="1899-12-30T17:11:00"/>
    <d v="1899-12-30T17:45:00"/>
    <n v="34"/>
    <d v="1899-12-30T17:26:00"/>
    <d v="1899-12-30T17:38:00"/>
    <d v="1899-12-30T17:45:00"/>
    <n v="34"/>
    <n v="12"/>
    <d v="1899-12-30T17:50:52"/>
    <d v="1899-12-30T18:10:00"/>
    <n v="20"/>
    <d v="1899-12-30T18:11:00"/>
    <d v="1899-12-30T18:25:00"/>
    <n v="14"/>
    <s v="SHME OR 07"/>
    <s v="Urology"/>
    <s v="No"/>
    <s v="Salem, Carol Elizabeth, Md"/>
    <s v="BIOPSY, PROSTATE, TRANSRECTAL, ULTRASOUND-GUIDED (IE, SEXTANT, ULTRASOUND-LOCALIZED DISCRETE LESION[S])_x000a_ULTRASOUND, TRANSRECTAL;"/>
    <s v="TRANSRECTAL ULTRASOUND OF THE PROSTATE - N/A"/>
    <s v="Thu"/>
    <m/>
    <m/>
    <m/>
    <s v="SALEM, CAROL ELIZABETH"/>
    <m/>
    <s v="Carol Elizabeth Salem, MD"/>
    <m/>
    <s v="Salem"/>
  </r>
  <r>
    <d v="2026-08-06T00:00:00"/>
    <s v="6606952"/>
    <s v="Gualano, Kristin/kris S"/>
    <s v="Outpatient"/>
    <x v="1"/>
    <n v="3901443564"/>
    <s v="810336901"/>
    <d v="1948-02-07T00:00:00"/>
    <s v="Patel, Lance Kirit, MD"/>
    <s v="Regional"/>
    <s v="3"/>
    <d v="1899-12-30T11:01:00"/>
    <d v="1899-12-30T14:37:00"/>
    <n v="216"/>
    <d v="1899-12-30T10:30:00"/>
    <d v="1899-12-30T13:30:00"/>
    <n v="180"/>
    <d v="1899-12-30T11:01:00"/>
    <d v="1899-12-30T14:27:00"/>
    <n v="206"/>
    <d v="1899-12-30T11:47:00"/>
    <d v="1899-12-30T14:20:00"/>
    <d v="1899-12-30T14:27:00"/>
    <n v="206"/>
    <n v="153"/>
    <d v="1899-12-30T14:32:09"/>
    <d v="1899-12-30T15:12:00"/>
    <n v="40"/>
    <m/>
    <m/>
    <m/>
    <s v="SHME OR 03"/>
    <s v="Orthopedics"/>
    <s v="No"/>
    <s v="Erwteman, Andrew Scot, Md"/>
    <s v="ARTHROPLASTY, GLENOHUMERAL JOINT; TOTAL SHOULDER (GLENOID AND PROXIMALHUMERAL REPLACEMENT (EG, TOTAL SHOULDER))_x000a_TENODESIS OF LONG TENDON OF BICEPS"/>
    <s v="LEFT REVERSE TOTAL SHOULDER ARTHROPLASTY, BICEPS TENODESIS - Left"/>
    <s v="Thu"/>
    <m/>
    <m/>
    <m/>
    <s v="ERWTEMAN, ANDREW SCOT"/>
    <m/>
    <s v="Andrew Scot Erwteman, MD"/>
    <m/>
    <s v="Erwteman"/>
  </r>
  <r>
    <d v="2026-08-06T00:00:00"/>
    <s v="6612330"/>
    <s v="Deakin Salzenstein, Mary"/>
    <s v="Outpatient"/>
    <x v="1"/>
    <n v="3901444462"/>
    <s v="701614927"/>
    <d v="1983-04-05T00:00:00"/>
    <s v="Ramos, Joshua Neftalie, MD"/>
    <s v="General"/>
    <s v="1"/>
    <d v="1899-12-30T07:34:00"/>
    <d v="1899-12-30T11:44:00"/>
    <n v="250"/>
    <d v="1899-12-30T07:30:00"/>
    <d v="1899-12-30T10:00:00"/>
    <n v="150"/>
    <d v="1899-12-30T07:34:00"/>
    <d v="1899-12-30T11:35:00"/>
    <n v="241"/>
    <d v="1899-12-30T08:10:00"/>
    <d v="1899-12-30T11:29:00"/>
    <d v="1899-12-30T11:35:00"/>
    <n v="241"/>
    <n v="199"/>
    <d v="1899-12-30T11:38:49"/>
    <d v="1899-12-30T12:25:20"/>
    <n v="47"/>
    <d v="1899-12-30T12:30:00"/>
    <d v="1899-12-30T13:24:00"/>
    <n v="54"/>
    <s v="SHME OR 09"/>
    <s v="General"/>
    <s v="No"/>
    <s v="Giurgiu, Dan I.N., Md"/>
    <s v="LAPAROSCOPY, SURGICAL; REPAIR INITIAL INGUINAL HERNIA"/>
    <s v="ROBOTIC REPAIR RIGHT INGUINAL HERNIA WITH MESH, POSSIBLE OPEN, POSSIBLE BILATERAL. - Right"/>
    <s v="Thu"/>
    <m/>
    <m/>
    <m/>
    <s v="GIURGIU, DAN I.N."/>
    <m/>
    <s v="Dan I.N. Giurgiu, MD (619-330-8330)"/>
    <m/>
    <s v="Giurgiu"/>
  </r>
  <r>
    <d v="2026-08-06T00:00:00"/>
    <s v="6612340"/>
    <s v="Crane, Jennifer E"/>
    <s v="Outpatient"/>
    <x v="1"/>
    <n v="3901444470"/>
    <s v="811397118"/>
    <d v="1946-07-17T00:00:00"/>
    <s v="Ramos, Joshua Neftalie, MD"/>
    <s v="General"/>
    <s v="3"/>
    <d v="1899-12-30T12:43:00"/>
    <d v="1899-12-30T15:02:00"/>
    <n v="139"/>
    <d v="1899-12-30T10:30:00"/>
    <d v="1899-12-30T12:45:00"/>
    <n v="135"/>
    <d v="1899-12-30T12:43:00"/>
    <d v="1899-12-30T14:53:00"/>
    <n v="130"/>
    <d v="1899-12-30T13:18:00"/>
    <d v="1899-12-30T14:47:00"/>
    <d v="1899-12-30T14:53:00"/>
    <n v="130"/>
    <n v="89"/>
    <d v="1899-12-30T14:55:00"/>
    <d v="1899-12-30T15:28:26"/>
    <n v="33"/>
    <m/>
    <m/>
    <m/>
    <s v="SHME OR 09"/>
    <s v="General"/>
    <s v="No"/>
    <s v="Giurgiu, Dan I.N., Md"/>
    <s v="LAPAROSCOPY, SURGICAL; CHOLECYSTECTOMY"/>
    <s v="ROBOTIC CHOLECYSTECTOMY, POSSIBLE OPEN. - N/A"/>
    <s v="Thu"/>
    <m/>
    <m/>
    <m/>
    <s v="GIURGIU, DAN I.N."/>
    <m/>
    <s v="Dan I.N. Giurgiu, MD (619-330-8330)"/>
    <m/>
    <s v="Giurgiu"/>
  </r>
  <r>
    <d v="2026-08-06T00:00:00"/>
    <s v="6619942"/>
    <s v="Morrison, Kathleen D"/>
    <s v="Inpatient"/>
    <x v="0"/>
    <n v="3901444232"/>
    <s v="110210189"/>
    <d v="1954-07-14T00:00:00"/>
    <s v="Patel, Lance Kirit, MD"/>
    <s v="General"/>
    <s v="3"/>
    <d v="1899-12-30T15:02:00"/>
    <d v="1899-12-30T19:17:00"/>
    <n v="255"/>
    <d v="1899-12-30T14:00:00"/>
    <d v="1899-12-30T18:00:00"/>
    <n v="240"/>
    <d v="1899-12-30T15:02:00"/>
    <d v="1899-12-30T19:07:00"/>
    <n v="245"/>
    <d v="1899-12-30T16:01:00"/>
    <d v="1899-12-30T18:58:00"/>
    <d v="1899-12-30T19:07:00"/>
    <n v="245"/>
    <n v="177"/>
    <d v="1899-12-30T19:10:00"/>
    <d v="1899-12-30T21:10:00"/>
    <n v="120"/>
    <m/>
    <m/>
    <m/>
    <s v="SHME OR 05"/>
    <s v="Neurosurgery"/>
    <s v="Yes"/>
    <s v="Zauner, Alois, Md"/>
    <s v="ARTHRODESIS, POSTERIOR OR POSTEROLATERAL TECHNIQUE, SINGLE INTERSPACE; THORACIC (WITH LATERAL TRANSVERSE TECHNIQUE, WHEN PERFORMED)_x000a_ARTHRODESIS, POSTERIOR OR POSTEROLATERAL TECHNIQUE, SINGLE INTERSPACE; EACH ADDITIONAL INTERSPACE (LIST SEPARATELY IN ADDITION TO CODE FOR PRIMARY PROCEDURE)_x000a_STEREOTACTIC COMPUTER-ASSISTED (NAVIGATIONAL) PROCEDURE; SPINAL (LISTSEPARATELY IN ADDITION TO CODE FOR PRIMARY PROCEDURE)_x000a_FLUOROSCOPY (SEPARATE PROCEDURE), UP TO 1 HOUR PHYSICIAN OR OTHERQUALIFIED HEALTH CARE PROFESSIONAL TIME, OTHER THAN 71023 OR 71034 (EG,CARDIAC FLUOROSCOPY)_x000a_MICROSURGICAL TECHNIQUES, REQUIRING USE OF OPERATING MICROSCOPE (LISTSEPARATELY IN ADDITION TO CODE FOR PRIMARY PROCEDURE)"/>
    <s v="POSTERIOR DECOMPRESSION AND INSTRUMENTED FUSION OF THORACIC 10 TO LUMBAR 2 UNDER GENERAL ANESTHESIA - N/A"/>
    <s v="Thu"/>
    <m/>
    <s v="ED/IP/IC"/>
    <m/>
    <s v="ZAUNER, ALOIS"/>
    <m/>
    <s v="Alois Zauner, MD"/>
    <m/>
    <s v="Zauner"/>
  </r>
  <r>
    <d v="2026-08-06T00:00:00"/>
    <s v="6622945"/>
    <s v="Towns, Pierre A"/>
    <s v="Outpatient"/>
    <x v="1"/>
    <n v="3901446810"/>
    <s v="700470863"/>
    <d v="1953-02-22T00:00:00"/>
    <s v="Ramos, Joshua Neftalie, MD"/>
    <s v="General"/>
    <s v="3"/>
    <d v="1899-12-30T15:34:00"/>
    <d v="1899-12-30T17:16:00"/>
    <n v="102"/>
    <d v="1899-12-30T13:15:00"/>
    <d v="1899-12-30T15:15:00"/>
    <n v="120"/>
    <d v="1899-12-30T15:34:00"/>
    <d v="1899-12-30T17:07:00"/>
    <n v="93"/>
    <d v="1899-12-30T16:00:00"/>
    <d v="1899-12-30T16:49:00"/>
    <d v="1899-12-30T17:07:00"/>
    <n v="93"/>
    <n v="49"/>
    <d v="1899-12-30T17:10:00"/>
    <d v="1899-12-30T18:35:00"/>
    <n v="85"/>
    <d v="1899-12-30T18:36:00"/>
    <d v="1899-12-30T18:38:00"/>
    <n v="2"/>
    <s v="SHME OR 09"/>
    <s v="General"/>
    <s v="No"/>
    <s v="Giurgiu, Dan I.N., Md"/>
    <s v="REPAIR INITIAL INGUINAL HERNIA, AGE 5 YEARS OR OLDER; REDUCIBLE"/>
    <s v="OPEN REPAIR OF LEFT INGUINAL HERNIA WITH MESH. - Left"/>
    <s v="Thu"/>
    <m/>
    <m/>
    <m/>
    <s v="GIURGIU, DAN I.N."/>
    <m/>
    <s v="Dan I.N. Giurgiu, MD (619-330-8330)"/>
    <m/>
    <s v="Giurgiu"/>
  </r>
  <r>
    <d v="2026-08-06T00:00:00"/>
    <s v="6625177"/>
    <s v="Chand, Khima"/>
    <s v="Inpatient"/>
    <x v="0"/>
    <n v="3901447030"/>
    <s v="811470947"/>
    <d v="1955-05-24T00:00:00"/>
    <s v="Julian, Jeric Israel Burguillos, DO"/>
    <s v="General"/>
    <s v="3"/>
    <d v="1899-12-30T10:47:00"/>
    <d v="1899-12-30T11:39:00"/>
    <n v="52"/>
    <d v="1899-12-30T11:00:00"/>
    <d v="1899-12-30T12:00:00"/>
    <n v="60"/>
    <d v="1899-12-30T10:47:00"/>
    <d v="1899-12-30T11:32:00"/>
    <n v="45"/>
    <d v="1899-12-30T11:07:00"/>
    <d v="1899-12-30T11:26:00"/>
    <d v="1899-12-30T11:32:00"/>
    <n v="45"/>
    <n v="19"/>
    <d v="1899-12-30T11:40:01"/>
    <d v="1899-12-30T13:00:00"/>
    <n v="80"/>
    <m/>
    <m/>
    <m/>
    <s v="SHME OR 14"/>
    <s v="General"/>
    <s v="Yes"/>
    <s v="Langenberg, Bret James, Do"/>
    <s v="LAPAROSCOPY, SURGICAL; CHOLECYSTECTOMY"/>
    <s v="LAPAROSCOPIC CHOLECYSTECTOMY - N/A"/>
    <s v="Thu"/>
    <m/>
    <m/>
    <m/>
    <s v="LANGENBERG, BRET JAMES"/>
    <m/>
    <s v="Bret James Langenberg, DO"/>
    <m/>
    <s v="Langenberg"/>
  </r>
  <r>
    <d v="2026-08-06T00:00:00"/>
    <s v="6625250"/>
    <s v="Padilla-Rivas, Samantha"/>
    <s v="Inpatient"/>
    <x v="0"/>
    <n v="3901446837"/>
    <s v="811483854"/>
    <d v="1999-09-10T00:00:00"/>
    <s v="Chitlur, Abhijith Harish, MD"/>
    <s v="General"/>
    <s v="1"/>
    <d v="1899-12-30T07:34:00"/>
    <d v="1899-12-30T12:50:00"/>
    <n v="316"/>
    <d v="1899-12-30T07:30:00"/>
    <d v="1899-12-30T11:00:00"/>
    <n v="210"/>
    <d v="1899-12-30T07:34:00"/>
    <d v="1899-12-30T12:43:00"/>
    <n v="309"/>
    <d v="1899-12-30T08:16:00"/>
    <d v="1899-12-30T12:33:00"/>
    <d v="1899-12-30T12:43:00"/>
    <n v="309"/>
    <n v="257"/>
    <d v="1899-12-30T12:45:05"/>
    <d v="1899-12-30T14:16:00"/>
    <n v="91"/>
    <m/>
    <m/>
    <m/>
    <s v="SHME OR 01"/>
    <s v="Orthopedics"/>
    <s v="No"/>
    <s v="Sanzone, Anthony Gerard, Md"/>
    <s v="TREATMENT OF TIBIAL SHAFT FRACTURE (WITH OR WITHOUT FIBULAR FRACTURE) BYINTRAMEDULLARY IMPLANT, WITH OR WITHOUT INTERLOCKING SCREWS AND/ORCERCLAGE_x000a_OPEN TREATMENT OF ULNAR FRACTURE, PROXIMAL END (EG, OLECRANON ORCORONOID PROCESS[ES]), INCLUDES INTERNAL FIXATION, WHEN PERFORMED_x000a_SECONDARY CLOSURE OF SURGICAL WOUND OR DEHISCENCE, EXTENSIVE ORCOMPLICATED_x000a_MANUAL APPLICATION OF STRESS PERFORMED BY PHYSICIAN OR OTHER QUALIFIEDHEALTH CARE PROFESSIONAL FOR JOINT RADIOGRAPHY, INCLUDING CONTRALATERALJOINT IF INDICATED"/>
    <s v="IM NAILING OF THE RIGHT TIBIA AND OPEN REDUCTION AND INTERNAL FIXATION OF THE LEFT OLECRANON - Left"/>
    <s v="Thu"/>
    <m/>
    <m/>
    <m/>
    <s v="SANZONE, ANTHONY GERARD"/>
    <m/>
    <s v="Anthony Gerard Sanzone, MD (619-476-5519)"/>
    <m/>
    <s v="Sanzone"/>
  </r>
  <r>
    <d v="2026-08-06T00:00:00"/>
    <s v="6626059"/>
    <s v="Huston, Taran Lee"/>
    <s v="Inpatient"/>
    <x v="0"/>
    <n v="3901446794"/>
    <s v="811483826"/>
    <d v="2006-05-28T00:00:00"/>
    <s v="Fan, Ting-Wei, MD"/>
    <s v="General"/>
    <s v="2"/>
    <d v="1899-12-30T10:13:00"/>
    <d v="1899-12-30T11:58:00"/>
    <n v="105"/>
    <d v="1899-12-30T10:00:00"/>
    <d v="1899-12-30T12:00:00"/>
    <n v="120"/>
    <d v="1899-12-30T10:12:00"/>
    <d v="1899-12-30T11:49:00"/>
    <n v="97"/>
    <d v="1899-12-30T10:49:00"/>
    <d v="1899-12-30T11:42:00"/>
    <d v="1899-12-30T11:49:00"/>
    <n v="97"/>
    <n v="53"/>
    <d v="1899-12-30T11:51:00"/>
    <d v="1899-12-30T12:30:00"/>
    <n v="39"/>
    <m/>
    <m/>
    <m/>
    <s v="SHME OR 05"/>
    <s v="Oral Surgery"/>
    <s v="No"/>
    <s v="Cho, David Young, Dds"/>
    <s v="INCISION AND REMOVAL OF FOREIGN BODY, SUBCUTANEOUS TISSUES; COMPLICATED"/>
    <s v="INCISION AND REMOVAL OF FOREIGN BODY, SUBCUTANEOUS TISSUES; COMPLICATED - Right"/>
    <s v="Thu"/>
    <m/>
    <m/>
    <m/>
    <s v="CHO, DAVID YOUNG"/>
    <m/>
    <s v="David Young Cho, DDS"/>
    <m/>
    <s v="Cho"/>
  </r>
  <r>
    <d v="2026-08-06T00:00:00"/>
    <s v="6626735"/>
    <s v="Sears, Daniel H"/>
    <s v="Inpatient"/>
    <x v="0"/>
    <n v="3901446546"/>
    <s v="100481548"/>
    <d v="1958-09-20T00:00:00"/>
    <s v="Kim, Eung Do, MD"/>
    <s v="General"/>
    <s v="1"/>
    <d v="1899-12-30T13:10:00"/>
    <d v="1899-12-30T14:06:00"/>
    <n v="56"/>
    <d v="1899-12-30T12:00:00"/>
    <d v="1899-12-30T13:00:00"/>
    <n v="60"/>
    <d v="1899-12-30T13:10:00"/>
    <d v="1899-12-30T14:01:00"/>
    <n v="51"/>
    <d v="1899-12-30T13:31:00"/>
    <d v="1899-12-30T13:57:00"/>
    <d v="1899-12-30T14:01:00"/>
    <n v="51"/>
    <n v="26"/>
    <d v="1899-12-30T14:02:46"/>
    <d v="1899-12-30T15:33:10"/>
    <n v="91"/>
    <m/>
    <m/>
    <m/>
    <s v="SHME OR 14"/>
    <s v="Orthopedics"/>
    <s v="No"/>
    <s v="Sanzone, Anthony Gerard, Md"/>
    <s v="DEBRIDEMENT, MUSCLE AND/OR FASCIA (INCLUDES EPIDERMIS, DERMIS, ANDSUBCUTANEOUS TISSUE, IF PERFORMED); FIRST 20 SQ CM OR LESS"/>
    <s v="DEBRIDEMENT LEFT FOREARM - Left"/>
    <s v="Thu"/>
    <m/>
    <m/>
    <m/>
    <s v="SANZONE, ANTHONY GERARD"/>
    <m/>
    <s v="Anthony Gerard Sanzone, MD (619-476-5519)"/>
    <m/>
    <s v="Sanzone"/>
  </r>
  <r>
    <d v="2026-08-06T00:00:00"/>
    <s v="6627541"/>
    <s v="Szoke, Sandy"/>
    <s v="Inpatient"/>
    <x v="0"/>
    <n v="3901447479"/>
    <s v="700326126"/>
    <d v="1963-08-22T00:00:00"/>
    <s v="Julian, Jeric Israel Burguillos, DO"/>
    <s v="Regional"/>
    <s v="3"/>
    <d v="1899-12-30T14:20:00"/>
    <d v="1899-12-30T15:53:00"/>
    <n v="93"/>
    <d v="1899-12-30T14:00:00"/>
    <d v="1899-12-30T16:00:00"/>
    <n v="120"/>
    <d v="1899-12-30T14:20:00"/>
    <d v="1899-12-30T15:48:00"/>
    <n v="88"/>
    <d v="1899-12-30T14:44:00"/>
    <d v="1899-12-30T15:41:00"/>
    <d v="1899-12-30T15:48:00"/>
    <n v="88"/>
    <n v="57"/>
    <d v="1899-12-30T15:48:55"/>
    <d v="1899-12-30T16:31:00"/>
    <n v="43"/>
    <m/>
    <m/>
    <m/>
    <s v="SHME OR 01"/>
    <s v="Podiatry"/>
    <s v="Yes"/>
    <s v="Rice, Brittany Michelle Caridad, Dpm"/>
    <s v="OPEN TREATMENT OF DISTAL FIBULAR FRACTURE (LATERAL MALLEOLUS), INCLUDESINTERNAL FIXATION, WHEN PERFORMED"/>
    <s v="OPEN TREATMENT OF DISTAL FIBULAR FRACTURE (LATERAL MALLEOLUS), INCLUDESINTERNAL FIXATION, WHEN PERFORMED - Right"/>
    <s v="Thu"/>
    <m/>
    <m/>
    <m/>
    <s v="RICE, BRITTANY MICHELLE CARIDAD"/>
    <m/>
    <s v="Brittany Michelle Caridad Rice, DPM"/>
    <m/>
    <s v="Rice"/>
  </r>
  <r>
    <d v="2026-08-06T00:00:00"/>
    <s v="6629174"/>
    <s v="Gomez, Jesus R"/>
    <s v="Inpatient"/>
    <x v="0"/>
    <n v="3901439054"/>
    <s v="701983682"/>
    <d v="1974-02-03T00:00:00"/>
    <s v="Julian, Jeric Israel Burguillos, DO"/>
    <s v="General"/>
    <s v="3"/>
    <d v="1899-12-30T12:03:00"/>
    <d v="1899-12-30T13:18:00"/>
    <n v="75"/>
    <d v="1899-12-30T12:00:00"/>
    <d v="1899-12-30T12:50:00"/>
    <n v="80"/>
    <d v="1899-12-30T12:09:00"/>
    <d v="1899-12-30T13:07:00"/>
    <n v="58"/>
    <d v="1899-12-30T12:42:00"/>
    <d v="1899-12-30T12:59:00"/>
    <d v="1899-12-30T13:07:00"/>
    <n v="58"/>
    <n v="17"/>
    <m/>
    <m/>
    <m/>
    <m/>
    <m/>
    <m/>
    <s v="SHME OR 06"/>
    <s v="General"/>
    <s v="No"/>
    <s v="Bansal, Vishal, Md"/>
    <s v="TRACHEOSTOMY, PLANNED (SEPARATE PROCEDURE);"/>
    <s v="TRACHEOSTOMY, PLANNED (SEPARATE PROCEDURE); - N/A"/>
    <s v="Thu"/>
    <m/>
    <m/>
    <m/>
    <s v="BANSAL, VISHAL"/>
    <m/>
    <s v="Vishal Bansal, MD"/>
    <m/>
    <s v="Bansal"/>
  </r>
  <r>
    <d v="2026-08-06T00:00:00"/>
    <s v="6630222"/>
    <s v="Niebla, Hector R"/>
    <s v="Inpatient"/>
    <x v="0"/>
    <n v="3901447920"/>
    <s v="810541007"/>
    <d v="1970-05-29T00:00:00"/>
    <s v="Fan, Ting-Wei, MD"/>
    <s v="General"/>
    <s v="3"/>
    <d v="1899-12-30T17:06:00"/>
    <d v="1899-12-30T18:15:00"/>
    <n v="69"/>
    <d v="1899-12-30T17:15:00"/>
    <d v="1899-12-30T18:20:00"/>
    <n v="95"/>
    <d v="1899-12-30T17:06:00"/>
    <d v="1899-12-30T18:07:00"/>
    <n v="61"/>
    <d v="1899-12-30T17:24:00"/>
    <d v="1899-12-30T18:00:00"/>
    <d v="1899-12-30T18:07:00"/>
    <n v="61"/>
    <n v="36"/>
    <d v="1899-12-30T18:10:00"/>
    <d v="1899-12-30T18:37:00"/>
    <n v="27"/>
    <m/>
    <m/>
    <m/>
    <s v="SHME OR 03"/>
    <s v="Urology"/>
    <s v="No"/>
    <s v="Holden, Marc Mccaslin, Md"/>
    <s v="CIRCUMCISION, SURGICAL EXCISION OTHER THAN CLAMP, DEVICE, OR DORSALSLIT; OLDER THAN 28 DAYS OF AGE"/>
    <s v="CIRCUMCISION, SURGICAL EXCISION OTHER THAN CLAMP, DEVICE, OR DORSALSLIT; OLDER THAN 28 DAYS OF AGE - N/A"/>
    <s v="Thu"/>
    <m/>
    <m/>
    <m/>
    <s v="HOLDEN, MARC MCCASLIN"/>
    <m/>
    <s v="Marc McCaslin Holden, MD"/>
    <m/>
    <s v="Holden"/>
  </r>
  <r>
    <d v="2026-08-06T00:00:00"/>
    <s v="6631740"/>
    <s v="McDougal, Jennifer N"/>
    <s v="Inpatient"/>
    <x v="0"/>
    <n v="3901447948"/>
    <s v="700236520"/>
    <d v="1975-07-08T00:00:00"/>
    <s v="Fan, Ting-Wei, MD"/>
    <s v="General"/>
    <s v="2"/>
    <d v="1899-12-30T17:57:00"/>
    <d v="1899-12-30T19:22:00"/>
    <n v="85"/>
    <d v="1899-12-30T17:50:00"/>
    <d v="1899-12-30T19:15:00"/>
    <n v="115"/>
    <d v="1899-12-30T17:57:00"/>
    <d v="1899-12-30T19:15:00"/>
    <n v="78"/>
    <d v="1899-12-30T18:29:00"/>
    <d v="1899-12-30T19:12:00"/>
    <d v="1899-12-30T19:15:00"/>
    <n v="78"/>
    <n v="43"/>
    <d v="1899-12-30T19:19:50"/>
    <d v="1899-12-30T20:14:59"/>
    <n v="55"/>
    <m/>
    <m/>
    <m/>
    <s v="SHME OR 06"/>
    <s v="General"/>
    <s v="No"/>
    <s v="Toman, Jeffrey Robert, Md"/>
    <s v="LAPAROSCOPY, SURGICAL, APPENDECTOMY"/>
    <s v="Laparoscopic appendectomy, possible open procedure - N/A"/>
    <s v="Thu"/>
    <m/>
    <m/>
    <m/>
    <s v="TOMAN, JEFFREY ROBERT"/>
    <m/>
    <s v="Jeffrey Robert Toman, MD"/>
    <m/>
    <s v="Toman"/>
  </r>
  <r>
    <d v="2026-08-06T00:00:00"/>
    <s v="6632095"/>
    <s v="Villagrana, Dolores"/>
    <s v="Inpatient"/>
    <x v="0"/>
    <n v="3901447710"/>
    <s v="811484593"/>
    <d v="1944-02-14T00:00:00"/>
    <s v="Fan, Ting-Wei, MD"/>
    <s v="General"/>
    <s v="4"/>
    <d v="1899-12-30T20:07:00"/>
    <m/>
    <m/>
    <d v="1899-12-30T20:30:00"/>
    <d v="1899-12-30T21:20:00"/>
    <n v="50"/>
    <d v="1899-12-30T20:07:00"/>
    <d v="1899-12-30T21:11:00"/>
    <n v="64"/>
    <d v="1899-12-30T20:38:00"/>
    <d v="1899-12-30T21:10:00"/>
    <d v="1899-12-30T21:11:00"/>
    <n v="64"/>
    <n v="32"/>
    <m/>
    <m/>
    <m/>
    <m/>
    <m/>
    <m/>
    <s v="SHME OR 01"/>
    <s v="General"/>
    <s v="Not on file"/>
    <s v="Bansal, Vishal, Md"/>
    <s v="EXPLORATORY LAPAROTOMY, EXPLORATORY CELIOTOMY WITH OR WITHOUT BIOPSY(S)(SEPARATE PROCEDURE)"/>
    <s v="EXPLORATORY LAPAROTOMY, EXPLORATORY CELIOTOMY WITH OR WITHOUT BIOPSY(S)(SEPARATE PROCEDURE) - N/A"/>
    <s v="Thu"/>
    <m/>
    <m/>
    <m/>
    <s v="BANSAL, VISHAL"/>
    <m/>
    <s v="Vishal Bansal, MD"/>
    <m/>
    <s v="Bansal"/>
  </r>
  <r>
    <d v="2026-08-06T00:00:00"/>
    <s v="6465066"/>
    <s v="Burns, Lorraine G"/>
    <s v="Outpatient"/>
    <x v="1"/>
    <n v="3901416907"/>
    <s v="811118001"/>
    <d v="1958-07-09T00:00:00"/>
    <s v="Nalbandian, Dikran Hratch, MD"/>
    <s v="General"/>
    <s v="3"/>
    <d v="1899-12-30T07:24:00"/>
    <d v="1899-12-30T08:32:00"/>
    <n v="68"/>
    <d v="1899-12-30T07:30:00"/>
    <d v="1899-12-30T08:15:00"/>
    <n v="45"/>
    <d v="1899-12-30T07:24:00"/>
    <d v="1899-12-30T08:04:00"/>
    <n v="40"/>
    <d v="1899-12-30T07:47:00"/>
    <d v="1899-12-30T08:00:00"/>
    <d v="1899-12-30T08:04:00"/>
    <n v="40"/>
    <n v="13"/>
    <d v="1899-12-30T08:11:31"/>
    <d v="1899-12-30T10:30:00"/>
    <n v="139"/>
    <m/>
    <m/>
    <m/>
    <s v="SHME OR 16"/>
    <s v="Urology"/>
    <s v="No"/>
    <s v="Unterberg, Stephen Harold, Md"/>
    <s v="CYSTOURETHROSCOPY, WITH INJECTION(S) FOR CHEMODENERVATION OF THE BLADDER"/>
    <s v="CYSTOSCOPY, INTRAVESICAL INJECTION OF BOTOX 200 UNITS - N/A"/>
    <s v="Thu"/>
    <m/>
    <m/>
    <m/>
    <s v="UNTERBERG, STEPHEN HAROLD"/>
    <m/>
    <s v="Stephen Harold Unterberg, MD"/>
    <m/>
    <s v="Unterberg"/>
  </r>
  <r>
    <d v="2026-08-06T00:00:00"/>
    <s v="6467869"/>
    <s v="Loomis, Robert L"/>
    <s v="Outpatient"/>
    <x v="1"/>
    <n v="3901417515"/>
    <s v="700979925"/>
    <d v="1942-05-02T00:00:00"/>
    <s v="Nalbandian, Dikran Hratch, MD"/>
    <s v="General"/>
    <s v="2"/>
    <d v="1899-12-30T10:04:00"/>
    <d v="1899-12-30T11:52:00"/>
    <n v="108"/>
    <d v="1899-12-30T10:15:00"/>
    <d v="1899-12-30T11:45:00"/>
    <n v="90"/>
    <d v="1899-12-30T10:04:00"/>
    <d v="1899-12-30T11:46:00"/>
    <n v="102"/>
    <d v="1899-12-30T10:49:00"/>
    <d v="1899-12-30T11:41:00"/>
    <d v="1899-12-30T11:46:00"/>
    <n v="102"/>
    <n v="52"/>
    <d v="1899-12-30T11:54:18"/>
    <d v="1899-12-30T13:15:00"/>
    <n v="81"/>
    <m/>
    <m/>
    <m/>
    <s v="SHME OR 16"/>
    <s v="Urology"/>
    <s v="No"/>
    <s v="Unterberg, Stephen Harold, Md"/>
    <s v="TRANSURETHRAL ROBOTIC-ASSISTED WATERJET RESECTION OF PROSTATE, INCLUDING VASECTOMY, MEATOTOMY, CYSTOURETHROSCOPY, URETHRAL CALIBRATION AND/OR DILATION, AND INTERNAL URETHROTOMY, WHEN PERFORMED"/>
    <s v="CYSTOSCOPY, TRANSURETHRAL AQUABALTION OF THE PROSTATE - N/A"/>
    <s v="Thu"/>
    <m/>
    <m/>
    <m/>
    <s v="UNTERBERG, STEPHEN HAROLD"/>
    <m/>
    <s v="Stephen Harold Unterberg, MD"/>
    <m/>
    <s v="Unterberg"/>
  </r>
  <r>
    <d v="2026-08-06T00:00:00"/>
    <s v="6468101"/>
    <s v="Grayson, David A"/>
    <s v="Outpatient"/>
    <x v="1"/>
    <n v="3901417562"/>
    <s v="602468816"/>
    <d v="1964-06-24T00:00:00"/>
    <s v="Nalbandian, Dikran Hratch, MD"/>
    <s v="General"/>
    <s v="2"/>
    <d v="1899-12-30T12:21:00"/>
    <d v="1899-12-30T13:33:00"/>
    <n v="72"/>
    <d v="1899-12-30T12:15:00"/>
    <d v="1899-12-30T13:15:00"/>
    <n v="60"/>
    <d v="1899-12-30T12:21:00"/>
    <d v="1899-12-30T13:26:00"/>
    <n v="65"/>
    <d v="1899-12-30T12:48:00"/>
    <d v="1899-12-30T13:21:00"/>
    <d v="1899-12-30T13:26:00"/>
    <n v="65"/>
    <n v="33"/>
    <d v="1899-12-30T13:29:00"/>
    <d v="1899-12-30T14:16:00"/>
    <n v="47"/>
    <d v="1899-12-30T14:17:00"/>
    <d v="1899-12-30T14:28:00"/>
    <n v="11"/>
    <s v="SHME OR 16"/>
    <s v="Urology"/>
    <s v="No"/>
    <s v="Unterberg, Stephen Harold, Md"/>
    <s v="REMOVAL (VIA SNARE/CAPTURE) AND REPLACEMENT OF INTERNALLY DWELLING URETERALSTENT VIA TRANSURETHRAL APPROACH, WITHOUT USE OF CYSTOSCOPY, INCLUDINGRADIOLOGICAL SUPERVISION AND INTERPRETATION_x000a_CYSTOURETHROSCOPY, WITH INSERTION OF INDWELLING URETERAL STENT (EG,GIBBONS OR DOUBLE-J TYPE)_x000a_CYSTOURETHROSCOPY WITH URETEROSCOPY; WITH TREATMENT OF URETERALSTRICTURE (EG, BALLOON DILATION, LASER, ELECTROCAUTERY, AND INCISION)_x000a_CYSTOURETHROSCOPY, WITH URETERAL CATHETERIZATION, WITH OR WITHOUTIRRIGATION, INSTILLATION, OR URETEROPYELOGRAPHY, EXCLUSIVE OF RADIOLOGICSERVICE;"/>
    <s v="CYSTOSCOPY, LEFT URETERAL STENT EXCHANGE WITH METALLIC STENT, POSSIBLE URETEROSCOPY AND DILATION, RETROGRADE PYELOGRAM - Left"/>
    <s v="Thu"/>
    <m/>
    <m/>
    <m/>
    <s v="UNTERBERG, STEPHEN HAROLD"/>
    <m/>
    <s v="Stephen Harold Unterberg, MD"/>
    <m/>
    <s v="Unterberg"/>
  </r>
  <r>
    <d v="2026-08-06T00:00:00"/>
    <s v="6475740"/>
    <s v="Marquez, Fernando"/>
    <s v="Outpatient"/>
    <x v="1"/>
    <n v="3901418942"/>
    <s v="701623473"/>
    <d v="1957-09-20T00:00:00"/>
    <s v="Feduska, Collin Steven, MD"/>
    <s v="General"/>
    <s v="2"/>
    <d v="1899-12-30T07:39:00"/>
    <d v="1899-12-30T08:09:00"/>
    <n v="30"/>
    <d v="1899-12-30T07:30:00"/>
    <d v="1899-12-30T08:00:00"/>
    <n v="30"/>
    <d v="1899-12-30T07:39:00"/>
    <d v="1899-12-30T08:05:00"/>
    <n v="26"/>
    <d v="1899-12-30T07:55:00"/>
    <d v="1899-12-30T08:01:00"/>
    <d v="1899-12-30T08:05:00"/>
    <n v="26"/>
    <n v="6"/>
    <d v="1899-12-30T08:10:00"/>
    <d v="1899-12-30T08:35:30"/>
    <n v="25"/>
    <d v="1899-12-30T08:35:32"/>
    <d v="1899-12-30T09:26:39"/>
    <n v="51"/>
    <s v="SHME OR 02"/>
    <s v="Urology"/>
    <s v="No"/>
    <s v="Holden, Marc Mccaslin, Md"/>
    <s v="BIOPSY, PROSTATE, ANY APPROACH, NONIMAGING-GUIDED"/>
    <s v="PROSTATE ULTRASOUND AND NEEDLE BIOPSY - N/A"/>
    <s v="Thu"/>
    <m/>
    <m/>
    <m/>
    <s v="HOLDEN, MARC MCCASLIN"/>
    <m/>
    <s v="Marc McCaslin Holden, MD"/>
    <m/>
    <s v="Holden"/>
  </r>
  <r>
    <d v="2026-08-06T00:00:00"/>
    <s v="6503274"/>
    <s v="Lozoya, Oscar R"/>
    <s v="Outpatient"/>
    <x v="1"/>
    <n v="3901424087"/>
    <s v="811467452"/>
    <d v="1991-06-26T00:00:00"/>
    <s v="Nalbandian, Dikran Hratch, MD"/>
    <s v="General"/>
    <s v="3"/>
    <d v="1899-12-30T13:54:00"/>
    <d v="1899-12-30T15:01:00"/>
    <n v="67"/>
    <d v="1899-12-30T13:45:00"/>
    <d v="1899-12-30T14:45:00"/>
    <n v="60"/>
    <d v="1899-12-30T13:54:00"/>
    <d v="1899-12-30T14:56:00"/>
    <n v="62"/>
    <d v="1899-12-30T14:22:00"/>
    <d v="1899-12-30T14:52:00"/>
    <d v="1899-12-30T14:56:00"/>
    <n v="62"/>
    <n v="30"/>
    <d v="1899-12-30T15:00:00"/>
    <d v="1899-12-30T16:46:00"/>
    <n v="106"/>
    <d v="1899-12-30T16:47:00"/>
    <d v="1899-12-30T17:18:00"/>
    <n v="31"/>
    <s v="SHME OR 16"/>
    <s v="Urology"/>
    <s v="No"/>
    <s v="Unterberg, Stephen Harold, Md"/>
    <s v="CIRCUMCISION, SURGICAL EXCISION OTHER THAN CLAMP, DEVICE, OR DORSALSLIT; OLDER THAN 28 DAYS OF AGE"/>
    <s v="CIRCUMCISION - N/A"/>
    <s v="Thu"/>
    <m/>
    <m/>
    <m/>
    <s v="UNTERBERG, STEPHEN HAROLD"/>
    <m/>
    <s v="Stephen Harold Unterberg, MD"/>
    <m/>
    <s v="Unterberg"/>
  </r>
  <r>
    <d v="2026-08-07T00:00:00"/>
    <s v="6531455"/>
    <s v="Gallardo, Jossue A"/>
    <s v="Inpatient"/>
    <x v="0"/>
    <n v="3901448397"/>
    <s v="811439148"/>
    <d v="1990-05-26T00:00:00"/>
    <s v="Haidar, Jason, DO"/>
    <s v="General"/>
    <s v="2"/>
    <d v="1899-12-30T10:37:00"/>
    <d v="1899-12-30T13:33:00"/>
    <n v="176"/>
    <d v="1899-12-30T10:15:00"/>
    <d v="1899-12-30T13:15:00"/>
    <n v="180"/>
    <d v="1899-12-30T10:37:00"/>
    <d v="1899-12-30T13:28:00"/>
    <n v="171"/>
    <d v="1899-12-30T11:07:00"/>
    <d v="1899-12-30T13:23:00"/>
    <d v="1899-12-30T13:28:00"/>
    <n v="171"/>
    <n v="136"/>
    <d v="1899-12-30T13:30:21"/>
    <d v="1899-12-30T15:14:53"/>
    <n v="104"/>
    <m/>
    <m/>
    <m/>
    <s v="SHME OR 07"/>
    <s v="Urology"/>
    <s v="No"/>
    <s v="Holden, Marc Mccaslin, Md"/>
    <s v="URETERONEOCYSTOSTOMY; ANASTOMOSIS OF SINGLE URETER TO BLADDER"/>
    <s v="LEFT ROBOT ASSISTED LAPAROSCOPIC URETERAL REIMPLANTATION - Left"/>
    <s v="Fri"/>
    <m/>
    <m/>
    <m/>
    <s v="HOLDEN, MARC MCCASLIN"/>
    <m/>
    <s v="Marc McCaslin Holden, MD"/>
    <m/>
    <s v="Holden"/>
  </r>
  <r>
    <d v="2026-08-07T00:00:00"/>
    <s v="6536156"/>
    <s v="Richardson, Mario B"/>
    <s v="Outpatient"/>
    <x v="1"/>
    <n v="3901430284"/>
    <s v="599007452"/>
    <d v="1953-04-16T00:00:00"/>
    <s v="Haidar, Jason, DO"/>
    <s v="General"/>
    <s v="3"/>
    <d v="1899-12-30T13:53:00"/>
    <d v="1899-12-30T14:33:00"/>
    <n v="40"/>
    <d v="1899-12-30T14:10:00"/>
    <d v="1899-12-30T14:55:00"/>
    <n v="45"/>
    <d v="1899-12-30T13:53:00"/>
    <d v="1899-12-30T14:28:00"/>
    <n v="35"/>
    <d v="1899-12-30T14:11:00"/>
    <d v="1899-12-30T14:25:00"/>
    <d v="1899-12-30T14:28:00"/>
    <n v="35"/>
    <n v="14"/>
    <d v="1899-12-30T14:31:00"/>
    <d v="1899-12-30T15:00:00"/>
    <n v="29"/>
    <m/>
    <m/>
    <m/>
    <s v="SHME OR 03"/>
    <s v="Urology"/>
    <s v="No"/>
    <s v="Holden, Marc Mccaslin, Md"/>
    <s v="CYSTOURETHROSCOPY, WITH BIOPSY(S)"/>
    <s v="CYSTOSCOPY WITH FULGURATION AND RESECTION OF BLADDER TUMORS - N/A"/>
    <s v="Fri"/>
    <m/>
    <m/>
    <m/>
    <s v="HOLDEN, MARC MCCASLIN"/>
    <m/>
    <s v="Marc McCaslin Holden, MD"/>
    <m/>
    <s v="Holden"/>
  </r>
  <r>
    <d v="2026-08-07T00:00:00"/>
    <s v="6341522"/>
    <s v="Lete, MERLY Dedios"/>
    <s v="Outpatient"/>
    <x v="1"/>
    <n v="3901393511"/>
    <s v="110193181"/>
    <d v="1949-01-23T00:00:00"/>
    <s v="Haidar, Jason, DO"/>
    <s v="General"/>
    <s v="3"/>
    <d v="1899-12-30T07:38:00"/>
    <d v="1899-12-30T08:33:00"/>
    <n v="55"/>
    <d v="1899-12-30T07:30:00"/>
    <d v="1899-12-30T08:30:00"/>
    <n v="60"/>
    <d v="1899-12-30T07:38:00"/>
    <d v="1899-12-30T08:28:00"/>
    <n v="50"/>
    <d v="1899-12-30T07:59:00"/>
    <d v="1899-12-30T08:22:00"/>
    <d v="1899-12-30T08:28:00"/>
    <n v="50"/>
    <n v="23"/>
    <d v="1899-12-30T08:32:00"/>
    <d v="1899-12-30T09:01:00"/>
    <n v="29"/>
    <d v="1899-12-30T09:01:00"/>
    <d v="1899-12-30T09:50:00"/>
    <n v="49"/>
    <s v="SHME OR 06"/>
    <s v="ENT"/>
    <s v="Yes"/>
    <s v="Torchinsky, Cyrus, Md, Phd"/>
    <s v="LARYNGOSCOPY, DIRECT, OPERATIVE, WITH EXCISION OF TUMOR AND/OR STRIPPINGOF VOCAL CORDS OR EPIGLOTTIS; WITH OPERATING MICROSCOPE OR TELESCOPE"/>
    <s v="DIRECT MICROLARYNGOSCOPY WITH EXCISION OF VALLECULAR CYST. - N/A"/>
    <s v="Fri"/>
    <m/>
    <m/>
    <m/>
    <s v="TORCHINSKY, CYRUS"/>
    <m/>
    <s v="Cyrus Torchinsky, MD, PhD"/>
    <m/>
    <s v="Torchinsky"/>
  </r>
  <r>
    <d v="2026-08-07T00:00:00"/>
    <s v="6564844"/>
    <s v="Martinez, Josue Alexis"/>
    <s v="Outpatient"/>
    <x v="1"/>
    <n v="3901435078"/>
    <s v="811166241"/>
    <d v="1991-08-16T00:00:00"/>
    <s v="Nwabueze, Onyemaechi, MD"/>
    <s v="General"/>
    <s v="2"/>
    <d v="1899-12-30T12:11:00"/>
    <d v="1899-12-30T13:13:00"/>
    <n v="62"/>
    <d v="1899-12-30T12:15:00"/>
    <d v="1899-12-30T13:00:00"/>
    <n v="45"/>
    <d v="1899-12-30T12:11:00"/>
    <d v="1899-12-30T13:10:00"/>
    <n v="59"/>
    <d v="1899-12-30T12:25:00"/>
    <d v="1899-12-30T12:59:00"/>
    <d v="1899-12-30T13:10:00"/>
    <n v="59"/>
    <n v="34"/>
    <d v="1899-12-30T13:12:00"/>
    <d v="1899-12-30T14:01:00"/>
    <n v="49"/>
    <d v="1899-12-30T14:01:00"/>
    <d v="1899-12-30T14:35:00"/>
    <n v="34"/>
    <s v="SHME OR 14"/>
    <s v="General"/>
    <s v="No"/>
    <s v="Langenberg, Bret James, Do"/>
    <s v="EXCISION, BENIGN LESION INCLUDING MARGINS, EXCEPT SKIN TAG (UNLESSLISTED ELSEWHERE), TRUNK, ARMS OR LEGS; EXCISED DIAMETER OVER 4.0 CM"/>
    <s v="EXCISIONAL BIOPSY HIDRADENITIS OF THE BACK - N/A"/>
    <s v="Fri"/>
    <m/>
    <m/>
    <m/>
    <s v="LANGENBERG, BRET JAMES"/>
    <m/>
    <s v="Bret James Langenberg, DO"/>
    <m/>
    <s v="Langenberg"/>
  </r>
  <r>
    <d v="2026-08-07T00:00:00"/>
    <s v="6570193"/>
    <s v="Parcells, Norman M II"/>
    <s v="Outpatient"/>
    <x v="1"/>
    <n v="3901435946"/>
    <s v="810060552"/>
    <d v="1951-11-23T00:00:00"/>
    <s v="Nwabueze, Onyemaechi, MD"/>
    <s v="General"/>
    <s v="3"/>
    <d v="1899-12-30T07:33:00"/>
    <d v="1899-12-30T08:37:00"/>
    <n v="64"/>
    <d v="1899-12-30T07:30:00"/>
    <d v="1899-12-30T08:30:00"/>
    <n v="60"/>
    <d v="1899-12-30T07:33:00"/>
    <d v="1899-12-30T08:33:00"/>
    <n v="60"/>
    <d v="1899-12-30T07:49:00"/>
    <d v="1899-12-30T08:30:00"/>
    <d v="1899-12-30T08:33:00"/>
    <n v="60"/>
    <n v="41"/>
    <d v="1899-12-30T08:39:29"/>
    <d v="1899-12-30T09:50:00"/>
    <n v="71"/>
    <d v="1899-12-30T09:51:00"/>
    <d v="1899-12-30T10:05:00"/>
    <n v="14"/>
    <s v="SHME OR 14"/>
    <s v="General"/>
    <s v="No"/>
    <s v="Langenberg, Bret James, Do"/>
    <s v="LAPAROSCOPY, SURGICAL; REPAIR INITIAL INGUINAL HERNIA"/>
    <s v="ROBOT ASSISTED BILATERAL INGUINAL HERNIA REPAIR WITH MESH - Bilateral"/>
    <s v="Fri"/>
    <m/>
    <m/>
    <m/>
    <s v="LANGENBERG, BRET JAMES"/>
    <m/>
    <s v="Bret James Langenberg, DO"/>
    <m/>
    <s v="Langenberg"/>
  </r>
  <r>
    <d v="2026-08-07T00:00:00"/>
    <s v="6574964"/>
    <s v="Macy, Brian M"/>
    <s v="Outpatient"/>
    <x v="1"/>
    <n v="3901436979"/>
    <s v="811477394"/>
    <d v="1976-04-18T00:00:00"/>
    <s v="Kim, Eung Do, MD"/>
    <s v="Regional"/>
    <s v="1"/>
    <d v="1899-12-30T10:32:00"/>
    <d v="1899-12-30T12:59:00"/>
    <n v="147"/>
    <d v="1899-12-30T10:15:00"/>
    <d v="1899-12-30T12:15:00"/>
    <n v="120"/>
    <d v="1899-12-30T10:32:00"/>
    <d v="1899-12-30T12:52:00"/>
    <n v="140"/>
    <d v="1899-12-30T10:57:00"/>
    <d v="1899-12-30T12:48:00"/>
    <d v="1899-12-30T12:52:00"/>
    <n v="140"/>
    <n v="111"/>
    <d v="1899-12-30T13:00:01"/>
    <d v="1899-12-30T14:00:00"/>
    <n v="60"/>
    <d v="1899-12-30T14:01:00"/>
    <d v="1899-12-30T17:25:00"/>
    <n v="204"/>
    <s v="SHME OR 04"/>
    <s v="Orthopedics"/>
    <s v="No"/>
    <s v="Fabi, David William, Md"/>
    <s v="ARTHROPLASTY, KNEE, CONDYLE AND PLATEAU; MEDIAL OR LATERAL COMPARTMENT_x000a_COMPUTER-ASSISTED SURGICAL NAVIGATIONAL PROCEDURE FOR MUSCULOSKELETALPROCEDURES, IMAGE-LESS (LIST SEPARATELY IN ADDITION TO CODE FOR PRIMARYPROCEDURE)"/>
    <s v="ROBOTIC RIGHT KNEE MEDIAL UNICONDYLAR KNEE ARTHROPLASTY - Right"/>
    <s v="Fri"/>
    <m/>
    <m/>
    <m/>
    <s v="FABI, DAVID WILLIAM"/>
    <m/>
    <s v="David William Fabi, MD"/>
    <m/>
    <s v="Fabi"/>
  </r>
  <r>
    <d v="2026-08-07T00:00:00"/>
    <s v="6578381"/>
    <s v="Munoz, Lee R"/>
    <s v="Outpatient"/>
    <x v="1"/>
    <n v="3901437700"/>
    <s v="810654782"/>
    <d v="1971-01-05T00:00:00"/>
    <s v="Rayan, Hany A, MD"/>
    <s v="General"/>
    <s v="2"/>
    <d v="1899-12-30T07:27:00"/>
    <d v="1899-12-30T08:14:00"/>
    <n v="47"/>
    <d v="1899-12-30T07:30:00"/>
    <d v="1899-12-30T08:15:00"/>
    <n v="45"/>
    <d v="1899-12-30T07:27:00"/>
    <d v="1899-12-30T08:07:00"/>
    <n v="40"/>
    <d v="1899-12-30T07:50:00"/>
    <d v="1899-12-30T07:59:00"/>
    <d v="1899-12-30T08:07:00"/>
    <n v="40"/>
    <n v="9"/>
    <d v="1899-12-30T08:11:00"/>
    <d v="1899-12-30T09:00:00"/>
    <n v="49"/>
    <d v="1899-12-30T09:01:00"/>
    <d v="1899-12-30T09:47:45"/>
    <n v="46"/>
    <s v="SHME OR 02"/>
    <s v="Podiatry"/>
    <s v="No"/>
    <s v="Schneider, Sarah Ashley, Dpm"/>
    <s v="REMOVAL OF IMPLANT; DEEP (EG, BURIED WIRE, PIN, SCREW, METAL BAND, NAIL,ROD OR PLATE)"/>
    <s v="HARDWARE REMOVAL, LEFT FOOT - Left"/>
    <s v="Fri"/>
    <m/>
    <m/>
    <m/>
    <s v="SCHNEIDER, SARAH ASHLEY_x000a_DO, RUTH NGUYEN"/>
    <s v="Panel 1: Dr. Schneider, Sarah Ashley, DPM / Do, Ruth Nguyen, DPM"/>
    <s v="Sarah Ashley Schneider, DPM"/>
    <m/>
    <s v="Schneider"/>
  </r>
  <r>
    <d v="2026-08-07T00:00:00"/>
    <s v="6591173"/>
    <s v="Evans Catzin, Luis"/>
    <s v="Outpatient"/>
    <x v="1"/>
    <n v="3901440375"/>
    <s v="701988532"/>
    <d v="1950-05-30T00:00:00"/>
    <s v="Saunders, Reed Michael, MD"/>
    <s v="General"/>
    <s v="2"/>
    <d v="1899-12-30T07:32:00"/>
    <d v="1899-12-30T08:30:00"/>
    <n v="58"/>
    <d v="1899-12-30T07:30:00"/>
    <d v="1899-12-30T08:30:00"/>
    <n v="60"/>
    <d v="1899-12-30T07:32:00"/>
    <d v="1899-12-30T08:27:00"/>
    <n v="55"/>
    <d v="1899-12-30T07:52:00"/>
    <d v="1899-12-30T08:21:00"/>
    <d v="1899-12-30T08:27:00"/>
    <n v="55"/>
    <n v="29"/>
    <d v="1899-12-30T08:30:06"/>
    <d v="1899-12-30T10:17:00"/>
    <n v="107"/>
    <d v="1899-12-30T10:18:00"/>
    <d v="1899-12-30T12:37:00"/>
    <n v="139"/>
    <s v="SHME OR 15"/>
    <s v="Urology"/>
    <s v="No"/>
    <s v="Dicks, Brian Michael, Md"/>
    <s v="CYSTOURETHROSCOPY, WITH FULGURATION (INCLUDING CRYOSURGERY OR LASERSURGERY) OF TRIGONE, BLADDER NECK, PROSTATIC FOSSA, URETHRA, ORPERIURETHRAL GLANDS"/>
    <s v="CYSTOSCOPY WITH URETEROSCOPY AND FULGURATION OF LESION - N/A"/>
    <s v="Fri"/>
    <m/>
    <m/>
    <m/>
    <s v="DICKS, BRIAN MICHAEL"/>
    <m/>
    <s v="Brian Michael Dicks, MD"/>
    <m/>
    <s v="Dicks"/>
  </r>
  <r>
    <d v="2026-08-07T00:00:00"/>
    <s v="6591245"/>
    <s v="Kaplan, Barry J"/>
    <s v="Inpatient"/>
    <x v="0"/>
    <n v="3901440392"/>
    <s v="110103937"/>
    <d v="1958-10-08T00:00:00"/>
    <s v="Saunders, Reed Michael, MD"/>
    <s v="General"/>
    <s v="3"/>
    <d v="1899-12-30T09:08:00"/>
    <d v="1899-12-30T11:22:00"/>
    <n v="134"/>
    <d v="1899-12-30T09:00:00"/>
    <d v="1899-12-30T10:45:00"/>
    <n v="105"/>
    <d v="1899-12-30T09:08:00"/>
    <d v="1899-12-30T11:19:00"/>
    <n v="131"/>
    <d v="1899-12-30T09:39:00"/>
    <d v="1899-12-30T11:14:00"/>
    <d v="1899-12-30T11:19:00"/>
    <n v="131"/>
    <n v="95"/>
    <d v="1899-12-30T11:20:00"/>
    <d v="1899-12-30T12:25:00"/>
    <n v="65"/>
    <m/>
    <m/>
    <m/>
    <s v="SHME OR 15"/>
    <s v="Urology"/>
    <s v="No"/>
    <s v="Dicks, Brian Michael, Md"/>
    <s v="INSERTION OF MULTI-COMPONENT, INFLATABLE PENILE PROSTHESIS, INCLUDINGPLACEMENT OF PUMP, CYLINDERS, AND RESERVOIR"/>
    <s v="IMPLANTATION OF THREE PIECE PENILE PROSTHESIS - N/A"/>
    <s v="Fri"/>
    <m/>
    <m/>
    <m/>
    <s v="DICKS, BRIAN MICHAEL"/>
    <m/>
    <s v="Brian Michael Dicks, MD"/>
    <m/>
    <s v="Dicks"/>
  </r>
  <r>
    <d v="2026-08-07T00:00:00"/>
    <s v="6591280"/>
    <s v="Flores Garcia, Gloria"/>
    <s v="Outpatient"/>
    <x v="1"/>
    <n v="3901440406"/>
    <s v="810482022"/>
    <d v="1984-07-23T00:00:00"/>
    <s v="Saunders, Reed Michael, MD"/>
    <s v="General"/>
    <s v="3"/>
    <d v="1899-12-30T12:04:00"/>
    <d v="1899-12-30T12:51:00"/>
    <n v="47"/>
    <d v="1899-12-30T11:15:00"/>
    <d v="1899-12-30T11:45:00"/>
    <n v="30"/>
    <d v="1899-12-30T12:04:00"/>
    <d v="1899-12-30T12:42:00"/>
    <n v="38"/>
    <d v="1899-12-30T12:22:00"/>
    <d v="1899-12-30T12:35:00"/>
    <d v="1899-12-30T12:42:00"/>
    <n v="38"/>
    <n v="13"/>
    <d v="1899-12-30T12:45:00"/>
    <d v="1899-12-30T13:45:00"/>
    <n v="60"/>
    <d v="1899-12-30T13:46:00"/>
    <d v="1899-12-30T14:12:09"/>
    <n v="26"/>
    <s v="SHME OR 15"/>
    <s v="Urology"/>
    <s v="Yes"/>
    <s v="Dicks, Brian Michael, Md"/>
    <s v="CYSTOURETHROSCOPY, WITH FULGURATION (INCLUDING CRYOSURGERY OR LASERSURGERY) OR TREATMENT OF MINOR (LESS THAN 0.5 CM) LESION(S) WITH ORWITHOUT BIOPSY"/>
    <s v="CYSTOSCOPY, BLADDER BIOPSY, FULGURATION, URETHRAL BIOPSY - N/A"/>
    <s v="Fri"/>
    <m/>
    <m/>
    <m/>
    <s v="DICKS, BRIAN MICHAEL"/>
    <m/>
    <s v="Brian Michael Dicks, MD"/>
    <m/>
    <s v="Dicks"/>
  </r>
  <r>
    <d v="2026-08-07T00:00:00"/>
    <s v="6591289"/>
    <s v="Flores, Maria C"/>
    <s v="Outpatient"/>
    <x v="1"/>
    <n v="3901440411"/>
    <s v="701616522"/>
    <d v="1978-04-07T00:00:00"/>
    <s v="Saunders, Reed Michael, MD"/>
    <s v="General"/>
    <s v="2"/>
    <d v="1899-12-30T13:26:00"/>
    <d v="1899-12-30T14:14:00"/>
    <n v="48"/>
    <d v="1899-12-30T12:15:00"/>
    <d v="1899-12-30T13:30:00"/>
    <n v="75"/>
    <d v="1899-12-30T13:26:00"/>
    <d v="1899-12-30T14:12:00"/>
    <n v="46"/>
    <d v="1899-12-30T13:44:00"/>
    <d v="1899-12-30T14:05:00"/>
    <d v="1899-12-30T14:12:00"/>
    <n v="46"/>
    <n v="21"/>
    <d v="1899-12-30T14:16:13"/>
    <d v="1899-12-30T14:30:00"/>
    <n v="14"/>
    <d v="1899-12-30T14:31:00"/>
    <d v="1899-12-30T15:51:00"/>
    <n v="80"/>
    <s v="SHME OR 15"/>
    <s v="Urology"/>
    <s v="No"/>
    <s v="Dicks, Brian Michael, Md"/>
    <s v="CYSTOURETHROSCOPY, WITH URETEROSCOPY AND/OR PYELOSCOPY; WITHLITHOTRIPSY INCLUDING INSERTION OF INDWELLING URETERAL STENT (EG,GIBBONS OR DOUBLE-J TYPE)_x000a_UROGRAPHY, RETROGRADE, WITH OR WITHOUT KUB_x000a_CYSTOURETHROSCOPY, WITH URETEROSCOPY AND/OR PYELOSCOPY; DIAGNOSTIC"/>
    <s v="CYSTOSCOPY, LEFT RETROGRADE PYELOGRAM, URETEROSCOPY, LASER LITHOTRIPSY, POSSIBLE LEFT URETERAL STENT REPLACEMENT - Left"/>
    <s v="Fri"/>
    <m/>
    <m/>
    <m/>
    <s v="DICKS, BRIAN MICHAEL"/>
    <m/>
    <s v="Brian Michael Dicks, MD"/>
    <m/>
    <s v="Dicks"/>
  </r>
  <r>
    <d v="2026-08-07T00:00:00"/>
    <s v="6592384"/>
    <s v="Hajdin, Mane"/>
    <s v="Outpatient"/>
    <x v="1"/>
    <n v="3901440675"/>
    <s v="810638307"/>
    <d v="1959-09-30T00:00:00"/>
    <s v="Nwabueze, Onyemaechi, MD"/>
    <s v="General"/>
    <s v="3"/>
    <d v="1899-12-30T09:04:00"/>
    <d v="1899-12-30T10:03:00"/>
    <n v="59"/>
    <d v="1899-12-30T09:00:00"/>
    <d v="1899-12-30T10:00:00"/>
    <n v="60"/>
    <d v="1899-12-30T09:04:00"/>
    <d v="1899-12-30T09:59:00"/>
    <n v="55"/>
    <d v="1899-12-30T09:20:00"/>
    <d v="1899-12-30T09:53:00"/>
    <d v="1899-12-30T09:59:00"/>
    <n v="55"/>
    <n v="33"/>
    <d v="1899-12-30T10:04:21"/>
    <d v="1899-12-30T11:00:00"/>
    <n v="56"/>
    <d v="1899-12-30T11:01:00"/>
    <d v="1899-12-30T11:40:00"/>
    <n v="39"/>
    <s v="SHME OR 14"/>
    <s v="General"/>
    <s v="No"/>
    <s v="Langenberg, Bret James, Do"/>
    <s v="LAPAROSCOPY, SURGICAL; REPAIR INITIAL INGUINAL HERNIA"/>
    <s v="ROBOT ASSISTED RIGHT INGUINAL HERNIA REPAIR WITH MESH POSSIBLE BILATERAL - Right"/>
    <s v="Fri"/>
    <m/>
    <m/>
    <m/>
    <s v="LANGENBERG, BRET JAMES"/>
    <m/>
    <s v="Bret James Langenberg, DO"/>
    <m/>
    <s v="Langenberg"/>
  </r>
  <r>
    <d v="2026-08-07T00:00:00"/>
    <s v="6592395"/>
    <s v="Kerstetter, Luke L"/>
    <s v="Outpatient"/>
    <x v="1"/>
    <n v="3901440677"/>
    <s v="810221968"/>
    <d v="1982-06-04T00:00:00"/>
    <s v="Nwabueze, Onyemaechi, MD"/>
    <s v="General"/>
    <s v="2"/>
    <d v="1899-12-30T10:34:00"/>
    <d v="1899-12-30T11:53:00"/>
    <n v="79"/>
    <d v="1899-12-30T10:30:00"/>
    <d v="1899-12-30T11:45:00"/>
    <n v="75"/>
    <d v="1899-12-30T10:34:00"/>
    <d v="1899-12-30T11:43:00"/>
    <n v="69"/>
    <d v="1899-12-30T10:49:00"/>
    <d v="1899-12-30T11:37:00"/>
    <d v="1899-12-30T11:43:00"/>
    <n v="69"/>
    <n v="48"/>
    <d v="1899-12-30T11:47:33"/>
    <d v="1899-12-30T13:15:00"/>
    <n v="88"/>
    <d v="1899-12-30T13:16:00"/>
    <d v="1899-12-30T13:50:00"/>
    <n v="34"/>
    <s v="SHME OR 14"/>
    <s v="General"/>
    <s v="No"/>
    <s v="Langenberg, Bret James, Do"/>
    <s v="REPAIR RECURRENT INGUINAL HERNIA, ANY AGE; REDUCIBLE"/>
    <s v="OPEN REPAIR RECURRENT RIGHT INGUINAL HERNIA WITH MESH - Right"/>
    <s v="Fri"/>
    <m/>
    <m/>
    <m/>
    <s v="LANGENBERG, BRET JAMES"/>
    <m/>
    <s v="Bret James Langenberg, DO"/>
    <m/>
    <s v="Langenberg"/>
  </r>
  <r>
    <d v="2026-08-07T00:00:00"/>
    <s v="6605431"/>
    <s v="Cavazos, Mary A"/>
    <s v="Inpatient"/>
    <x v="0"/>
    <n v="3901443150"/>
    <s v="200685359"/>
    <d v="1970-08-28T00:00:00"/>
    <s v="Ngo, Donald Hanh, MD"/>
    <s v="General"/>
    <s v="3"/>
    <d v="1899-12-30T07:36:00"/>
    <d v="1899-12-30T09:59:00"/>
    <n v="143"/>
    <d v="1899-12-30T07:30:00"/>
    <d v="1899-12-30T10:00:00"/>
    <n v="150"/>
    <d v="1899-12-30T07:36:00"/>
    <d v="1899-12-30T09:53:00"/>
    <n v="137"/>
    <d v="1899-12-30T08:15:00"/>
    <d v="1899-12-30T09:42:00"/>
    <d v="1899-12-30T09:53:00"/>
    <n v="137"/>
    <n v="87"/>
    <d v="1899-12-30T09:57:10"/>
    <d v="1899-12-30T10:45:00"/>
    <n v="48"/>
    <m/>
    <m/>
    <m/>
    <s v="SHME OR 05"/>
    <s v="Orthopedics"/>
    <s v="No"/>
    <s v="Kasir, Rafid, Md"/>
    <s v="ARTHRODESIS, POSTERIOR OR POSTEROLATERAL TECHNIQUE, SINGLE INTERSPACE; CERVICAL BELOW C2 SEGMENT_x000a_ARTHRODESIS, POSTERIOR OR POSTEROLATERAL TECHNIQUE, SINGLE INTERSPACE; EACH ADDITIONAL INTERSPACE (LIST SEPARATELY IN ADDITION TO CODE FOR PRIMARY PROCEDURE)_x000a_POSTERIOR SEGMENTAL INSTRUMENTATION (EG, PEDICLE FIXATION, DUAL RODSWITH MULTIPLE HOOKS AND SUBLAMINAR WIRES); 3 TO 6 VERTEBRAL SEGMENTS(LIST SEPARATELY IN ADDITION TO CODE FOR PRIMARY PROCEDURE)_x000a_FLUOROSCOPY (SEPARATE PROCEDURE), UP TO 1 HOUR PHYSICIAN OR OTHERQUALIFIED HEALTH CARE PROFESSIONAL TIME, OTHER THAN 71023 OR 71034 (EG,CARDIAC FLUOROSCOPY)_x000a_STEREOTACTIC COMPUTER-ASSISTED (NAVIGATIONAL) PROCEDURE; SPINAL (LISTSEPARATELY IN ADDITION TO CODE FOR PRIMARY PROCEDURE)"/>
    <s v="CERVICAL 4-CERVICAL 7 POSTERIOR SPINAL FUSION - N/A"/>
    <s v="Fri"/>
    <m/>
    <m/>
    <m/>
    <s v="KASIR, RAFID"/>
    <m/>
    <s v="Rafid Kasir, MD"/>
    <m/>
    <s v="Kasir"/>
  </r>
  <r>
    <d v="2026-08-07T00:00:00"/>
    <s v="6225076"/>
    <s v="Gee, Laura D"/>
    <s v="Outpatient"/>
    <x v="1"/>
    <n v="3901388972"/>
    <s v="700006425"/>
    <d v="1975-12-13T00:00:00"/>
    <s v="Julian, Jeric Israel Burguillos, DO"/>
    <s v="General"/>
    <s v="2"/>
    <d v="1899-12-30T07:33:00"/>
    <d v="1899-12-30T08:39:00"/>
    <n v="66"/>
    <d v="1899-12-30T07:30:00"/>
    <d v="1899-12-30T09:00:00"/>
    <n v="90"/>
    <d v="1899-12-30T07:33:00"/>
    <d v="1899-12-30T08:34:00"/>
    <n v="61"/>
    <d v="1899-12-30T07:52:00"/>
    <d v="1899-12-30T08:26:00"/>
    <d v="1899-12-30T08:34:00"/>
    <n v="61"/>
    <n v="34"/>
    <d v="1899-12-30T08:36:00"/>
    <d v="1899-12-30T10:22:18"/>
    <n v="106"/>
    <d v="1899-12-30T10:22:32"/>
    <d v="1899-12-30T10:35:00"/>
    <n v="13"/>
    <s v="SHME OR 10"/>
    <s v="General"/>
    <s v="No"/>
    <s v="Lim, Lian, Md"/>
    <s v="LAPAROSCOPY, SURGICAL; CHOLECYSTECTOMY"/>
    <s v="ROBOTIC CHOLECYSTECTOMY, POSSIBLE OPEN - N/A"/>
    <s v="Fri"/>
    <m/>
    <m/>
    <m/>
    <s v="LIM, LIAN"/>
    <m/>
    <s v="Lian Lim, MD"/>
    <m/>
    <s v="Lim"/>
  </r>
  <r>
    <d v="2026-08-07T00:00:00"/>
    <s v="6609827"/>
    <s v="Dominguez, Carlos M"/>
    <s v="Outpatient"/>
    <x v="1"/>
    <n v="3901444031"/>
    <s v="811107608"/>
    <d v="1997-09-20T00:00:00"/>
    <s v="Ngo, Donald Hanh, MD"/>
    <s v="General"/>
    <s v="2"/>
    <d v="1899-12-30T10:35:00"/>
    <d v="1899-12-30T12:14:00"/>
    <n v="99"/>
    <d v="1899-12-30T10:30:00"/>
    <d v="1899-12-30T12:30:00"/>
    <n v="120"/>
    <d v="1899-12-30T10:35:00"/>
    <d v="1899-12-30T12:08:00"/>
    <n v="93"/>
    <d v="1899-12-30T10:59:00"/>
    <d v="1899-12-30T12:03:00"/>
    <d v="1899-12-30T12:08:00"/>
    <n v="93"/>
    <n v="64"/>
    <d v="1899-12-30T12:10:00"/>
    <d v="1899-12-30T14:16:00"/>
    <n v="126"/>
    <d v="1899-12-30T14:45:00"/>
    <d v="1899-12-30T15:43:00"/>
    <n v="58"/>
    <s v="SHME OR 05"/>
    <s v="Orthopedics"/>
    <s v="No"/>
    <s v="Kasir, Rafid, Md"/>
    <s v="LAMINOTOMY (HEMILAMINECTOMY), WITH DECOMPRESSION OF NERVE ROOT(S),INCLUDING PARTIAL FACETECTOMY, FORAMINOTOMY AND/OR EXCISION OFHERNIATED INTERVERTEBRAL DISC; 1 INTERSPACE, LUMBAR_x000a_LAMINOTOMY (HEMILAMINECTOMY), WITH DECOMPRESSION OF NERVE ROOT(S),INCLUDING PARTIAL FACETECTOMY, FORAMINOTOMY AND/OR EXCISION OFHERNIATED INTERVERTEBRAL DISC; EACH ADDITIONAL INTERSPACE, CERVICAL OR_x000a_FLUOROSCOPY (SEPARATE PROCEDURE), UP TO 1 HOUR PHYSICIAN OR OTHERQUALIFIED HEALTH CARE PROFESSIONAL TIME, OTHER THAN 71023 OR 71034 (EG,CARDIAC FLUOROSCOPY)"/>
    <s v="LEFT LUMBAR 4- LUMBAR 5 MICRODISCECTOMY, RIGHT LUMBAR 5- SACRAL 1 MICRODISCECTOMY - N/A"/>
    <s v="Fri"/>
    <m/>
    <m/>
    <m/>
    <s v="KASIR, RAFID"/>
    <m/>
    <s v="Rafid Kasir, MD"/>
    <m/>
    <s v="Kasir"/>
  </r>
  <r>
    <d v="2026-08-07T00:00:00"/>
    <s v="6615871"/>
    <s v="Barrientos, Patricia"/>
    <s v="Inpatient"/>
    <x v="0"/>
    <n v="3901444797"/>
    <s v="110090508"/>
    <d v="1958-01-09T00:00:00"/>
    <s v="Ngo, Donald Hanh, MD"/>
    <s v="General"/>
    <s v="3"/>
    <d v="1899-12-30T13:29:00"/>
    <d v="1899-12-30T17:05:00"/>
    <n v="216"/>
    <d v="1899-12-30T13:00:00"/>
    <d v="1899-12-30T15:15:00"/>
    <n v="135"/>
    <d v="1899-12-30T13:29:00"/>
    <d v="1899-12-30T16:59:00"/>
    <n v="210"/>
    <d v="1899-12-30T14:06:00"/>
    <d v="1899-12-30T16:48:00"/>
    <d v="1899-12-30T16:59:00"/>
    <n v="210"/>
    <n v="162"/>
    <d v="1899-12-30T17:01:33"/>
    <d v="1899-12-30T17:31:00"/>
    <n v="30"/>
    <m/>
    <m/>
    <m/>
    <s v="SHME OR 05"/>
    <s v="General"/>
    <s v="No"/>
    <s v="Giurgiu, Dan I.N., Md"/>
    <s v="LAPAROSCOPY, SURGICAL; CHOLECYSTECTOMY"/>
    <s v="ROBOT ASSISTED POSSIBLE LAPAROSCOPIC CHOLECYSTECTOMY, POSSIBLE OPEN - N/A"/>
    <s v="Fri"/>
    <m/>
    <s v="ED/IP/IC"/>
    <m/>
    <s v="GIURGIU, DAN I.N."/>
    <m/>
    <s v="Dan I.N. Giurgiu, MD (619-330-8330)"/>
    <m/>
    <s v="Giurgiu"/>
  </r>
  <r>
    <d v="2026-08-07T00:00:00"/>
    <s v="6617398"/>
    <s v="Nunez, Heber"/>
    <s v="Outpatient"/>
    <x v="1"/>
    <n v="3901445773"/>
    <s v="701842915"/>
    <d v="1943-09-14T00:00:00"/>
    <s v="Rayan, Hany A, MD"/>
    <s v="General"/>
    <s v="3"/>
    <d v="1899-12-30T08:50:00"/>
    <d v="1899-12-30T10:17:00"/>
    <n v="87"/>
    <d v="1899-12-30T08:45:00"/>
    <d v="1899-12-30T10:15:00"/>
    <n v="90"/>
    <d v="1899-12-30T08:50:00"/>
    <d v="1899-12-30T10:12:00"/>
    <n v="82"/>
    <d v="1899-12-30T09:12:00"/>
    <d v="1899-12-30T10:08:00"/>
    <d v="1899-12-30T10:12:00"/>
    <n v="82"/>
    <n v="56"/>
    <d v="1899-12-30T10:15:00"/>
    <d v="1899-12-30T10:36:00"/>
    <n v="21"/>
    <d v="1899-12-30T10:36:00"/>
    <d v="1899-12-30T11:10:00"/>
    <n v="34"/>
    <s v="SHME OR 02"/>
    <s v="Podiatry"/>
    <s v="Yes"/>
    <s v="Schneider, Sarah Ashley, Dpm"/>
    <s v="CORRECTION, HAMMERTOE (EG, INTERPHALANGEAL FUSION, PARTIAL OR TOTALPHALANGECTOMY)"/>
    <s v="SECOND AND THIRD HAMMERTOE CORRECTION, RIGHT FOOT - Right"/>
    <s v="Fri"/>
    <m/>
    <m/>
    <m/>
    <s v="SCHNEIDER, SARAH ASHLEY_x000a_DO, RUTH NGUYEN"/>
    <s v="Panel 1: Dr. Schneider, Sarah Ashley, DPM / Do, Ruth Nguyen, DPM"/>
    <s v="Sarah Ashley Schneider, DPM"/>
    <s v="Do, Ruth Nguyen"/>
    <s v="Schneider"/>
  </r>
  <r>
    <d v="2026-08-07T00:00:00"/>
    <s v="6618495"/>
    <s v="Jeremiah, David P"/>
    <s v="Outpatient"/>
    <x v="1"/>
    <n v="3901445931"/>
    <s v="608042268"/>
    <d v="1941-02-13T00:00:00"/>
    <s v="Haidar, Jason, DO"/>
    <s v="General"/>
    <s v="3"/>
    <d v="1899-12-30T09:02:00"/>
    <d v="1899-12-30T10:19:00"/>
    <n v="77"/>
    <d v="1899-12-30T09:00:00"/>
    <d v="1899-12-30T10:00:00"/>
    <n v="60"/>
    <d v="1899-12-30T09:02:00"/>
    <d v="1899-12-30T10:14:00"/>
    <n v="72"/>
    <d v="1899-12-30T09:48:00"/>
    <d v="1899-12-30T10:06:00"/>
    <d v="1899-12-30T10:14:00"/>
    <n v="72"/>
    <n v="18"/>
    <d v="1899-12-30T10:19:50"/>
    <d v="1899-12-30T11:20:00"/>
    <n v="61"/>
    <d v="1899-12-30T11:21:00"/>
    <d v="1899-12-30T11:25:00"/>
    <n v="4"/>
    <s v="SHME OR 06"/>
    <s v="Urology"/>
    <s v="No"/>
    <s v="Salem, Carol Elizabeth, Md"/>
    <s v="CYSTOURETHROSCOPY, WITH BIOPSY(S)"/>
    <s v="CYSTOSCOPY WITH BLADDER BIOPSY AND TRANSURETHRAL RESECTION OF THE PROSTATE - N/A"/>
    <s v="Fri"/>
    <m/>
    <m/>
    <m/>
    <s v="SALEM, CAROL ELIZABETH"/>
    <m/>
    <s v="Carol Elizabeth Salem, MD"/>
    <m/>
    <s v="Salem"/>
  </r>
  <r>
    <d v="2026-08-07T00:00:00"/>
    <s v="6619894"/>
    <s v="Doerner, Morrigan C"/>
    <s v="Outpatient"/>
    <x v="1"/>
    <n v="3901446155"/>
    <s v="811367287"/>
    <d v="1991-01-24T00:00:00"/>
    <s v="Rayan, Hany A, MD"/>
    <s v="General"/>
    <s v="3"/>
    <d v="1899-12-30T10:50:00"/>
    <d v="1899-12-30T12:27:00"/>
    <n v="97"/>
    <d v="1899-12-30T10:45:00"/>
    <d v="1899-12-30T12:15:00"/>
    <n v="90"/>
    <d v="1899-12-30T10:50:00"/>
    <d v="1899-12-30T12:21:00"/>
    <n v="91"/>
    <d v="1899-12-30T11:09:00"/>
    <d v="1899-12-30T12:13:00"/>
    <d v="1899-12-30T12:21:00"/>
    <n v="91"/>
    <n v="64"/>
    <d v="1899-12-30T12:23:22"/>
    <d v="1899-12-30T13:31:00"/>
    <n v="68"/>
    <d v="1899-12-30T13:32:00"/>
    <d v="1899-12-30T14:10:00"/>
    <n v="38"/>
    <s v="SHME OR 02"/>
    <s v="Podiatry"/>
    <s v="Yes"/>
    <s v="Do, Ruth Nguyen, Dpm"/>
    <s v="AMPUTATION, METATARSAL, WITH TOE, SINGLE"/>
    <s v="PARTIAL FIFTH RAY AMPUTATION, LEFT FOOT - Left"/>
    <s v="Fri"/>
    <m/>
    <m/>
    <m/>
    <s v="DO, RUTH NGUYEN_x000a_SCHNEIDER, SARAH ASHLEY"/>
    <s v="Panel 1: Dr. Do, Ruth Nguyen, DPM / Schneider, Sarah Ashley, DPM"/>
    <s v="Ruth Nguyen Do, DPM"/>
    <s v="Schneider, Sarah Ashley"/>
    <s v="Do"/>
  </r>
  <r>
    <d v="2026-08-07T00:00:00"/>
    <s v="6622089"/>
    <s v="Mattingly, Regina G"/>
    <s v="Outpatient"/>
    <x v="1"/>
    <n v="3901446667"/>
    <s v="700259504"/>
    <d v="1948-08-30T00:00:00"/>
    <s v="Nwabueze, Onyemaechi, MD"/>
    <s v="General"/>
    <s v="2"/>
    <d v="1899-12-30T13:34:00"/>
    <d v="1899-12-30T14:12:00"/>
    <n v="38"/>
    <d v="1899-12-30T13:30:00"/>
    <d v="1899-12-30T14:15:00"/>
    <n v="45"/>
    <d v="1899-12-30T13:34:00"/>
    <d v="1899-12-30T14:06:00"/>
    <n v="32"/>
    <d v="1899-12-30T13:50:00"/>
    <d v="1899-12-30T14:00:00"/>
    <d v="1899-12-30T14:06:00"/>
    <n v="32"/>
    <n v="10"/>
    <d v="1899-12-30T14:08:00"/>
    <d v="1899-12-30T14:44:00"/>
    <n v="36"/>
    <d v="1899-12-30T14:45:00"/>
    <d v="1899-12-30T15:33:00"/>
    <n v="48"/>
    <s v="SHME OR 14"/>
    <s v="General"/>
    <s v="No"/>
    <s v="Langenberg, Bret James, Do"/>
    <s v="EXCISION OF RECTAL TUMOR, TRANSANAL APPROACH; NOT INCLUDING MUSCULARISPROPRIA (IE, PARTIAL THICKNESS)"/>
    <s v="TRANSANAL RESECTION OF ANORECTAL POLYP - N/A"/>
    <s v="Fri"/>
    <m/>
    <m/>
    <m/>
    <s v="LANGENBERG, BRET JAMES"/>
    <m/>
    <s v="Bret James Langenberg, DO"/>
    <m/>
    <s v="Langenberg"/>
  </r>
  <r>
    <d v="2026-08-07T00:00:00"/>
    <s v="6625907"/>
    <s v="Evans, Gloria"/>
    <s v="Inpatient"/>
    <x v="0"/>
    <n v="3901441220"/>
    <s v="811480083"/>
    <d v="1965-02-23T00:00:00"/>
    <s v="Chung, Michelle Sheryl, MD"/>
    <s v="General"/>
    <s v="3"/>
    <d v="1899-12-30T07:32:00"/>
    <d v="1899-12-30T09:41:00"/>
    <n v="129"/>
    <d v="1899-12-30T07:30:00"/>
    <d v="1899-12-30T09:00:00"/>
    <n v="90"/>
    <d v="1899-12-30T07:32:00"/>
    <d v="1899-12-30T09:36:00"/>
    <n v="124"/>
    <d v="1899-12-30T08:02:00"/>
    <d v="1899-12-30T09:29:00"/>
    <d v="1899-12-30T09:36:00"/>
    <n v="124"/>
    <n v="87"/>
    <d v="1899-12-30T09:38:17"/>
    <d v="1899-12-30T11:11:00"/>
    <n v="93"/>
    <m/>
    <m/>
    <m/>
    <s v="SHME OR 07"/>
    <s v="Vascular"/>
    <s v="Yes"/>
    <s v="Fernandez, Nathanial, Md"/>
    <s v="EXCISION OF INFECTED GRAFT; EXTREMITY"/>
    <s v="REMOVAL INFECTED RIGHT UPPER EXTREMITY ARTERIOVENOUS GRAFT - Right"/>
    <s v="Fri"/>
    <m/>
    <m/>
    <m/>
    <s v="FERNANDEZ, NATHANIAL"/>
    <m/>
    <s v="Nathanial Fernandez, MD"/>
    <m/>
    <s v="Fernandez"/>
  </r>
  <r>
    <d v="2026-08-07T00:00:00"/>
    <s v="6627835"/>
    <s v="Delost, Ernest"/>
    <s v="Inpatient"/>
    <x v="0"/>
    <n v="3901447422"/>
    <s v="700017136"/>
    <d v="1964-03-02T00:00:00"/>
    <s v="Saunders, Reed Michael, MD"/>
    <s v="General"/>
    <s v="2"/>
    <d v="1899-12-30T14:44:00"/>
    <d v="1899-12-30T15:38:00"/>
    <n v="54"/>
    <d v="1899-12-30T14:00:00"/>
    <d v="1899-12-30T15:15:00"/>
    <n v="75"/>
    <d v="1899-12-30T14:44:00"/>
    <d v="1899-12-30T15:38:00"/>
    <n v="54"/>
    <d v="1899-12-30T15:00:00"/>
    <d v="1899-12-30T15:30:00"/>
    <d v="1899-12-30T15:38:00"/>
    <n v="54"/>
    <n v="30"/>
    <d v="1899-12-30T15:40:40"/>
    <d v="1899-12-30T16:09:00"/>
    <n v="29"/>
    <m/>
    <m/>
    <m/>
    <s v="SHME OR 15"/>
    <s v="Urology"/>
    <s v="No"/>
    <s v="Dicks, Brian Michael, Md"/>
    <s v="CYSTOURETHROSCOPY, WITH URETEROSCOPY AND/OR PYELOSCOPY; WITHLITHOTRIPSY INCLUDING INSERTION OF INDWELLING URETERAL STENT (EG,GIBBONS OR DOUBLE-J TYPE)"/>
    <s v="LEFT URETEROSCOPY, LASER LITHOTRIPSY, POSSIBLE URETERAL STENT PLAEMENT/REPLACEMENT - Left"/>
    <s v="Fri"/>
    <m/>
    <m/>
    <m/>
    <s v="DICKS, BRIAN MICHAEL"/>
    <m/>
    <s v="Brian Michael Dicks, MD"/>
    <m/>
    <s v="Dicks"/>
  </r>
  <r>
    <d v="2026-08-07T00:00:00"/>
    <s v="6628026"/>
    <s v="Gellatly, Lorette"/>
    <s v="Inpatient"/>
    <x v="0"/>
    <n v="3901447155"/>
    <s v="811484102"/>
    <d v="1953-01-05T00:00:00"/>
    <s v="Narla, Vinod Venkat, MD"/>
    <s v="General"/>
    <s v="2"/>
    <d v="1899-12-30T07:35:00"/>
    <d v="1899-12-30T10:25:00"/>
    <n v="170"/>
    <d v="1899-12-30T07:30:00"/>
    <d v="1899-12-30T09:30:00"/>
    <n v="150"/>
    <d v="1899-12-30T07:35:00"/>
    <d v="1899-12-30T10:18:00"/>
    <n v="163"/>
    <d v="1899-12-30T08:12:00"/>
    <d v="1899-12-30T10:15:00"/>
    <d v="1899-12-30T10:18:00"/>
    <n v="163"/>
    <n v="123"/>
    <d v="1899-12-30T10:20:06"/>
    <d v="1899-12-30T11:36:00"/>
    <n v="76"/>
    <m/>
    <m/>
    <m/>
    <s v="SHME OR 01"/>
    <s v="Orthopedics"/>
    <s v="No"/>
    <s v="Kuhn, Kevin Matthew, Md"/>
    <s v="ARTHROPLASTY, ACETABULAR AND PROXIMAL FEMORAL PROSTHETIC REPLACEMENT(TOTAL HIP ARTHROPLASTY), WITH OR WITHOUT AUTOGRAFT OR ALLOGRAFT"/>
    <s v="ARTHROPLASTY, ACETABULAR AND PROXIMAL FEMORAL PROSTHETIC REPLACEMENT(TOTAL HIP ARTHROPLASTY), WITH OR WITHOUT AUTOGRAFT OR ALLOGRAFT - Right"/>
    <s v="Fri"/>
    <m/>
    <m/>
    <m/>
    <s v="KUHN, KEVIN MATTHEW"/>
    <m/>
    <s v="Kevin Matthew Kuhn, MD"/>
    <m/>
    <s v="Kuhn"/>
  </r>
  <r>
    <d v="2026-08-07T00:00:00"/>
    <s v="6629106"/>
    <s v="Lee, Ge"/>
    <s v="Inpatient"/>
    <x v="0"/>
    <n v="3901440907"/>
    <s v="701869474"/>
    <d v="1984-01-11T00:00:00"/>
    <s v="Yehushua, Liora, MD"/>
    <s v="General"/>
    <s v="4"/>
    <d v="1899-12-30T11:07:00"/>
    <d v="1899-12-30T13:18:00"/>
    <n v="131"/>
    <d v="1899-12-30T10:30:00"/>
    <d v="1899-12-30T13:30:00"/>
    <n v="180"/>
    <d v="1899-12-30T11:14:00"/>
    <d v="1899-12-30T13:09:00"/>
    <n v="115"/>
    <d v="1899-12-30T11:52:00"/>
    <d v="1899-12-30T12:57:00"/>
    <d v="1899-12-30T13:09:00"/>
    <n v="115"/>
    <n v="65"/>
    <m/>
    <m/>
    <m/>
    <m/>
    <m/>
    <m/>
    <s v="SHME OR 09"/>
    <s v="Cardiothoracic"/>
    <s v="No"/>
    <s v="Williams, David Mccann, Md"/>
    <s v="MEDIASTINOTOMY WITH EXPLORATION, DRAINAGE, REMOVAL OF FOREIGN BODY, ORBIOPSY; CERVICAL APPROACH_x000a_THORACOTOMY, MAJOR; WITH EXPLORATION AND BIOPSY"/>
    <s v="RIGHT CHEST WASHOUT AND EXPLORATION; RIGHT THORACOTOMY - Right"/>
    <s v="Fri"/>
    <m/>
    <m/>
    <m/>
    <s v="WILLIAMS, DAVID MCCANN"/>
    <m/>
    <s v="David McCann Williams, MD"/>
    <m/>
    <s v="Williams"/>
  </r>
  <r>
    <d v="2026-08-07T00:00:00"/>
    <s v="6629854"/>
    <s v="Madrid-Grijalva, Isabel"/>
    <s v="Inpatient"/>
    <x v="0"/>
    <n v="3901446962"/>
    <s v="400448957"/>
    <d v="1935-10-07T00:00:00"/>
    <s v="Narla, Vinod Venkat, MD"/>
    <s v="General"/>
    <s v="2"/>
    <d v="1899-12-30T14:15:00"/>
    <d v="1899-12-30T15:29:00"/>
    <n v="74"/>
    <d v="1899-12-30T14:00:00"/>
    <d v="1899-12-30T15:00:00"/>
    <n v="60"/>
    <d v="1899-12-30T14:15:00"/>
    <d v="1899-12-30T15:22:00"/>
    <n v="67"/>
    <d v="1899-12-30T14:46:00"/>
    <d v="1899-12-30T15:18:00"/>
    <d v="1899-12-30T15:22:00"/>
    <n v="67"/>
    <n v="32"/>
    <d v="1899-12-30T15:25:00"/>
    <d v="1899-12-30T17:00:00"/>
    <n v="95"/>
    <m/>
    <m/>
    <m/>
    <s v="SHME OR 02"/>
    <s v="Neurosurgery"/>
    <s v="No"/>
    <s v="Zauner, Alois, Md"/>
    <s v="INCISION AND DRAINAGE, COMPLEX, POSTOPERATIVE WOUND INFECTION"/>
    <s v="INCISION AND DRAINAGE, COMPLEX, POSTOPERATIVE WOUND INFECTION - Right"/>
    <s v="Fri"/>
    <m/>
    <m/>
    <m/>
    <s v="ZAUNER, ALOIS"/>
    <m/>
    <s v="Alois Zauner, MD"/>
    <m/>
    <s v="Zauner"/>
  </r>
  <r>
    <d v="2026-08-07T00:00:00"/>
    <s v="6630134"/>
    <s v="Revelles, Joe"/>
    <s v="Inpatient"/>
    <x v="0"/>
    <n v="3901447788"/>
    <s v="110166449"/>
    <d v="1971-11-10T00:00:00"/>
    <s v="Yehushua, Liora, MD"/>
    <s v="Regional"/>
    <s v="3"/>
    <d v="1899-12-30T07:25:00"/>
    <d v="1899-12-30T10:32:00"/>
    <n v="187"/>
    <d v="1899-12-30T07:30:00"/>
    <d v="1899-12-30T10:00:00"/>
    <n v="150"/>
    <d v="1899-12-30T07:25:00"/>
    <d v="1899-12-30T10:24:00"/>
    <n v="179"/>
    <d v="1899-12-30T08:11:00"/>
    <d v="1899-12-30T09:57:00"/>
    <d v="1899-12-30T10:24:00"/>
    <n v="179"/>
    <n v="106"/>
    <d v="1899-12-30T10:26:20"/>
    <d v="1899-12-30T11:55:00"/>
    <n v="89"/>
    <m/>
    <m/>
    <m/>
    <s v="SHME OR 09"/>
    <s v="Cardiothoracic"/>
    <s v="No"/>
    <s v="Williams, David Mccann, Md"/>
    <s v="RADICAL RESECTION OF STERNUM;"/>
    <s v="LEFT STERNOCLAVICULAR JOINT RESECTION - Left"/>
    <s v="Fri"/>
    <m/>
    <m/>
    <m/>
    <s v="WILLIAMS, DAVID MCCANN"/>
    <m/>
    <s v="David McCann Williams, MD"/>
    <m/>
    <s v="Williams"/>
  </r>
  <r>
    <d v="2026-08-07T00:00:00"/>
    <s v="6631007"/>
    <s v="Ponce, Sarahy"/>
    <s v="Inpatient"/>
    <x v="0"/>
    <n v="3400727818"/>
    <s v="811484016"/>
    <d v="1996-12-23T00:00:00"/>
    <s v="Julian, Jeric Israel Burguillos, DO"/>
    <s v="General"/>
    <s v="2"/>
    <d v="1899-12-30T15:07:00"/>
    <d v="1899-12-30T15:51:00"/>
    <n v="44"/>
    <d v="1899-12-30T15:00:00"/>
    <d v="1899-12-30T16:10:00"/>
    <n v="70"/>
    <d v="1899-12-30T15:07:00"/>
    <d v="1899-12-30T15:46:00"/>
    <n v="39"/>
    <d v="1899-12-30T15:25:00"/>
    <d v="1899-12-30T15:39:00"/>
    <d v="1899-12-30T15:46:00"/>
    <n v="39"/>
    <n v="14"/>
    <d v="1899-12-30T15:49:22"/>
    <d v="1899-12-30T16:15:00"/>
    <n v="26"/>
    <m/>
    <m/>
    <m/>
    <s v="SHME OR 07"/>
    <s v="Urology"/>
    <s v="No"/>
    <s v="Holden, Marc Mccaslin, Md"/>
    <s v="CYSTOURETHROSCOPY, WITH URETEROSCOPY AND/OR PYELOSCOPY; WITHLITHOTRIPSY INCLUDING INSERTION OF INDWELLING URETERAL STENT (EG,GIBBONS OR DOUBLE-J TYPE)"/>
    <s v="CYSTOURETHROSCOPY, WITH URETEROSCOPY AND/OR PYELOSCOPY; WITHLITHOTRIPSY INCLUDING INSERTION OF INDWELLING URETERAL STENT (EG,GIBBONS OR DOUBLE-J TYPE) - Right"/>
    <s v="Fri"/>
    <m/>
    <m/>
    <m/>
    <s v="HOLDEN, MARC MCCASLIN"/>
    <m/>
    <s v="Marc McCaslin Holden, MD"/>
    <m/>
    <s v="Holden"/>
  </r>
  <r>
    <d v="2026-08-07T00:00:00"/>
    <s v="6631016"/>
    <s v="Liberato, April E"/>
    <s v="Inpatient"/>
    <x v="0"/>
    <n v="3400727778"/>
    <s v="701292571"/>
    <d v="1983-03-28T00:00:00"/>
    <s v="Julian, Jeric Israel Burguillos, DO"/>
    <s v="General"/>
    <s v="2"/>
    <d v="1899-12-30T16:10:00"/>
    <d v="1899-12-30T16:47:00"/>
    <n v="37"/>
    <d v="1899-12-30T16:30:00"/>
    <d v="1899-12-30T17:40:00"/>
    <n v="70"/>
    <d v="1899-12-30T16:10:00"/>
    <d v="1899-12-30T16:42:00"/>
    <n v="32"/>
    <d v="1899-12-30T16:23:00"/>
    <d v="1899-12-30T16:37:00"/>
    <d v="1899-12-30T16:42:00"/>
    <n v="32"/>
    <n v="14"/>
    <d v="1899-12-30T16:44:15"/>
    <d v="1899-12-30T17:44:00"/>
    <n v="60"/>
    <m/>
    <m/>
    <m/>
    <s v="SHME OR 07"/>
    <s v="Urology"/>
    <s v="No"/>
    <s v="Holden, Marc Mccaslin, Md"/>
    <s v="CYSTOURETHROSCOPY, WITH URETEROSCOPY AND/OR PYELOSCOPY; WITHLITHOTRIPSY INCLUDING INSERTION OF INDWELLING URETERAL STENT (EG,GIBBONS OR DOUBLE-J TYPE)"/>
    <s v="CYSTOURETHROSCOPY, WITH URETEROSCOPY AND/OR PYELOSCOPY; WITHLITHOTRIPSY INCLUDING INSERTION OF INDWELLING URETERAL STENT (EG,GIBBONS OR DOUBLE-J TYPE) - Right"/>
    <s v="Fri"/>
    <m/>
    <m/>
    <m/>
    <s v="HOLDEN, MARC MCCASLIN"/>
    <m/>
    <s v="Marc McCaslin Holden, MD"/>
    <m/>
    <s v="Holden"/>
  </r>
  <r>
    <d v="2026-08-07T00:00:00"/>
    <s v="6631973"/>
    <s v="Moore, John M"/>
    <s v="Outpatient"/>
    <x v="1"/>
    <n v="3901447995"/>
    <s v="700477866"/>
    <d v="1944-09-21T00:00:00"/>
    <s v="Julian, Jeric Israel Burguillos, DO"/>
    <s v="General"/>
    <s v="3"/>
    <d v="1899-12-30T17:03:00"/>
    <d v="1899-12-30T17:49:00"/>
    <n v="46"/>
    <d v="1899-12-30T18:10:00"/>
    <d v="1899-12-30T18:55:00"/>
    <n v="45"/>
    <d v="1899-12-30T17:03:00"/>
    <d v="1899-12-30T17:43:00"/>
    <n v="40"/>
    <d v="1899-12-30T17:32:00"/>
    <d v="1899-12-30T17:38:00"/>
    <d v="1899-12-30T17:43:00"/>
    <n v="40"/>
    <n v="6"/>
    <d v="1899-12-30T17:45:00"/>
    <d v="1899-12-30T18:00:00"/>
    <n v="15"/>
    <m/>
    <m/>
    <m/>
    <s v="SHME OR 07"/>
    <s v="Urology"/>
    <s v="No"/>
    <s v="Holden, Marc Mccaslin, Md"/>
    <s v="CYSTOURETHROSCOPY, WITH INSERTION OF INDWELLING URETERAL STENT (EG,GIBBONS OR DOUBLE-J TYPE)"/>
    <s v="CYSTOURETHROSCOPY, WITH INSERTION OF INDWELLING URETERAL STENT (EG,GIBBONS OR DOUBLE-J TYPE) - Left"/>
    <s v="Fri"/>
    <m/>
    <m/>
    <m/>
    <s v="HOLDEN, MARC MCCASLIN"/>
    <m/>
    <s v="Marc McCaslin Holden, MD"/>
    <m/>
    <s v="Holden"/>
  </r>
  <r>
    <d v="2026-08-07T00:00:00"/>
    <s v="6632067"/>
    <s v="Fields, Audrey Mary"/>
    <s v="Inpatient"/>
    <x v="0"/>
    <n v="3901448311"/>
    <s v="400364205"/>
    <d v="1971-09-12T00:00:00"/>
    <s v="Narla, Vinod Venkat, MD"/>
    <s v="General"/>
    <s v="2"/>
    <d v="1899-12-30T11:03:00"/>
    <d v="1899-12-30T13:11:00"/>
    <n v="128"/>
    <d v="1899-12-30T10:30:00"/>
    <d v="1899-12-30T12:30:00"/>
    <n v="120"/>
    <d v="1899-12-30T11:03:00"/>
    <d v="1899-12-30T13:04:00"/>
    <n v="121"/>
    <d v="1899-12-30T11:31:00"/>
    <d v="1899-12-30T12:56:00"/>
    <d v="1899-12-30T13:04:00"/>
    <n v="121"/>
    <n v="85"/>
    <d v="1899-12-30T13:06:32"/>
    <d v="1899-12-30T14:01:00"/>
    <n v="55"/>
    <m/>
    <m/>
    <m/>
    <s v="SHME OR 01"/>
    <s v="Orthopedics"/>
    <s v="No"/>
    <s v="Kuhn, Kevin Matthew, Md"/>
    <s v="OPEN TREATMENT OF TRIMALLEOLAR ANKLE FRACTURE, INCLUDES INTERNALFIXATION, WHEN PERFORMED, MEDIAL AND/OR LATERAL MALLEOLUS; WITHOUTFIXATION OF POSTERIOR LIP_x000a_DEBRIDEMENT INCLUDING REMOVAL OF FOREIGN MATERIAL AT THE SITE OF AN OPENFRACTURE AND/OR AN OPEN DISLOCATION (EG, EXCISIONAL DEBRIDEMENT); SKIN,SUBCUTANEOUS TISSUE, MUSCLE FASCIA, MUSCLE, AND BONE"/>
    <s v="OPEN TREATMENT OF TRIMALLEOLAR ANKLE FRACTURE, INCLUDES INTERNALFIXATION, WHEN PERFORMED, MEDIAL AND/OR LATERAL MALLEOLUS; WITHOUTFIXATION OF POSTERIOR LIP - Right"/>
    <s v="Fri"/>
    <m/>
    <m/>
    <m/>
    <s v="KUHN, KEVIN MATTHEW"/>
    <m/>
    <s v="Kevin Matthew Kuhn, MD"/>
    <m/>
    <s v="Kuhn"/>
  </r>
  <r>
    <d v="2026-08-07T00:00:00"/>
    <s v="6632820"/>
    <s v="Jabbari, Eva"/>
    <s v="Outpatient"/>
    <x v="1"/>
    <n v="3901447975"/>
    <s v="811484705"/>
    <d v="2004-07-17T00:00:00"/>
    <s v="Chung, Michelle Sheryl, MD"/>
    <s v="General"/>
    <s v="2"/>
    <d v="1899-12-30T11:15:00"/>
    <d v="1899-12-30T12:33:00"/>
    <n v="78"/>
    <d v="1899-12-30T11:00:00"/>
    <d v="1899-12-30T12:30:00"/>
    <n v="90"/>
    <d v="1899-12-30T11:10:00"/>
    <d v="1899-12-30T12:28:00"/>
    <n v="78"/>
    <d v="1899-12-30T11:41:00"/>
    <d v="1899-12-30T12:19:00"/>
    <d v="1899-12-30T12:28:00"/>
    <n v="78"/>
    <n v="38"/>
    <d v="1899-12-30T12:29:59"/>
    <d v="1899-12-30T13:56:00"/>
    <n v="87"/>
    <m/>
    <m/>
    <m/>
    <s v="SHME OR 06"/>
    <s v="General"/>
    <s v="No"/>
    <s v="Toman, Jeffrey Robert, Md"/>
    <s v="LAPAROSCOPY, SURGICAL, APPENDECTOMY"/>
    <s v="Laparoscopic appendectomy, possible open procedure - N/A"/>
    <s v="Fri"/>
    <m/>
    <m/>
    <m/>
    <s v="TOMAN, JEFFREY ROBERT"/>
    <m/>
    <s v="Jeffrey Robert Toman, MD"/>
    <m/>
    <s v="Toman"/>
  </r>
  <r>
    <d v="2026-08-07T00:00:00"/>
    <s v="6633002"/>
    <s v="Preciado Molina, Sandra I"/>
    <s v="Inpatient"/>
    <x v="0"/>
    <n v="3901448404"/>
    <s v="100662033"/>
    <d v="1979-04-14T00:00:00"/>
    <s v="Chung, Michelle Sheryl, MD"/>
    <s v="General"/>
    <s v="3"/>
    <d v="1899-12-30T13:03:00"/>
    <d v="1899-12-30T14:52:00"/>
    <n v="109"/>
    <d v="1899-12-30T13:00:00"/>
    <d v="1899-12-30T14:30:00"/>
    <n v="90"/>
    <d v="1899-12-30T13:03:00"/>
    <d v="1899-12-30T14:48:00"/>
    <n v="105"/>
    <d v="1899-12-30T13:34:00"/>
    <d v="1899-12-30T14:36:00"/>
    <d v="1899-12-30T14:48:00"/>
    <n v="105"/>
    <n v="62"/>
    <d v="1899-12-30T14:49:24"/>
    <d v="1899-12-30T15:31:00"/>
    <n v="42"/>
    <m/>
    <m/>
    <m/>
    <s v="SHME OR 06"/>
    <s v="General"/>
    <s v="No"/>
    <s v="Toman, Jeffrey Robert, Md"/>
    <s v="LAPAROSCOPY, SURGICAL, APPENDECTOMY"/>
    <s v="Laparoscopic appendectomy, possible open procedure - N/A"/>
    <s v="Fri"/>
    <m/>
    <m/>
    <m/>
    <s v="TOMAN, JEFFREY ROBERT"/>
    <m/>
    <s v="Jeffrey Robert Toman, MD"/>
    <m/>
    <s v="Toman"/>
  </r>
  <r>
    <d v="2026-08-07T00:00:00"/>
    <s v="6635306"/>
    <s v="Rosete, Vincent"/>
    <s v="Inpatient"/>
    <x v="0"/>
    <n v="3901444259"/>
    <s v="810265882"/>
    <d v="1970-08-11T00:00:00"/>
    <s v="Ramos, Joshua Neftalie, MD"/>
    <s v="General"/>
    <s v="3"/>
    <d v="1899-12-30T17:49:00"/>
    <d v="1899-12-30T19:04:00"/>
    <n v="75"/>
    <d v="1899-12-30T17:15:00"/>
    <d v="1899-12-30T18:05:00"/>
    <n v="80"/>
    <d v="1899-12-30T17:49:00"/>
    <d v="1899-12-30T18:55:00"/>
    <n v="66"/>
    <d v="1899-12-30T18:12:00"/>
    <d v="1899-12-30T18:49:00"/>
    <d v="1899-12-30T18:55:00"/>
    <n v="66"/>
    <n v="37"/>
    <d v="1899-12-30T18:57:00"/>
    <d v="1899-12-30T20:14:00"/>
    <n v="77"/>
    <m/>
    <m/>
    <m/>
    <s v="SHME OR 02"/>
    <s v="Urology"/>
    <s v="Yes"/>
    <s v="Salem, Carol Elizabeth, Md"/>
    <s v="DRAINAGE OF SCROTAL WALL ABSCESS"/>
    <s v="incision and drainage of scrotal abscess - N/A"/>
    <s v="Fri"/>
    <m/>
    <m/>
    <m/>
    <s v="SALEM, CAROL ELIZABETH"/>
    <m/>
    <s v="Carol Elizabeth Salem, MD"/>
    <m/>
    <s v="Salem"/>
  </r>
  <r>
    <d v="2026-08-07T00:00:00"/>
    <s v="6635617"/>
    <s v="Ampudia Valle, Arturo"/>
    <s v="Inpatient"/>
    <x v="0"/>
    <n v="3901448967"/>
    <s v="811485335"/>
    <d v="1963-02-08T00:00:00"/>
    <s v="Ramos, Joshua Neftalie, MD"/>
    <s v="General"/>
    <s v="3"/>
    <d v="1899-12-30T20:20:00"/>
    <d v="1899-12-30T22:01:00"/>
    <n v="101"/>
    <d v="1899-12-30T20:00:00"/>
    <d v="1899-12-30T21:10:00"/>
    <n v="100"/>
    <d v="1899-12-30T20:20:00"/>
    <d v="1899-12-30T21:52:00"/>
    <n v="92"/>
    <d v="1899-12-30T20:48:00"/>
    <d v="1899-12-30T21:47:00"/>
    <d v="1899-12-30T21:52:00"/>
    <n v="92"/>
    <n v="59"/>
    <d v="1899-12-30T21:55:41"/>
    <d v="1899-12-30T23:26:21"/>
    <n v="91"/>
    <m/>
    <m/>
    <m/>
    <s v="SHME OR 03"/>
    <s v="Podiatry"/>
    <s v="Yes"/>
    <s v="Cullen, Benjamin Dennis, Dpm"/>
    <s v="AMPUTATION, FOOT; TRANSMETATARSAL"/>
    <s v="incision and drainage with left foot transmetatarsal amputation with removal of all non-viable soft tissue and bone - Left"/>
    <s v="Fri"/>
    <m/>
    <m/>
    <m/>
    <s v="CULLEN, BENJAMIN DENNIS"/>
    <m/>
    <s v="Benjamin Dennis Cullen, DPM"/>
    <m/>
    <s v="Cullen"/>
  </r>
  <r>
    <d v="2026-08-07T00:00:00"/>
    <s v="6464638"/>
    <s v="Ward, Sean D"/>
    <s v="Outpatient"/>
    <x v="1"/>
    <n v="3901423080"/>
    <s v="810044291"/>
    <d v="1966-09-16T00:00:00"/>
    <s v="Julian, Jeric Israel Burguillos, DO"/>
    <s v="Regional"/>
    <s v="3"/>
    <d v="1899-12-30T09:07:00"/>
    <d v="1899-12-30T11:08:00"/>
    <n v="121"/>
    <d v="1899-12-30T09:30:00"/>
    <d v="1899-12-30T12:00:00"/>
    <n v="150"/>
    <d v="1899-12-30T09:07:00"/>
    <d v="1899-12-30T11:03:00"/>
    <n v="116"/>
    <d v="1899-12-30T09:37:00"/>
    <d v="1899-12-30T10:59:00"/>
    <d v="1899-12-30T11:03:00"/>
    <n v="116"/>
    <n v="82"/>
    <d v="1899-12-30T11:08:00"/>
    <d v="1899-12-30T11:31:00"/>
    <n v="23"/>
    <d v="1899-12-30T11:31:00"/>
    <d v="1899-12-30T12:50:00"/>
    <n v="79"/>
    <s v="SHME OR 10"/>
    <s v="General"/>
    <s v="Yes"/>
    <s v="Lim, Lian, Md"/>
    <s v="REPAIR OF ANTERIOR ABDOMINAL HERNIA(S) (IE, EPIGASTRIC, INCISIONAL, VENTRAL, UMBILICAL, SPIGELIAN), ANY APPROACH (IE, OPEN, LAPAROSCOPIC, ROBOTIC), INITIAL, INCLUDING IMPLANTATION OF MESH OR OTHER"/>
    <s v="ROBOTIC VENTRAL HERNIA REPAIR WITH MESH, POSSIBLE OPEN - N/A"/>
    <s v="Fri"/>
    <m/>
    <m/>
    <m/>
    <s v="LIM, LIAN"/>
    <m/>
    <s v="Lian Lim, MD"/>
    <m/>
    <s v="Lim"/>
  </r>
  <r>
    <d v="2026-08-07T00:00:00"/>
    <s v="6471960"/>
    <s v="Ly, Tom Sen"/>
    <s v="Outpatient"/>
    <x v="1"/>
    <n v="3901434210"/>
    <s v="811459919"/>
    <d v="1989-02-28T00:00:00"/>
    <s v="Julian, Jeric Israel Burguillos, DO"/>
    <s v="General"/>
    <s v="2"/>
    <d v="1899-12-30T13:29:00"/>
    <d v="1899-12-30T14:57:00"/>
    <n v="88"/>
    <d v="1899-12-30T14:30:00"/>
    <d v="1899-12-30T16:00:00"/>
    <n v="90"/>
    <d v="1899-12-30T13:30:00"/>
    <d v="1899-12-30T14:47:00"/>
    <n v="77"/>
    <d v="1899-12-30T13:47:00"/>
    <d v="1899-12-30T14:40:00"/>
    <d v="1899-12-30T14:47:00"/>
    <n v="77"/>
    <n v="53"/>
    <d v="1899-12-30T14:53:00"/>
    <d v="1899-12-30T15:30:00"/>
    <n v="37"/>
    <d v="1899-12-30T15:31:00"/>
    <d v="1899-12-30T16:00:00"/>
    <n v="29"/>
    <s v="SHME OR 10"/>
    <s v="General"/>
    <s v="No"/>
    <s v="Lim, Lian, Md"/>
    <s v="LAPAROSCOPY, SURGICAL; CHOLECYSTECTOMY"/>
    <s v="ROBOTIC CHOLECYSTECTOMY, POSSIBLE OPEN - N/A"/>
    <s v="Fri"/>
    <m/>
    <m/>
    <m/>
    <s v="LIM, LIAN"/>
    <m/>
    <s v="Lian Lim, MD"/>
    <m/>
    <s v="Lim"/>
  </r>
  <r>
    <d v="2026-08-07T00:00:00"/>
    <s v="6485182"/>
    <s v="Purcell, Rosalia"/>
    <s v="Outpatient"/>
    <x v="1"/>
    <n v="3901425155"/>
    <s v="700120202"/>
    <d v="1965-02-25T00:00:00"/>
    <s v="Julian, Jeric Israel Burguillos, DO"/>
    <s v="General"/>
    <s v="2"/>
    <d v="1899-12-30T11:41:00"/>
    <d v="1899-12-30T13:06:00"/>
    <n v="85"/>
    <d v="1899-12-30T12:30:00"/>
    <d v="1899-12-30T14:00:00"/>
    <n v="90"/>
    <d v="1899-12-30T11:41:00"/>
    <d v="1899-12-30T12:56:00"/>
    <n v="75"/>
    <d v="1899-12-30T12:11:00"/>
    <d v="1899-12-30T12:53:00"/>
    <d v="1899-12-30T12:56:00"/>
    <n v="75"/>
    <n v="42"/>
    <d v="1899-12-30T13:00:00"/>
    <d v="1899-12-30T15:01:00"/>
    <n v="121"/>
    <d v="1899-12-30T15:02:00"/>
    <d v="1899-12-30T15:25:00"/>
    <n v="23"/>
    <s v="SHME OR 10"/>
    <s v="General"/>
    <s v="No"/>
    <s v="Lim, Lian, Md"/>
    <s v="LAPAROSCOPY, SURGICAL; CHOLECYSTECTOMY"/>
    <s v="ROBOTIC CHOLECYSTECTOMY, POSSIBLE OPEN - N/A"/>
    <s v="Fri"/>
    <m/>
    <m/>
    <m/>
    <s v="LIM, LIAN"/>
    <m/>
    <s v="Lian Lim, MD"/>
    <m/>
    <s v="Lim"/>
  </r>
  <r>
    <d v="2026-08-07T00:00:00"/>
    <s v="6497325"/>
    <s v="Cunha, Hillary B"/>
    <s v="Inpatient"/>
    <x v="0"/>
    <n v="3901423042"/>
    <s v="100900366"/>
    <d v="1967-03-17T00:00:00"/>
    <s v="Kim, Eung Do, MD"/>
    <s v="Regional"/>
    <s v="4"/>
    <d v="1899-12-30T07:26:00"/>
    <d v="1899-12-30T09:52:00"/>
    <n v="146"/>
    <d v="1899-12-30T07:30:00"/>
    <d v="1899-12-30T09:45:00"/>
    <n v="135"/>
    <d v="1899-12-30T07:26:00"/>
    <d v="1899-12-30T09:47:00"/>
    <n v="141"/>
    <d v="1899-12-30T07:56:00"/>
    <d v="1899-12-30T09:44:00"/>
    <d v="1899-12-30T09:47:00"/>
    <n v="141"/>
    <n v="108"/>
    <d v="1899-12-30T09:50:00"/>
    <d v="1899-12-30T10:05:00"/>
    <n v="15"/>
    <m/>
    <m/>
    <m/>
    <s v="SHME OR 04"/>
    <s v="Orthopedics"/>
    <s v="No"/>
    <s v="Fabi, David William, Md"/>
    <s v="ARTHROPLASTY, KNEE, CONDYLE AND PLATEAU; MEDIAL AND LATERAL COMPARTMENTSWITH OR WITHOUT PATELLA RESURFACING (TOTAL KNEE ARTHROPLASTY)_x000a_COMPUTER-ASSISTED SURGICAL NAVIGATIONAL PROCEDURE FOR MUSCULOSKELETALPROCEDURES, IMAGE-LESS (LIST SEPARATELY IN ADDITION TO CODE FOR PRIMARYPROCEDURE)"/>
    <s v="ROBOTIC LEFT TOTAL KNEE ARTHROPLASTY - Left"/>
    <s v="Fri"/>
    <m/>
    <m/>
    <m/>
    <s v="FABI, DAVID WILLIAM"/>
    <m/>
    <s v="David William Fabi, MD"/>
    <m/>
    <s v="Fabi"/>
  </r>
  <r>
    <d v="2026-08-08T00:00:00"/>
    <s v="6634469"/>
    <s v="Villagrana, Dolores"/>
    <s v="Inpatient"/>
    <x v="0"/>
    <n v="3901447710"/>
    <s v="811484593"/>
    <d v="1944-02-14T00:00:00"/>
    <s v="Ngo, Donald Hanh, MD"/>
    <s v="General"/>
    <s v="4"/>
    <d v="1899-12-30T10:47:00"/>
    <d v="1899-12-30T12:07:00"/>
    <n v="80"/>
    <d v="1899-12-30T07:30:00"/>
    <d v="1899-12-30T09:45:00"/>
    <n v="135"/>
    <d v="1899-12-30T10:54:00"/>
    <d v="1899-12-30T12:00:00"/>
    <n v="66"/>
    <d v="1899-12-30T11:25:00"/>
    <d v="1899-12-30T11:55:00"/>
    <d v="1899-12-30T12:00:00"/>
    <n v="66"/>
    <n v="30"/>
    <m/>
    <m/>
    <m/>
    <m/>
    <m/>
    <m/>
    <s v="SHME OR 03"/>
    <s v="General"/>
    <s v="Not on file"/>
    <s v="Simpson, Amelia Jean, Md"/>
    <s v="REOPENING OF RECENT LAPAROTOMY"/>
    <s v="REOPENING OF RECENT LAPAROTOMY - N/A"/>
    <s v="Sat"/>
    <m/>
    <m/>
    <m/>
    <s v="SIMPSON, AMELIA JEAN"/>
    <m/>
    <s v="Amelia Jean Simpson, MD"/>
    <m/>
    <s v="Simpson"/>
  </r>
  <r>
    <d v="2026-08-08T00:00:00"/>
    <s v="6635113"/>
    <s v="Curcio, Nancy A"/>
    <s v="Inpatient"/>
    <x v="0"/>
    <n v="3901447746"/>
    <s v="701131669"/>
    <d v="1936-03-01T00:00:00"/>
    <s v="Kim, Eung Do, MD"/>
    <s v="Regional"/>
    <s v="3"/>
    <d v="1899-12-30T11:28:00"/>
    <d v="1899-12-30T13:32:00"/>
    <n v="124"/>
    <d v="1899-12-30T09:50:00"/>
    <d v="1899-12-30T11:55:00"/>
    <n v="125"/>
    <d v="1899-12-30T11:28:00"/>
    <d v="1899-12-30T13:32:00"/>
    <n v="124"/>
    <d v="1899-12-30T12:00:00"/>
    <d v="1899-12-30T13:23:00"/>
    <d v="1899-12-30T13:32:00"/>
    <n v="124"/>
    <n v="83"/>
    <d v="1899-12-30T13:33:38"/>
    <d v="1899-12-30T13:57:23"/>
    <n v="24"/>
    <m/>
    <m/>
    <m/>
    <s v="SHME OR 07"/>
    <s v="Orthopedics"/>
    <s v="No"/>
    <s v="Kuhn, Kevin Matthew, Md"/>
    <s v="OPEN TREATMENT OF FEMORAL FRACTURE, PROXIMAL END, NECK, INTERNALFIXATION OR PROSTHETIC REPLACEMENT"/>
    <s v="Operative treatment of left hip fracture with hemiarthroplasty - Left"/>
    <s v="Sat"/>
    <m/>
    <m/>
    <m/>
    <s v="KUHN, KEVIN MATTHEW"/>
    <m/>
    <s v="Kevin Matthew Kuhn, MD"/>
    <m/>
    <s v="Kuhn"/>
  </r>
  <r>
    <d v="2026-08-08T00:00:00"/>
    <s v="6635135"/>
    <s v="Guzman Chavez, Raul"/>
    <s v="Inpatient"/>
    <x v="0"/>
    <n v="3901447500"/>
    <s v="811484322"/>
    <d v="1953-06-20T00:00:00"/>
    <s v="Kim, Eung Do, MD"/>
    <s v="Regional"/>
    <s v="3"/>
    <d v="1899-12-30T09:06:00"/>
    <d v="1899-12-30T10:42:00"/>
    <n v="96"/>
    <d v="1899-12-30T07:30:00"/>
    <d v="1899-12-30T09:20:00"/>
    <n v="110"/>
    <d v="1899-12-30T09:06:00"/>
    <d v="1899-12-30T10:38:00"/>
    <n v="92"/>
    <d v="1899-12-30T09:23:00"/>
    <d v="1899-12-30T10:34:00"/>
    <d v="1899-12-30T10:38:00"/>
    <n v="92"/>
    <n v="71"/>
    <d v="1899-12-30T10:39:17"/>
    <d v="1899-12-30T11:16:00"/>
    <n v="37"/>
    <m/>
    <m/>
    <m/>
    <s v="SHME OR 06"/>
    <s v="Orthopedics"/>
    <s v="Yes"/>
    <s v="Kuhn, Kevin Matthew, Md"/>
    <s v="AMPUTATION, LEG, THROUGH TIBIA AND FIBULA;"/>
    <s v="LEFT BELOW KNEE AMPUTATION - Left"/>
    <s v="Sat"/>
    <m/>
    <m/>
    <m/>
    <s v="KUHN, KEVIN MATTHEW"/>
    <m/>
    <s v="Kevin Matthew Kuhn, MD"/>
    <m/>
    <s v="Kuhn"/>
  </r>
  <r>
    <d v="2026-08-08T00:00:00"/>
    <s v="6635576"/>
    <s v="Hallett, Rick R III"/>
    <s v="Inpatient"/>
    <x v="0"/>
    <n v="3901448923"/>
    <s v="610192751"/>
    <d v="1952-02-18T00:00:00"/>
    <s v="Kim, Eung Do, MD"/>
    <s v="Regional"/>
    <s v="4"/>
    <d v="1899-12-30T14:01:00"/>
    <d v="1899-12-30T16:19:00"/>
    <n v="138"/>
    <d v="1899-12-30T13:15:00"/>
    <d v="1899-12-30T15:20:00"/>
    <n v="155"/>
    <d v="1899-12-30T14:01:00"/>
    <d v="1899-12-30T16:14:00"/>
    <n v="133"/>
    <d v="1899-12-30T14:26:00"/>
    <d v="1899-12-30T16:08:00"/>
    <d v="1899-12-30T16:14:00"/>
    <n v="133"/>
    <n v="102"/>
    <d v="1899-12-30T16:16:06"/>
    <d v="1899-12-30T18:01:00"/>
    <n v="105"/>
    <m/>
    <m/>
    <m/>
    <s v="SHME OR 05"/>
    <s v="Orthopedics"/>
    <s v="Yes"/>
    <s v="Kuhn, Kevin Matthew, Md"/>
    <s v="OPEN TREATMENT OF FEMORAL FRACTURE, PROXIMAL END, NECK, INTERNALFIXATION OR PROSTHETIC REPLACEMENT"/>
    <s v="Operative treatment of right hip fracture with arthroplasty - Right"/>
    <s v="Sat"/>
    <m/>
    <m/>
    <m/>
    <s v="KUHN, KEVIN MATTHEW"/>
    <m/>
    <s v="Kevin Matthew Kuhn, MD"/>
    <m/>
    <s v="Kuhn"/>
  </r>
  <r>
    <d v="2026-08-08T00:00:00"/>
    <s v="6635987"/>
    <s v="Quinn, Taryn"/>
    <s v="Inpatient"/>
    <x v="0"/>
    <n v="3901449155"/>
    <s v="811485482"/>
    <d v="2006-08-17T00:00:00"/>
    <s v="Ngo, Donald Hanh, MD"/>
    <s v="General"/>
    <s v="4"/>
    <d v="1899-12-30T06:01:00"/>
    <d v="1899-12-30T10:03:00"/>
    <n v="242"/>
    <d v="1899-12-30T05:40:00"/>
    <d v="1899-12-30T07:55:00"/>
    <n v="165"/>
    <d v="1899-12-30T06:01:00"/>
    <d v="1899-12-30T09:52:00"/>
    <n v="231"/>
    <d v="1899-12-30T06:44:00"/>
    <d v="1899-12-30T09:43:00"/>
    <d v="1899-12-30T09:52:00"/>
    <n v="231"/>
    <n v="179"/>
    <m/>
    <m/>
    <m/>
    <m/>
    <m/>
    <m/>
    <s v="SHME OR 01"/>
    <s v="Vascular"/>
    <s v="No"/>
    <s v="Fernandez, Nathanial, Md"/>
    <s v="DIRECT REPAIR OF ANEURYSM, PSEUDOANEURYSM, OR EXCISION (PARTIAL ORTOTAL) AND GRAFT INSERTION, WITH OR WITHOUT PATCH GRAFT; FOR ANEURYSMAND ASSOCIATED OCCLUSIVE DISEASE, AXILLARY-BRACHIAL ARTERY, BY"/>
    <s v="DIRECT REPAIR OF ANEURYSM, PSEUDOANEURYSM, OR EXCISION (PARTIAL ORTOTAL) AND GRAFT INSERTION, WITH OR WITHOUT PATCH GRAFT; FOR ANEURYSMAND ASSOCIATED OCCLUSIVE DISEASE, AXILLARY-BRACHIAL ARTERY, BY - Left"/>
    <s v="Sat"/>
    <m/>
    <m/>
    <m/>
    <s v="FERNANDEZ, NATHANIAL_x000a_DIEFFENBACH, BRYAN VINSON_x000a_KUHN, KEVIN MATTHEW_x000a_SIMPSON, AMELIA JEAN"/>
    <s v="Panel 1: Dr. Fernandez, Nathanial, MD / Dieffenbach, Bryan Vinson, MD_x000a_Panel 2: Dr. Kuhn, Kevin Matthew, MD_x000a_Panel 3: Dr. Simpson, Amelia Jean, MD"/>
    <s v="Nathanial Fernandez, MD_x000a_Kevin Matthew Kuhn, MD_x000a_Amelia Jean Simpson, MD"/>
    <m/>
    <s v="Fernandez, Kuhn, Simpson"/>
  </r>
  <r>
    <d v="2026-08-08T00:00:00"/>
    <s v="6636333"/>
    <s v="Martinez Romero, Leisvith Alexander"/>
    <s v="Inpatient"/>
    <x v="0"/>
    <n v="3901449183"/>
    <s v="811485499"/>
    <d v="1995-07-28T00:00:00"/>
    <s v="Nwabueze, Onyemaechi, MD"/>
    <s v="Regional"/>
    <s v="2"/>
    <d v="1899-12-30T16:48:00"/>
    <d v="1899-12-30T19:26:00"/>
    <n v="158"/>
    <d v="1899-12-30T15:35:00"/>
    <d v="1899-12-30T18:25:00"/>
    <n v="200"/>
    <d v="1899-12-30T16:48:00"/>
    <d v="1899-12-30T19:21:00"/>
    <n v="153"/>
    <d v="1899-12-30T17:14:00"/>
    <d v="1899-12-30T19:16:00"/>
    <d v="1899-12-30T19:21:00"/>
    <n v="153"/>
    <n v="122"/>
    <d v="1899-12-30T19:22:18"/>
    <d v="1899-12-30T20:22:00"/>
    <n v="60"/>
    <m/>
    <m/>
    <m/>
    <s v="SHME OR 09"/>
    <s v="Orthopedics"/>
    <s v="No"/>
    <s v="Kuhn, Kevin Matthew, Md"/>
    <s v="OPEN TREATMENT OF FRACTURE OF WEIGHT BEARING ARTICULAR SURFACE/PORTIONOF DISTAL TIBIA (EG, PILON OR TIBIAL PLAFOND), WITH INTERNAL FIXATION,WHEN PERFORMED; OF BOTH TIBIA AND FIBULA"/>
    <s v="OPEN TREATMENT OF FRACTURE OF WEIGHT BEARING ARTICULAR SURFACE/PORTIONOF DISTAL TIBIA (EG, PILON OR TIBIAL PLAFOND), WITH INTERNAL FIXATION,WHEN PERFORMED; OF BOTH TIBIA AND FIBULA - Right"/>
    <s v="Sat"/>
    <m/>
    <m/>
    <m/>
    <s v="KUHN, KEVIN MATTHEW"/>
    <m/>
    <s v="Kevin Matthew Kuhn, MD"/>
    <m/>
    <s v="Kuhn"/>
  </r>
  <r>
    <d v="2026-08-08T00:00:00"/>
    <s v="6636409"/>
    <s v="Rising, Annelise S"/>
    <s v="Outpatient"/>
    <x v="1"/>
    <n v="3901449286"/>
    <s v="811485551"/>
    <d v="2005-03-23T00:00:00"/>
    <s v="Ngo, Donald Hanh, MD"/>
    <s v="General"/>
    <s v="1"/>
    <d v="1899-12-30T17:03:00"/>
    <d v="1899-12-30T17:44:00"/>
    <n v="41"/>
    <d v="1899-12-30T17:00:00"/>
    <d v="1899-12-30T18:10:00"/>
    <n v="100"/>
    <d v="1899-12-30T17:03:00"/>
    <d v="1899-12-30T17:40:00"/>
    <n v="37"/>
    <d v="1899-12-30T17:18:00"/>
    <d v="1899-12-30T17:37:00"/>
    <d v="1899-12-30T17:40:00"/>
    <n v="37"/>
    <n v="19"/>
    <d v="1899-12-30T17:43:43"/>
    <d v="1899-12-30T18:08:19"/>
    <n v="25"/>
    <m/>
    <m/>
    <m/>
    <s v="SHME OR 06"/>
    <s v="Orthopedics"/>
    <s v="No"/>
    <s v="Kopp, Franz John, Md"/>
    <s v="OPEN TREATMENT OF INTERPHALANGEAL JOINT DISLOCATION, INCLUDES INTERNALFIXATION, WHEN PERFORMED, SINGLE"/>
    <s v="OPEN TREATMENT OF INTERPHALANGEAL JOINT DISLOCATION, INCLUDES INTERNALFIXATION, WHEN PERFORMED, SINGLE - Left"/>
    <s v="Sat"/>
    <m/>
    <m/>
    <m/>
    <s v="KOPP, FRANZ JOHN"/>
    <m/>
    <s v="Franz John Kopp, MD"/>
    <m/>
    <s v="Kopp"/>
  </r>
  <r>
    <d v="2026-08-08T00:00:00"/>
    <s v="6636700"/>
    <s v="Fisher, Douglas J"/>
    <s v="Inpatient"/>
    <x v="0"/>
    <n v="3901449346"/>
    <s v="810135042"/>
    <d v="1969-04-27T00:00:00"/>
    <s v="Nwabueze, Onyemaechi, MD"/>
    <s v="Regional"/>
    <s v="2"/>
    <d v="1899-12-30T20:00:00"/>
    <d v="1899-12-30T22:05:00"/>
    <n v="125"/>
    <d v="1899-12-30T20:00:00"/>
    <d v="1899-12-30T21:40:00"/>
    <n v="130"/>
    <d v="1899-12-30T20:00:00"/>
    <d v="1899-12-30T22:00:00"/>
    <n v="120"/>
    <d v="1899-12-30T20:31:00"/>
    <d v="1899-12-30T21:52:00"/>
    <d v="1899-12-30T22:00:00"/>
    <n v="120"/>
    <n v="81"/>
    <d v="1899-12-30T22:02:00"/>
    <d v="1899-12-30T22:25:14"/>
    <n v="23"/>
    <m/>
    <m/>
    <m/>
    <s v="SHME OR 06"/>
    <s v="Orthopedics"/>
    <s v="No"/>
    <s v="Kopp, Franz John, Md"/>
    <s v="OPEN TREATMENT OF METACARPAL FRACTURE, SINGLE, INCLUDES INTERNALFIXATION, WHEN PERFORMED, EACH BONE"/>
    <s v="OPEN TREATMENT OF METACARPAL FRACTURE, SINGLE, INCLUDES INTERNALFIXATION, WHEN PERFORMED, EACH BONE - Left"/>
    <s v="Sat"/>
    <m/>
    <m/>
    <m/>
    <s v="KOPP, FRANZ JOHN"/>
    <m/>
    <s v="Franz John Kopp, MD"/>
    <m/>
    <s v="Kopp"/>
  </r>
  <r>
    <d v="2026-08-09T00:00:00"/>
    <s v="6636404"/>
    <s v="Villagrana, Dolores"/>
    <s v="Inpatient"/>
    <x v="0"/>
    <n v="3901447710"/>
    <s v="811484593"/>
    <d v="1944-02-14T00:00:00"/>
    <s v="Ngo, Donald Hanh, MD"/>
    <s v="General"/>
    <s v="4"/>
    <d v="1899-12-30T10:26:00"/>
    <d v="1899-12-30T12:35:00"/>
    <n v="129"/>
    <d v="1899-12-30T10:30:00"/>
    <d v="1899-12-30T12:05:00"/>
    <n v="125"/>
    <d v="1899-12-30T10:33:00"/>
    <d v="1899-12-30T12:29:00"/>
    <n v="116"/>
    <d v="1899-12-30T10:57:00"/>
    <d v="1899-12-30T12:23:00"/>
    <d v="1899-12-30T12:29:00"/>
    <n v="116"/>
    <n v="86"/>
    <m/>
    <m/>
    <m/>
    <m/>
    <m/>
    <m/>
    <s v="SHME OR 06"/>
    <s v="General"/>
    <s v="Not on file"/>
    <s v="Peck, Kimberly Ann, Md"/>
    <s v="REOPENING OF RECENT LAPAROTOMY"/>
    <s v="REOPENING OF RECENT LAPAROTOMY - N/A"/>
    <s v="Sun"/>
    <m/>
    <m/>
    <m/>
    <s v="PECK, KIMBERLY ANN"/>
    <m/>
    <s v="Kimberly Ann Peck, MD"/>
    <m/>
    <s v="Peck"/>
  </r>
  <r>
    <d v="2026-08-09T00:00:00"/>
    <s v="6636854"/>
    <s v="Schilling, Shawn H"/>
    <s v="Inpatient"/>
    <x v="0"/>
    <n v="3901449154"/>
    <s v="100850617"/>
    <d v="1974-08-10T00:00:00"/>
    <s v="Ngo, Donald Hanh, MD"/>
    <s v="General"/>
    <s v="3"/>
    <d v="1899-12-30T07:25:00"/>
    <d v="1899-12-30T08:38:00"/>
    <n v="73"/>
    <d v="1899-12-30T07:30:00"/>
    <d v="1899-12-30T08:45:00"/>
    <n v="105"/>
    <d v="1899-12-30T07:25:00"/>
    <d v="1899-12-30T08:32:00"/>
    <n v="67"/>
    <d v="1899-12-30T07:52:00"/>
    <d v="1899-12-30T08:26:00"/>
    <d v="1899-12-30T08:32:00"/>
    <n v="67"/>
    <n v="34"/>
    <d v="1899-12-30T08:35:00"/>
    <d v="1899-12-30T09:24:00"/>
    <n v="49"/>
    <m/>
    <m/>
    <m/>
    <s v="SHME OR 05"/>
    <s v="Orthopedics"/>
    <s v="No"/>
    <s v="Kuhn, Kevin Matthew, Md"/>
    <s v="REMOVAL OF IMPLANT; DEEP (EG, BURIED WIRE, PIN, SCREW, METAL BAND, NAIL,ROD OR PLATE)_x000a_INCISION AND DRAINAGE, COMPLEX, POSTOPERATIVE WOUND INFECTION"/>
    <s v="REMOVAL OF IMPLANT; DEEP (EG, BURIED WIRE, PIN, SCREW, METAL BAND, NAIL,ROD OR PLATE) - Right"/>
    <s v="Sun"/>
    <m/>
    <m/>
    <m/>
    <s v="KUHN, KEVIN MATTHEW"/>
    <m/>
    <s v="Kevin Matthew Kuhn, MD"/>
    <m/>
    <s v="Kuhn"/>
  </r>
  <r>
    <d v="2026-08-09T00:00:00"/>
    <s v="6636956"/>
    <s v="Apan, James B"/>
    <s v="Inpatient"/>
    <x v="0"/>
    <n v="3400728379"/>
    <s v="811485459"/>
    <d v="1955-04-18T00:00:00"/>
    <s v="Ramos, Joshua Neftalie, MD"/>
    <s v="General"/>
    <s v="3"/>
    <d v="1899-12-30T07:30:00"/>
    <d v="1899-12-30T08:23:00"/>
    <n v="53"/>
    <d v="1899-12-30T07:30:00"/>
    <d v="1899-12-30T08:40:00"/>
    <n v="100"/>
    <d v="1899-12-30T07:30:00"/>
    <d v="1899-12-30T08:14:00"/>
    <n v="44"/>
    <d v="1899-12-30T07:56:00"/>
    <d v="1899-12-30T08:08:00"/>
    <d v="1899-12-30T08:14:00"/>
    <n v="44"/>
    <n v="12"/>
    <d v="1899-12-30T08:17:58"/>
    <d v="1899-12-30T09:01:28"/>
    <n v="44"/>
    <m/>
    <m/>
    <m/>
    <s v="SHME OR 02"/>
    <s v="Urology"/>
    <s v="No"/>
    <s v="Salem, Carol Elizabeth, Md"/>
    <s v="CYSTOURETHROSCOPY, WITH FULGURATION (INCLUDING CRYOSURGERY OR LASERSURGERY) AND/OR RESECTION OF; LARGE BLADDER TUMOR(S)"/>
    <s v="CYSTOURETHROSCOPY, WITH FULGURATION (INCLUDING CRYOSURGERY OR LASERSURGERY) AND/OR RESECTION OF; LARGE BLADDER TUMOR(S) - N/A"/>
    <s v="Sun"/>
    <m/>
    <m/>
    <m/>
    <s v="SALEM, CAROL ELIZABETH"/>
    <m/>
    <s v="Carol Elizabeth Salem, MD"/>
    <m/>
    <s v="Salem"/>
  </r>
  <r>
    <d v="2026-08-09T00:00:00"/>
    <s v="6637078"/>
    <s v="Navidad, Teodora"/>
    <s v="Inpatient"/>
    <x v="0"/>
    <n v="3901448045"/>
    <s v="811484820"/>
    <d v="1967-12-06T00:00:00"/>
    <s v="Nwabueze, Onyemaechi, MD"/>
    <s v="General"/>
    <s v="3"/>
    <d v="1899-12-30T04:29:00"/>
    <d v="1899-12-30T06:38:00"/>
    <n v="129"/>
    <d v="1899-12-30T04:00:00"/>
    <d v="1899-12-30T06:05:00"/>
    <n v="155"/>
    <d v="1899-12-30T04:29:00"/>
    <d v="1899-12-30T06:30:00"/>
    <n v="121"/>
    <d v="1899-12-30T04:47:00"/>
    <d v="1899-12-30T06:22:00"/>
    <d v="1899-12-30T06:30:00"/>
    <n v="121"/>
    <n v="95"/>
    <m/>
    <m/>
    <m/>
    <m/>
    <m/>
    <m/>
    <s v="SHME OR 01"/>
    <s v="General"/>
    <s v="Yes"/>
    <s v="Peck, Kimberly Ann, Md"/>
    <s v="EXPLORATORY LAPAROTOMY, EXPLORATORY CELIOTOMY WITH OR WITHOUT BIOPSY(S)(SEPARATE PROCEDURE)"/>
    <s v="EXPLORATORY LAPAROTOMY, EXPLORATORY CELIOTOMY WITH OR WITHOUT BIOPSY(S)(SEPARATE PROCEDURE) - N/A"/>
    <s v="Sun"/>
    <m/>
    <s v="ED/IP/IC"/>
    <m/>
    <s v="PECK, KIMBERLY ANN_x000a_SIMPSON, AMELIA JEAN"/>
    <s v="Panel 1: Dr. Peck, Kimberly Ann, MD / Simpson, Amelia Jean, MD"/>
    <s v="Kimberly Ann Peck, MD"/>
    <m/>
    <s v="Peck"/>
  </r>
  <r>
    <d v="2026-08-09T00:00:00"/>
    <s v="6637163"/>
    <s v="Saez Tapia, Gabriela"/>
    <s v="Inpatient"/>
    <x v="0"/>
    <n v="3901449415"/>
    <s v="811485680"/>
    <d v="1980-12-27T00:00:00"/>
    <s v="Ngo, Donald Hanh, MD"/>
    <s v="General"/>
    <s v="2"/>
    <d v="1899-12-30T08:45:00"/>
    <d v="1899-12-30T10:07:00"/>
    <n v="82"/>
    <d v="1899-12-30T09:20:00"/>
    <d v="1899-12-30T10:40:00"/>
    <n v="110"/>
    <d v="1899-12-30T08:45:00"/>
    <d v="1899-12-30T09:58:00"/>
    <n v="73"/>
    <d v="1899-12-30T09:13:00"/>
    <d v="1899-12-30T09:52:00"/>
    <d v="1899-12-30T09:58:00"/>
    <n v="73"/>
    <n v="39"/>
    <d v="1899-12-30T10:00:57"/>
    <d v="1899-12-30T10:44:19"/>
    <n v="44"/>
    <m/>
    <m/>
    <m/>
    <s v="SHME OR 03"/>
    <s v="General"/>
    <s v="No"/>
    <s v="Peck, Kimberly Ann, Md"/>
    <s v="LAPAROSCOPY, SURGICAL, APPENDECTOMY"/>
    <s v="LAPAROSCOPY, SURGICAL, APPENDECTOMY - N/A"/>
    <s v="Sun"/>
    <m/>
    <m/>
    <m/>
    <s v="PECK, KIMBERLY ANN"/>
    <m/>
    <s v="Kimberly Ann Peck, MD"/>
    <m/>
    <s v="Peck"/>
  </r>
  <r>
    <d v="2026-08-09T00:00:00"/>
    <s v="6637434"/>
    <s v="Cruz, Laura S"/>
    <s v="Outpatient"/>
    <x v="1"/>
    <n v="3901449526"/>
    <s v="400426817"/>
    <d v="1966-02-09T00:00:00"/>
    <s v="Ngo, Donald Hanh, MD"/>
    <s v="General"/>
    <s v="2"/>
    <d v="1899-12-30T13:18:00"/>
    <d v="1899-12-30T13:58:00"/>
    <n v="40"/>
    <d v="1899-12-30T13:00:00"/>
    <d v="1899-12-30T13:50:00"/>
    <n v="80"/>
    <d v="1899-12-30T13:18:00"/>
    <d v="1899-12-30T13:53:00"/>
    <n v="35"/>
    <d v="1899-12-30T13:41:00"/>
    <d v="1899-12-30T13:49:00"/>
    <d v="1899-12-30T13:53:00"/>
    <n v="35"/>
    <n v="8"/>
    <d v="1899-12-30T13:54:42"/>
    <d v="1899-12-30T15:14:00"/>
    <n v="80"/>
    <m/>
    <m/>
    <m/>
    <s v="SHME OR 03"/>
    <s v="Urology"/>
    <s v="No"/>
    <s v="Salem, Carol Elizabeth, Md"/>
    <s v="CYSTOURETHROSCOPY, WITH INSERTION OF INDWELLING URETERAL STENT (EG,GIBBONS OR DOUBLE-J TYPE)"/>
    <s v="CYSTOURETHROSCOPY, WITH INSERTION OF INDWELLING URETERAL STENT (EG,GIBBONS OR DOUBLE-J TYPE) - Left"/>
    <s v="Sun"/>
    <m/>
    <m/>
    <m/>
    <s v="SALEM, CAROL ELIZABETH"/>
    <m/>
    <s v="Carol Elizabeth Salem, MD"/>
    <m/>
    <s v="Salem"/>
  </r>
  <r>
    <d v="2026-08-09T00:00:00"/>
    <s v="6637731"/>
    <s v="Favela, Laureano"/>
    <s v="Inpatient"/>
    <x v="0"/>
    <n v="3901449565"/>
    <s v="700523932"/>
    <d v="1974-06-07T00:00:00"/>
    <s v="Ngo, Donald Hanh, MD"/>
    <s v="General"/>
    <s v="3"/>
    <d v="1899-12-30T16:21:00"/>
    <d v="1899-12-30T19:06:00"/>
    <n v="165"/>
    <d v="1899-12-30T16:00:00"/>
    <d v="1899-12-30T17:55:00"/>
    <n v="145"/>
    <d v="1899-12-30T16:21:00"/>
    <d v="1899-12-30T19:01:00"/>
    <n v="160"/>
    <d v="1899-12-30T16:45:00"/>
    <d v="1899-12-30T18:56:00"/>
    <d v="1899-12-30T19:01:00"/>
    <n v="160"/>
    <n v="131"/>
    <d v="1899-12-30T19:03:00"/>
    <d v="1899-12-30T20:07:49"/>
    <n v="64"/>
    <m/>
    <m/>
    <m/>
    <s v="SHME OR 05"/>
    <s v="Vascular"/>
    <s v="No"/>
    <s v="Fernandez, Nathanial, Md"/>
    <s v="EMBOLECTOMY OR THROMBECTOMY, WITH OR WITHOUT CATHETER; RADIAL OR ULNARARTERY, BY ARM INCISION"/>
    <s v="EMBOLECTOMY OR THROMBECTOMY, WITH OR WITHOUT CATHETER; RADIAL OR ULNARARTERY, BY ARM INCISION - Right"/>
    <s v="Sun"/>
    <m/>
    <m/>
    <m/>
    <s v="FERNANDEZ, NATHANIAL"/>
    <m/>
    <s v="Nathanial Fernandez, MD"/>
    <m/>
    <s v="Fernandez"/>
  </r>
  <r>
    <d v="2026-08-09T00:00:00"/>
    <s v="6638257"/>
    <s v="Wise, Richard M"/>
    <s v="Inpatient"/>
    <x v="0"/>
    <n v="3901449631"/>
    <s v="700054736"/>
    <d v="1950-11-13T00:00:00"/>
    <s v="Julian, Jeric Israel Burguillos, DO"/>
    <s v="General"/>
    <s v="4"/>
    <d v="1899-12-30T23:20:00"/>
    <d v="1899-12-30T23:56:00"/>
    <n v="36"/>
    <d v="1899-12-30T23:10:00"/>
    <d v="1899-12-30T00:00:00"/>
    <n v="80"/>
    <d v="1899-12-30T23:20:00"/>
    <d v="1899-12-30T23:48:00"/>
    <n v="28"/>
    <d v="1899-12-30T23:35:00"/>
    <d v="1899-12-30T23:43:00"/>
    <d v="1899-12-30T23:48:00"/>
    <n v="28"/>
    <n v="8"/>
    <d v="1899-12-30T23:49:26"/>
    <d v="1899-12-30T00:39:24"/>
    <n v="50"/>
    <m/>
    <m/>
    <m/>
    <s v="SHME OR 02"/>
    <s v="Urology"/>
    <s v="Yes"/>
    <s v="Salem, Carol Elizabeth, Md"/>
    <s v="CYSTOURETHROSCOPY (SEPARATE PROCEDURE)"/>
    <s v="CYSTOURETHROSCOPY (SEPARATE PROCEDURE) - N/A"/>
    <s v="Sun"/>
    <m/>
    <m/>
    <m/>
    <s v="SALEM, CAROL ELIZABETH"/>
    <m/>
    <s v="Carol Elizabeth Salem, MD"/>
    <m/>
    <s v="Salem"/>
  </r>
  <r>
    <d v="2026-08-10T00:00:00"/>
    <s v="6514131"/>
    <s v="Bazley, Mary J"/>
    <s v="Inpatient"/>
    <x v="0"/>
    <n v="3901426326"/>
    <s v="605789753"/>
    <d v="1951-08-24T00:00:00"/>
    <s v="Stradleigh, Ryan Kellian, DO"/>
    <s v="General"/>
    <s v="3"/>
    <d v="1899-12-30T14:59:00"/>
    <d v="1899-12-30T17:25:00"/>
    <n v="146"/>
    <d v="1899-12-30T14:15:00"/>
    <d v="1899-12-30T16:30:00"/>
    <n v="135"/>
    <d v="1899-12-30T14:59:00"/>
    <d v="1899-12-30T17:20:00"/>
    <n v="141"/>
    <d v="1899-12-30T15:34:00"/>
    <d v="1899-12-30T17:15:00"/>
    <d v="1899-12-30T17:20:00"/>
    <n v="141"/>
    <n v="101"/>
    <d v="1899-12-30T17:23:00"/>
    <d v="1899-12-30T18:34:00"/>
    <n v="71"/>
    <m/>
    <m/>
    <m/>
    <s v="SHME OR 06"/>
    <s v="Orthopedics"/>
    <s v="No"/>
    <s v="Fabi, David William, Md"/>
    <s v="REVISION OF TOTAL KNEE ARTHROPLASTY, WITH OR WITHOUT ALLOGRAFT; FEMORALAND ENTIRE TIBIAL COMPONENT"/>
    <s v="REVISION OF TOTAL LEFT KNEE ARTHROPLASTY - Left"/>
    <s v="Mon"/>
    <m/>
    <m/>
    <m/>
    <s v="FABI, DAVID WILLIAM"/>
    <m/>
    <s v="David William Fabi, MD"/>
    <m/>
    <s v="Fabi"/>
  </r>
  <r>
    <d v="2026-08-10T00:00:00"/>
    <s v="6548854"/>
    <s v="Chen, Fangying"/>
    <s v="Outpatient"/>
    <x v="1"/>
    <n v="3901432406"/>
    <s v="811243722"/>
    <d v="1987-11-03T00:00:00"/>
    <s v="Rayan, Hany A, MD"/>
    <s v="General"/>
    <s v="2"/>
    <d v="1899-12-30T12:15:00"/>
    <d v="1899-12-30T13:00:00"/>
    <n v="45"/>
    <d v="1899-12-30T12:15:00"/>
    <d v="1899-12-30T13:00:00"/>
    <n v="45"/>
    <d v="1899-12-30T12:15:00"/>
    <d v="1899-12-30T12:56:00"/>
    <n v="41"/>
    <d v="1899-12-30T12:30:00"/>
    <d v="1899-12-30T12:47:00"/>
    <d v="1899-12-30T12:56:00"/>
    <n v="41"/>
    <n v="17"/>
    <d v="1899-12-30T12:58:08"/>
    <d v="1899-12-30T14:00:00"/>
    <n v="62"/>
    <d v="1899-12-30T14:01:00"/>
    <d v="1899-12-30T14:10:00"/>
    <n v="9"/>
    <s v="SHME OR 14"/>
    <s v="Obstetrics"/>
    <s v="No"/>
    <s v="Cardenas, Michael Edward, Md"/>
    <s v="HYSTEROSCOPY, SURGICAL; WITH SAMPLING (BIOPSY) OF ENDOMETRIUM AND/ORPOLYPECTOMY, WITH OR WITHOUT D &amp; C"/>
    <s v="HYSTEROSCOPIC POLYPECTOMY - N/A"/>
    <s v="Mon"/>
    <m/>
    <m/>
    <m/>
    <s v="CARDENAS, MICHAEL EDWARD"/>
    <m/>
    <s v="Michael Edward Cardenas, MD"/>
    <m/>
    <s v="Cardenas"/>
  </r>
  <r>
    <d v="2026-08-10T00:00:00"/>
    <s v="6559280"/>
    <s v="Alexander, Marsha A"/>
    <s v="Inpatient"/>
    <x v="0"/>
    <n v="3901434086"/>
    <s v="700365886"/>
    <d v="1943-05-30T00:00:00"/>
    <s v="Stradleigh, Ryan Kellian, DO"/>
    <s v="General"/>
    <s v="2"/>
    <d v="1899-12-30T10:00:00"/>
    <d v="1899-12-30T12:27:00"/>
    <n v="147"/>
    <d v="1899-12-30T10:00:00"/>
    <d v="1899-12-30T12:15:00"/>
    <n v="135"/>
    <d v="1899-12-30T10:00:00"/>
    <d v="1899-12-30T12:22:00"/>
    <n v="142"/>
    <d v="1899-12-30T10:30:00"/>
    <d v="1899-12-30T12:17:00"/>
    <d v="1899-12-30T12:22:00"/>
    <n v="142"/>
    <n v="107"/>
    <d v="1899-12-30T12:23:53"/>
    <d v="1899-12-30T13:29:01"/>
    <n v="66"/>
    <m/>
    <m/>
    <m/>
    <s v="SHME OR 06"/>
    <s v="Orthopedics"/>
    <s v="No"/>
    <s v="Fabi, David William, Md"/>
    <s v="ARTHROPLASTY, ACETABULAR AND PROXIMAL FEMORAL PROSTHETIC REPLACEMENT(TOTAL HIP ARTHROPLASTY), WITH OR WITHOUT AUTOGRAFT OR ALLOGRAFT"/>
    <s v="RIGHT ANTERIOR TOTAL HIP ARTHROPLASTY - Right"/>
    <s v="Mon"/>
    <m/>
    <m/>
    <m/>
    <s v="FABI, DAVID WILLIAM"/>
    <m/>
    <s v="David William Fabi, MD"/>
    <m/>
    <s v="Fabi"/>
  </r>
  <r>
    <d v="2026-08-10T00:00:00"/>
    <s v="6594992"/>
    <s v="Martinez, Carlos I"/>
    <s v="Outpatient"/>
    <x v="1"/>
    <n v="3901441349"/>
    <s v="811475042"/>
    <d v="1985-05-27T00:00:00"/>
    <s v="Chitlur, Abhijith Harish, MD"/>
    <s v="General"/>
    <s v="1"/>
    <d v="1899-12-30T07:56:00"/>
    <d v="1899-12-30T09:31:00"/>
    <n v="95"/>
    <d v="1899-12-30T08:00:00"/>
    <d v="1899-12-30T09:30:00"/>
    <n v="90"/>
    <d v="1899-12-30T07:56:00"/>
    <d v="1899-12-30T09:22:00"/>
    <n v="86"/>
    <d v="1899-12-30T08:27:00"/>
    <d v="1899-12-30T09:13:00"/>
    <d v="1899-12-30T09:22:00"/>
    <n v="86"/>
    <n v="46"/>
    <d v="1899-12-30T09:24:03"/>
    <d v="1899-12-30T10:16:00"/>
    <n v="52"/>
    <d v="1899-12-30T10:17:00"/>
    <d v="1899-12-30T11:07:00"/>
    <n v="50"/>
    <s v="SHME OR 04"/>
    <s v="Orthopedics"/>
    <s v="No"/>
    <s v="Abitbol, Jean-Jacques, Md"/>
    <s v="SPINAL OR LATERAL RECESS STENOSIS]), SINGLE VERTEBRAL S_x000a_LAMINECTOMY, FACETECTOMY AND FORAMINOTOMY (UNILATERAL OR BILATERAL WITH DECOMPRESSION OF SPINAL CORD, CAUDA EQUINA AND/OR NERVE ROOT(S), EG, SPINAL OR LATERAL RECESS STENOSIS), SINGLE VERTEBRAL SEGMEN_x000a_RADIOLOGIC EXAMINATION, SPINE, LUMBOSACRAL; MINIMUM OF 4 VIEWS_x000a_CONTINUOUS INTRAOPERATIVE NEUROPHYSIOLOGY MONITORING IN THE OPERATINGROOM, ONE ON ONE MONITORING REQUIRING PERSONAL ATTENDANCE, EACH 15MINUTES (LIST SEPARATELY IN ADDITION TO CODE FOR PRIMARY PROCED_x000a_CTR MOTR EP STD TRANSCRNL MOTR STIM UPR&amp;LOW LIMB_x000a_NEEDLE ELECTROMYOGRAPHY, EACH EXTREMITY, WITH RELATED PARASPINAL AREAS,WHEN PERFORMED, DONE WITH NERVE CONDUCTION, AMPLITUDE ANDLATENCY/VELOCITY STUDY; LIMITED (LIST SEPARATELY IN ADDITION TO CODEF_x000a_SHORT-LATENCY SOMATOSENSORY EVOKED POTENTIAL STUDY, STIMULATION OFANY/ALL PERIPHERAL NERVES OR SKIN SITES, RECORDING FROM THE CENTRALNERVOUS SYSTEM; IN UPPER AND LOWER LIMBS"/>
    <s v="LUMBAR  DECOMPRESSION AND MICRODISCECTOMY LUMBAR 5 TO SACRUM 1 - Bilateral"/>
    <s v="Mon"/>
    <m/>
    <m/>
    <m/>
    <s v="ABITBOL, JEAN-JACQUES"/>
    <m/>
    <s v="Jean-Jacques Abitbol, MD"/>
    <m/>
    <s v="Abitbol"/>
  </r>
  <r>
    <d v="2026-08-10T00:00:00"/>
    <s v="6383740"/>
    <s v="Garcia Moffett, Gloria"/>
    <s v="Outpatient"/>
    <x v="1"/>
    <n v="3901401151"/>
    <s v="700191305"/>
    <d v="1967-09-23T00:00:00"/>
    <s v="Rayan, Hany A, MD"/>
    <s v="General"/>
    <s v="2"/>
    <d v="1899-12-30T09:24:00"/>
    <d v="1899-12-30T10:26:00"/>
    <n v="62"/>
    <d v="1899-12-30T09:30:00"/>
    <d v="1899-12-30T10:30:00"/>
    <n v="60"/>
    <d v="1899-12-30T09:24:00"/>
    <d v="1899-12-30T10:22:00"/>
    <n v="58"/>
    <d v="1899-12-30T09:44:00"/>
    <d v="1899-12-30T10:10:00"/>
    <d v="1899-12-30T10:22:00"/>
    <n v="58"/>
    <n v="26"/>
    <d v="1899-12-30T10:25:59"/>
    <d v="1899-12-30T10:58:41"/>
    <n v="33"/>
    <d v="1899-12-30T10:58:42"/>
    <d v="1899-12-30T12:15:05"/>
    <n v="77"/>
    <s v="SHME OR 14"/>
    <s v="Gynecology"/>
    <s v="No"/>
    <s v="Gonzalez, Marisa Camille, Md"/>
    <s v="HYSTEROSCOPY, SURGICAL; WITH SAMPLING (BIOPSY) OF ENDOMETRIUM AND/ORPOLYPECTOMY, WITH OR WITHOUT D &amp; C"/>
    <s v="DIAGNOSTIC HYSTEROSCOPY DILATION AND CURETTAGE POSSIBLE ENDOMETRIAL BIOPSY - N/A"/>
    <s v="Mon"/>
    <m/>
    <m/>
    <m/>
    <s v="GONZALEZ, MARISA CAMILLE"/>
    <m/>
    <s v="Marisa Camille Gonzalez, MD"/>
    <m/>
    <s v="Gonzalez"/>
  </r>
  <r>
    <d v="2026-08-10T00:00:00"/>
    <s v="6595557"/>
    <s v="English, Ricky R"/>
    <s v="Inpatient"/>
    <x v="0"/>
    <n v="3901441477"/>
    <s v="700459152"/>
    <d v="1960-02-28T00:00:00"/>
    <s v="Yehushua, Liora, MD"/>
    <s v="Regional"/>
    <s v="4"/>
    <d v="1899-12-30T08:03:00"/>
    <d v="1899-12-30T14:31:00"/>
    <n v="388"/>
    <d v="1899-12-30T08:00:00"/>
    <d v="1899-12-30T13:00:00"/>
    <n v="300"/>
    <d v="1899-12-30T08:03:00"/>
    <d v="1899-12-30T14:23:00"/>
    <n v="380"/>
    <d v="1899-12-30T08:52:00"/>
    <d v="1899-12-30T13:58:00"/>
    <d v="1899-12-30T14:23:00"/>
    <n v="380"/>
    <n v="306"/>
    <d v="1899-12-30T14:23:42"/>
    <d v="1899-12-30T15:37:58"/>
    <n v="74"/>
    <m/>
    <m/>
    <m/>
    <s v="SHME OR 10"/>
    <s v="Urology"/>
    <s v="No"/>
    <s v="Salem, Carol Elizabeth, Md"/>
    <s v="LAPAROSCOPY, SURGICAL PROSTATECTOMY, RETROPUBIC RADICAL, INCLUDING NERVESPARING, INCLUDES ROBOTIC ASSISTANCE, WHEN PERFORMED_x000a_NEPHRECTOMY WITH TOTAL URETERECTOMY AND BLADDER CUFF; THROUGH SEPARATEINCISION"/>
    <s v="ROBOTIC RADICAL PROSTATECTOMY, LEFT URETERECTOMY, OPEN LEFT NEPHRECTOMY - Left"/>
    <s v="Mon"/>
    <m/>
    <m/>
    <m/>
    <s v="SALEM, CAROL ELIZABETH"/>
    <m/>
    <s v="Carol Elizabeth Salem, MD"/>
    <m/>
    <s v="Salem"/>
  </r>
  <r>
    <d v="2026-08-10T00:00:00"/>
    <s v="6601806"/>
    <s v="Widmann, Pamela J"/>
    <s v="Outpatient"/>
    <x v="1"/>
    <n v="3901442512"/>
    <s v="701719884"/>
    <d v="1958-11-19T00:00:00"/>
    <s v="Stradleigh, Ryan Kellian, DO"/>
    <s v="General"/>
    <s v="2"/>
    <d v="1899-12-30T08:11:00"/>
    <d v="1899-12-30T08:34:00"/>
    <n v="23"/>
    <d v="1899-12-30T08:00:00"/>
    <d v="1899-12-30T08:15:00"/>
    <n v="15"/>
    <d v="1899-12-30T08:11:00"/>
    <d v="1899-12-30T08:29:00"/>
    <n v="18"/>
    <d v="1899-12-30T08:20:00"/>
    <d v="1899-12-30T08:24:00"/>
    <d v="1899-12-30T08:29:00"/>
    <n v="18"/>
    <n v="4"/>
    <d v="1899-12-30T08:34:33"/>
    <d v="1899-12-30T09:45:00"/>
    <n v="71"/>
    <d v="1899-12-30T09:46:00"/>
    <d v="1899-12-30T10:50:00"/>
    <n v="64"/>
    <s v="SHME OR 06"/>
    <s v="Orthopedics"/>
    <s v="No"/>
    <s v="Fabi, David William, Md"/>
    <s v="MANIPULATION OF KNEE JOINT UNDER GENERAL ANESTHESIA (INCLUDESAPPLICATION OF TRACTION OR OTHER FIXATION DEVICES)"/>
    <s v="MANIPULATION OF LEFT KNEE UNDER GENERAL ANESTHESIA - Left"/>
    <s v="Mon"/>
    <m/>
    <m/>
    <m/>
    <s v="FABI, DAVID WILLIAM"/>
    <m/>
    <s v="David William Fabi, MD"/>
    <m/>
    <s v="Fabi"/>
  </r>
  <r>
    <d v="2026-08-10T00:00:00"/>
    <s v="6601841"/>
    <s v="Medrano, Marco A"/>
    <s v="Outpatient"/>
    <x v="1"/>
    <n v="3901442535"/>
    <s v="701777366"/>
    <d v="1983-09-08T00:00:00"/>
    <s v="Stradleigh, Ryan Kellian, DO"/>
    <s v="General"/>
    <s v="2"/>
    <d v="1899-12-30T08:40:00"/>
    <d v="1899-12-30T09:44:00"/>
    <n v="64"/>
    <d v="1899-12-30T08:45:00"/>
    <d v="1899-12-30T09:45:00"/>
    <n v="60"/>
    <d v="1899-12-30T08:40:00"/>
    <d v="1899-12-30T09:39:00"/>
    <n v="59"/>
    <d v="1899-12-30T09:02:00"/>
    <d v="1899-12-30T09:34:00"/>
    <d v="1899-12-30T09:39:00"/>
    <n v="59"/>
    <n v="32"/>
    <d v="1899-12-30T09:43:26"/>
    <d v="1899-12-30T11:15:00"/>
    <n v="92"/>
    <d v="1899-12-30T11:16:00"/>
    <d v="1899-12-30T12:02:00"/>
    <n v="46"/>
    <s v="SHME OR 01"/>
    <s v="Orthopedics"/>
    <s v="No"/>
    <s v="Fabi, David William, Md"/>
    <s v="ARTHROSCOPY, KNEE, SURGICAL; WITH MENISCECTOMY (MEDIAL OR LATERAL,INCLUDING ANY MENISCAL SHAVING)"/>
    <s v="RIGHT KNEE PARTIAL MEDIAL MENISCECTOMY - Right"/>
    <s v="Mon"/>
    <m/>
    <m/>
    <m/>
    <s v="FABI, DAVID WILLIAM"/>
    <m/>
    <s v="David William Fabi, MD"/>
    <m/>
    <s v="Fabi"/>
  </r>
  <r>
    <d v="2026-08-10T00:00:00"/>
    <s v="6603063"/>
    <s v="Ibarra, Rose Ann"/>
    <s v="Inpatient"/>
    <x v="0"/>
    <n v="3901442492"/>
    <s v="811467875"/>
    <d v="1962-08-08T00:00:00"/>
    <s v="Kim, Eung Do, MD"/>
    <s v="General"/>
    <s v="3"/>
    <d v="1899-12-30T20:58:00"/>
    <d v="1899-12-30T22:01:00"/>
    <n v="63"/>
    <d v="1899-12-30T20:30:00"/>
    <d v="1899-12-30T21:30:00"/>
    <n v="60"/>
    <d v="1899-12-30T20:58:00"/>
    <d v="1899-12-30T21:55:00"/>
    <n v="57"/>
    <d v="1899-12-30T21:25:00"/>
    <d v="1899-12-30T21:50:00"/>
    <d v="1899-12-30T21:55:00"/>
    <n v="57"/>
    <n v="25"/>
    <d v="1899-12-30T21:59:34"/>
    <d v="1899-12-30T22:40:00"/>
    <n v="41"/>
    <m/>
    <m/>
    <m/>
    <s v="SHME OR 04"/>
    <s v="Urology"/>
    <s v="Yes"/>
    <s v="Salem, Carol Elizabeth, Md"/>
    <s v="CYSTOURETHROSCOPY, WITH URETEROSCOPY AND/OR PYELOSCOPY; WITHLITHOTRIPSY INCLUDING INSERTION OF INDWELLING URETERAL STENT (EG,GIBBONS OR DOUBLE-J TYPE)_x000a_CYSTOURETHROSCOPY, WITH REMOVAL OF FOREIGN BODY, CALCULUS, OR URETERALSTENT FROM URETHRA OR BLADDER (SEPARATE PROCEDURE); SIMPLE"/>
    <s v="CYSTOSCOPY, LEFT URETEROSCOPY WITH HOLMIUM LASER STONE ABLATION AND EXCHANGE OF LEFT URETERAL STENT - Left"/>
    <s v="Mon"/>
    <m/>
    <m/>
    <m/>
    <s v="SALEM, CAROL ELIZABETH"/>
    <m/>
    <s v="Carol Elizabeth Salem, MD"/>
    <m/>
    <s v="Salem"/>
  </r>
  <r>
    <d v="2026-08-10T00:00:00"/>
    <s v="6398919"/>
    <s v="Flores, Samanta E"/>
    <s v="Outpatient"/>
    <x v="1"/>
    <n v="3901404306"/>
    <s v="811146200"/>
    <d v="1992-04-01T00:00:00"/>
    <s v="Rayan, Hany A, MD"/>
    <s v="General"/>
    <s v="2"/>
    <d v="1899-12-30T10:57:00"/>
    <d v="1899-12-30T11:44:00"/>
    <n v="47"/>
    <d v="1899-12-30T11:00:00"/>
    <d v="1899-12-30T11:45:00"/>
    <n v="45"/>
    <d v="1899-12-30T10:57:00"/>
    <d v="1899-12-30T11:39:00"/>
    <n v="42"/>
    <d v="1899-12-30T11:17:00"/>
    <d v="1899-12-30T11:31:00"/>
    <d v="1899-12-30T11:39:00"/>
    <n v="42"/>
    <n v="14"/>
    <d v="1899-12-30T11:42:00"/>
    <d v="1899-12-30T12:44:00"/>
    <n v="62"/>
    <d v="1899-12-30T12:45:00"/>
    <d v="1899-12-30T13:00:00"/>
    <n v="15"/>
    <s v="SHME OR 14"/>
    <s v="Gynecology"/>
    <s v="No"/>
    <s v="Gonzalez, Marisa Camille, Md"/>
    <s v="HYSTEROSCOPY, SURGICAL; WITH REMOVAL OF IMPACTED FOREIGN BODY_x000a_INSERTION OF INTRAUTERINE DEVICE (IUD)"/>
    <s v="HYSTEROSCOPIC REMOVAL OF IUD, PLACEMENT OF MIRENA IUD (FOR TREATMENT OF ABNORMAL UTERINE BLEEDING AND DYSMENORRHEA) - N/A"/>
    <s v="Mon"/>
    <m/>
    <m/>
    <m/>
    <s v="GONZALEZ, MARISA CAMILLE"/>
    <m/>
    <s v="Marisa Camille Gonzalez, MD"/>
    <m/>
    <s v="Gonzalez"/>
  </r>
  <r>
    <d v="2026-08-10T00:00:00"/>
    <s v="6609672"/>
    <s v="Cisneros Barajas, Bruno"/>
    <s v="Inpatient"/>
    <x v="0"/>
    <n v="3901444000"/>
    <s v="810116592"/>
    <d v="1959-10-06T00:00:00"/>
    <s v="Stradleigh, Ryan Kellian, DO"/>
    <s v="General"/>
    <s v="3"/>
    <d v="1899-12-30T12:38:00"/>
    <d v="1899-12-30T14:37:00"/>
    <n v="119"/>
    <d v="1899-12-30T12:15:00"/>
    <d v="1899-12-30T14:15:00"/>
    <n v="120"/>
    <d v="1899-12-30T12:38:00"/>
    <d v="1899-12-30T14:32:00"/>
    <n v="114"/>
    <d v="1899-12-30T13:07:00"/>
    <d v="1899-12-30T14:24:00"/>
    <d v="1899-12-30T14:32:00"/>
    <n v="114"/>
    <n v="77"/>
    <d v="1899-12-30T14:33:34"/>
    <d v="1899-12-30T15:32:00"/>
    <n v="59"/>
    <m/>
    <m/>
    <m/>
    <s v="SHME OR 01"/>
    <s v="Orthopedics"/>
    <s v="Yes"/>
    <s v="Fabi, David William, Md"/>
    <s v="COMPUTER-ASSISTED SURGICAL NAVIGATIONAL PROCEDURE FOR MUSCULOSKELETALPROCEDURES, IMAGE-LESS (LIST SEPARATELY IN ADDITION TO CODE FOR PRIMARYPROCEDURE)_x000a_ARTHROPLASTY, KNEE, CONDYLE AND PLATEAU; MEDIAL AND LATERAL COMPARTMENTSWITH OR WITHOUT PATELLA RESURFACING (TOTAL KNEE ARTHROPLASTY)"/>
    <s v="ROBOTIC TOTAL RIGHT KNEE ARTHROPLASTY - Right"/>
    <s v="Mon"/>
    <m/>
    <m/>
    <m/>
    <s v="FABI, DAVID WILLIAM"/>
    <m/>
    <s v="David William Fabi, MD"/>
    <m/>
    <s v="Fabi"/>
  </r>
  <r>
    <d v="2026-08-10T00:00:00"/>
    <s v="6612851"/>
    <s v="Tamonte, Elia"/>
    <s v="Inpatient"/>
    <x v="0"/>
    <n v="3901446881"/>
    <s v="811480769"/>
    <d v="1964-04-14T00:00:00"/>
    <s v="Narla, Vinod Venkat, MD"/>
    <s v="General"/>
    <s v="2"/>
    <d v="1899-12-30T11:10:00"/>
    <d v="1899-12-30T12:43:00"/>
    <n v="93"/>
    <d v="1899-12-30T10:45:00"/>
    <d v="1899-12-30T12:30:00"/>
    <n v="105"/>
    <d v="1899-12-30T11:10:00"/>
    <d v="1899-12-30T12:36:00"/>
    <n v="86"/>
    <d v="1899-12-30T11:44:00"/>
    <d v="1899-12-30T12:28:00"/>
    <d v="1899-12-30T12:36:00"/>
    <n v="86"/>
    <n v="44"/>
    <d v="1899-12-30T12:41:16"/>
    <d v="1899-12-30T13:00:00"/>
    <n v="19"/>
    <m/>
    <m/>
    <m/>
    <s v="SHME OR 15"/>
    <s v="General"/>
    <s v="Yes"/>
    <s v="Bertucci, William Robert, Md"/>
    <s v="LAPAROSCOPY, SURGICAL, GASTRIC RESTRICTIVE PROCEDURE; LONGITUDINALGASTRECTOMY (IE, SLEEVE GASTRECTOMY)"/>
    <s v="ROBOTIC GASTRIC SLEEVE - N/A"/>
    <s v="Mon"/>
    <m/>
    <m/>
    <m/>
    <s v="BERTUCCI, WILLIAM ROBERT_x000a_TALLER, JANOS"/>
    <s v="Panel 1: Dr. Bertucci, William Robert, MD / Taller, Janos, MD"/>
    <s v="William Robert Bertucci, MD"/>
    <m/>
    <s v="Bertucci"/>
  </r>
  <r>
    <d v="2026-08-10T00:00:00"/>
    <s v="6612911"/>
    <s v="Maldonado, Jose A."/>
    <s v="Inpatient"/>
    <x v="0"/>
    <n v="3901446866"/>
    <s v="811482198"/>
    <d v="1986-03-24T00:00:00"/>
    <s v="Narla, Vinod Venkat, MD"/>
    <s v="General"/>
    <s v="3"/>
    <d v="1899-12-30T08:00:00"/>
    <d v="1899-12-30T10:38:00"/>
    <n v="158"/>
    <d v="1899-12-30T08:00:00"/>
    <d v="1899-12-30T10:15:00"/>
    <n v="135"/>
    <d v="1899-12-30T08:00:00"/>
    <d v="1899-12-30T10:30:00"/>
    <n v="150"/>
    <d v="1899-12-30T08:41:00"/>
    <d v="1899-12-30T10:18:00"/>
    <d v="1899-12-30T10:30:00"/>
    <n v="150"/>
    <n v="97"/>
    <d v="1899-12-30T10:41:12"/>
    <d v="1899-12-30T10:59:00"/>
    <n v="18"/>
    <m/>
    <m/>
    <m/>
    <s v="SHME OR 15"/>
    <s v="General"/>
    <s v="No"/>
    <s v="Taller, Janos, Md"/>
    <s v="LAPAROSCOPY, SURGICAL, GASTRIC RESTRICTIVE PROCEDURE; WITH GASTRICBYPASS AND ROUX-EN-Y GASTROENTEROSTOMY (ROUX LIMB 150 CM OR LESS)"/>
    <s v="ROBOTIC ROUX-EN-Y GASTRIC BYPASS - N/A"/>
    <s v="Mon"/>
    <m/>
    <m/>
    <m/>
    <s v="TALLER, JANOS_x000a_BERTUCCI, WILLIAM ROBERT"/>
    <s v="Panel 1: Dr. Taller, Janos, MD / Bertucci, William Robert, MD"/>
    <s v="Janos Taller, MD"/>
    <m/>
    <s v="Taller"/>
  </r>
  <r>
    <d v="2026-08-10T00:00:00"/>
    <s v="6612923"/>
    <s v="Fox, Gary Albert"/>
    <s v="Inpatient"/>
    <x v="0"/>
    <n v="3901446898"/>
    <s v="606207707"/>
    <d v="1959-06-23T00:00:00"/>
    <s v="Narla, Vinod Venkat, MD"/>
    <s v="General"/>
    <s v="2"/>
    <d v="1899-12-30T13:35:00"/>
    <d v="1899-12-30T15:17:00"/>
    <n v="102"/>
    <d v="1899-12-30T13:00:00"/>
    <d v="1899-12-30T15:30:00"/>
    <n v="150"/>
    <d v="1899-12-30T13:35:00"/>
    <d v="1899-12-30T15:10:00"/>
    <n v="95"/>
    <d v="1899-12-30T14:08:00"/>
    <d v="1899-12-30T15:04:00"/>
    <d v="1899-12-30T15:10:00"/>
    <n v="95"/>
    <n v="56"/>
    <d v="1899-12-30T15:11:13"/>
    <d v="1899-12-30T16:01:00"/>
    <n v="50"/>
    <d v="1899-12-30T16:02:00"/>
    <d v="1899-12-30T16:23:00"/>
    <n v="21"/>
    <s v="SHME OR 15"/>
    <s v="General"/>
    <s v="No"/>
    <s v="Taller, Janos, Md"/>
    <s v="LAPAROSCOPY, SURGICAL, GASTRIC RESTRICTIVE PROCEDURE; REMOVAL OFADJUSTABLE GASTRIC RESTRICTIVE DEVICE AND SUBCUTANEOUS PORT COMPONENTS_x000a_REPAIR OF ANTERIOR ABDOMINAL HERNIA(S) (IE, EPIGASTRIC, INCISIONAL, VENTRAL, UMBILICAL, SPIGELIAN), ANY APPROACH (IE, OPEN, LAPAROSCOPIC, ROBOTIC), INITIAL, INCLUDING IMPLANTATION OF MESH OR OTHER"/>
    <s v="ROBOTIC REMOVAL OF GASTRIC BAND SYSTEM; UMBILICAL HERNIA REPAIR - N/A"/>
    <s v="Mon"/>
    <m/>
    <m/>
    <m/>
    <s v="TALLER, JANOS_x000a_BERTUCCI, WILLIAM ROBERT"/>
    <s v="Panel 1: Dr. Taller, Janos, MD / Bertucci, William Robert, MD"/>
    <s v="Janos Taller, MD"/>
    <m/>
    <s v="Taller"/>
  </r>
  <r>
    <d v="2026-08-10T00:00:00"/>
    <s v="6628823"/>
    <s v="Quiroz, JOSEPH ANTHONY Sr."/>
    <s v="Inpatient"/>
    <x v="0"/>
    <n v="3400727331"/>
    <s v="810228880"/>
    <d v="1958-06-18T00:00:00"/>
    <s v="Yehushua, Liora, MD"/>
    <s v="Regional"/>
    <s v="4"/>
    <d v="1899-12-30T15:07:00"/>
    <d v="1899-12-30T21:29:00"/>
    <n v="382"/>
    <d v="1899-12-30T13:30:00"/>
    <d v="1899-12-30T19:30:00"/>
    <n v="360"/>
    <d v="1899-12-30T15:07:00"/>
    <d v="1899-12-30T20:47:00"/>
    <n v="340"/>
    <d v="1899-12-30T16:04:00"/>
    <d v="1899-12-30T20:24:00"/>
    <d v="1899-12-30T20:47:00"/>
    <n v="340"/>
    <n v="260"/>
    <d v="1899-12-30T20:48:15"/>
    <d v="1899-12-30T21:55:00"/>
    <n v="67"/>
    <m/>
    <m/>
    <m/>
    <s v="SHME OR 10"/>
    <s v="Urology"/>
    <s v="No"/>
    <s v="Salem, Carol Elizabeth, Md"/>
    <s v="EXCISION OR DESTRUCTION, OPEN, INTRA-ABDOMINAL (IE, PERITONEAL, MESENTERIC, RETROPERITONEAL), PRIMARY OR SECONDARY TUMOR(S) OR CYST(S), SUM OF THE MAXIMUM LENGTH OF TUMOR(S) OR CYST(S); 5 CM OR LESS_x000a_NEPHRECTOMY, PARTIAL"/>
    <s v="OPEN RESECTION RETROPERITONEAL MASS, POSSIBLE LEFT NEPHRECTOMY - N/A"/>
    <s v="Mon"/>
    <m/>
    <m/>
    <m/>
    <s v="SALEM, CAROL ELIZABETH"/>
    <m/>
    <s v="Carol Elizabeth Salem, MD"/>
    <m/>
    <s v="Salem"/>
  </r>
  <r>
    <d v="2026-08-10T00:00:00"/>
    <s v="6629122"/>
    <s v="Arteaga, Catalina"/>
    <s v="Inpatient"/>
    <x v="0"/>
    <n v="3901446258"/>
    <s v="810259690"/>
    <d v="1973-10-19T00:00:00"/>
    <s v="Haidar, Jason, DO"/>
    <s v="General"/>
    <s v="3"/>
    <d v="1899-12-30T12:46:00"/>
    <d v="1899-12-30T20:49:00"/>
    <n v="483"/>
    <d v="1899-12-30T12:00:00"/>
    <d v="1899-12-30T16:00:00"/>
    <n v="240"/>
    <d v="1899-12-30T12:46:00"/>
    <d v="1899-12-30T20:40:00"/>
    <n v="474"/>
    <d v="1899-12-30T14:31:00"/>
    <d v="1899-12-30T20:33:00"/>
    <d v="1899-12-30T20:40:00"/>
    <n v="474"/>
    <n v="362"/>
    <m/>
    <m/>
    <m/>
    <m/>
    <m/>
    <m/>
    <s v="SHME OR 07"/>
    <s v="Neurosurgery"/>
    <s v="Yes"/>
    <s v="Chavakula, Vamsidhar, Md"/>
    <s v="CRANIECTOMY, TREPHINATION, BONE FLAP CRANIOTOMY; FOR EXCISION OF BRAINTUMOR, SUPRATENTORIAL, EXCEPT MENINGIOMA"/>
    <s v="RIGHT CRANIOTOMY FOR RESECTION OF BRAIN TUMOR - Right"/>
    <s v="Mon"/>
    <m/>
    <m/>
    <m/>
    <s v="CHAVAKULA, VAMSIDHAR"/>
    <m/>
    <s v="Vamsidhar Chavakula, MD"/>
    <m/>
    <s v="Chavakula"/>
  </r>
  <r>
    <d v="2026-08-10T00:00:00"/>
    <s v="6633007"/>
    <s v="Robbins, John R"/>
    <s v="Inpatient"/>
    <x v="0"/>
    <n v="3400727675"/>
    <s v="400184314"/>
    <d v="1989-03-06T00:00:00"/>
    <s v="Ramos, Joshua Neftalie, MD"/>
    <s v="Regional"/>
    <s v="3"/>
    <d v="1899-12-30T08:00:00"/>
    <d v="1899-12-30T10:19:00"/>
    <n v="139"/>
    <d v="1899-12-30T08:00:00"/>
    <d v="1899-12-30T10:00:00"/>
    <n v="120"/>
    <d v="1899-12-30T08:00:00"/>
    <d v="1899-12-30T10:11:00"/>
    <n v="131"/>
    <d v="1899-12-30T08:24:00"/>
    <d v="1899-12-30T10:03:00"/>
    <d v="1899-12-30T10:11:00"/>
    <n v="131"/>
    <n v="99"/>
    <d v="1899-12-30T10:15:25"/>
    <d v="1899-12-30T11:44:05"/>
    <n v="89"/>
    <m/>
    <m/>
    <m/>
    <s v="SHME OR 07"/>
    <s v="Cardiothoracic"/>
    <s v="No"/>
    <s v="Williams, David Mccann, Md"/>
    <s v="INCISION AND DRAINAGE OF ABSCESS (EG, CARBUNCLE, SUPPURATIVEHIDRADENITIS, CUTANEOUS OR SUBCUTANEOUS ABSCESS, CYST, FURUNCLE, ORPARONYCHIA); COMPLICATED OR MULTIPLE_x000a_RESECTION OF RIBS, EXTRAPLEURAL, ALL STAGES"/>
    <s v="RIGHT CHEST WALL ABSCESS DRAINAGE; RIB RESESCTION - Right"/>
    <s v="Mon"/>
    <m/>
    <m/>
    <m/>
    <s v="WILLIAMS, DAVID MCCANN"/>
    <m/>
    <s v="David McCann Williams, MD"/>
    <m/>
    <s v="Williams"/>
  </r>
  <r>
    <d v="2026-08-10T00:00:00"/>
    <s v="6637387"/>
    <s v="Quinn, Taryn"/>
    <s v="Inpatient"/>
    <x v="0"/>
    <n v="3901449155"/>
    <s v="811485482"/>
    <d v="2006-08-17T00:00:00"/>
    <s v="Billys, James Brian, MD"/>
    <s v="General"/>
    <s v="4"/>
    <d v="1899-12-30T08:00:00"/>
    <d v="1899-12-30T13:44:00"/>
    <n v="344"/>
    <d v="1899-12-30T08:00:00"/>
    <d v="1899-12-30T13:40:00"/>
    <n v="370"/>
    <d v="1899-12-30T08:18:00"/>
    <d v="1899-12-30T13:34:00"/>
    <n v="316"/>
    <d v="1899-12-30T08:45:00"/>
    <d v="1899-12-30T13:19:00"/>
    <d v="1899-12-30T13:34:00"/>
    <n v="316"/>
    <n v="274"/>
    <m/>
    <m/>
    <m/>
    <m/>
    <m/>
    <m/>
    <s v="SHME OR 09"/>
    <s v="Orthopedics"/>
    <s v="No"/>
    <s v="Kuhn, Kevin Matthew, Md"/>
    <s v="OPEN TREATMENT OF CLAVICULAR FRACTURE, INCLUDES INTERNAL FIXATION, WHENPERFORMED_x000a_OPEN TREATMENT OF PROXIMAL HUMERAL (SURGICAL OR ANATOMICAL NECK)FRACTURE, INCLUDES INTERNAL FIXATION, WHEN PERFORMED, INCLUDES REPAIR OFTUBEROSITY(S), WHEN PERFORMED;_x000a_OPEN TREATMENT OF METACARPAL FRACTURE, SINGLE, INCLUDES INTERNALFIXATION, WHEN PERFORMED, EACH BONE_x000a_DEBRIDEMENT INCLUDING REMOVAL OF FOREIGN MATERIAL AT THE SITE OF AN OPENFRACTURE AND/OR AN OPEN DISLOCATION (EG, EXCISIONAL DEBRIDEMENT); SKIN,SUBCUTANEOUS TISSUE, MUSCLE FASCIA, MUSCLE, AND BONE"/>
    <s v="OPEN TREATMENT OF CLAVICULAR FRACTURE, INCLUDES INTERNAL FIXATION, WHENPERFORMED - Left"/>
    <s v="Mon"/>
    <m/>
    <m/>
    <m/>
    <s v="KUHN, KEVIN MATTHEW"/>
    <m/>
    <s v="Kevin Matthew Kuhn, MD"/>
    <m/>
    <s v="Kuhn"/>
  </r>
  <r>
    <d v="2026-08-10T00:00:00"/>
    <s v="6637461"/>
    <s v="Gonzalez, Miguel O"/>
    <s v="Inpatient"/>
    <x v="0"/>
    <n v="3901449549"/>
    <s v="811485799"/>
    <d v="1989-12-28T00:00:00"/>
    <s v="Narla, Vinod Venkat, MD"/>
    <s v="Regional"/>
    <s v="2"/>
    <d v="1899-12-30T14:41:00"/>
    <d v="1899-12-30T16:15:00"/>
    <n v="94"/>
    <d v="1899-12-30T15:00:00"/>
    <d v="1899-12-30T16:40:00"/>
    <n v="130"/>
    <d v="1899-12-30T14:41:00"/>
    <d v="1899-12-30T16:08:00"/>
    <n v="87"/>
    <d v="1899-12-30T15:04:00"/>
    <d v="1899-12-30T16:07:00"/>
    <d v="1899-12-30T16:08:00"/>
    <n v="87"/>
    <n v="63"/>
    <d v="1899-12-30T16:09:47"/>
    <d v="1899-12-30T16:54:08"/>
    <n v="45"/>
    <m/>
    <m/>
    <m/>
    <s v="SHME OR 09"/>
    <s v="Orthopedics"/>
    <s v="No"/>
    <s v="Kuhn, Kevin Matthew, Md"/>
    <s v="OPEN TREATMENT OF DISTAL FIBULAR FRACTURE (LATERAL MALLEOLUS), INCLUDESINTERNAL FIXATION, WHEN PERFORMED_x000a_OPEN TREATMENT OF DISTAL TIBIOFIBULAR JOINT (SYNDESMOSIS) DISRUPTION,INCLUDES INTERNAL FIXATION, WHEN PERFORMED"/>
    <s v="OPEN TREATMENT OF DISTAL FIBULAR FRACTURE (LATERAL MALLEOLUS), INCLUDESINTERNAL FIXATION, WHEN PERFORMED - Left"/>
    <s v="Mon"/>
    <m/>
    <m/>
    <m/>
    <s v="KUHN, KEVIN MATTHEW"/>
    <m/>
    <s v="Kevin Matthew Kuhn, MD"/>
    <m/>
    <s v="Kuhn"/>
  </r>
  <r>
    <d v="2026-08-10T00:00:00"/>
    <s v="6638190"/>
    <s v="Sarmiento, Reynaldo"/>
    <s v="Inpatient"/>
    <x v="0"/>
    <n v="3901449668"/>
    <s v="811485881"/>
    <d v="1998-07-29T00:00:00"/>
    <s v="Narla, Vinod Venkat, MD"/>
    <s v="General"/>
    <s v="2"/>
    <d v="1899-12-30T16:26:00"/>
    <d v="1899-12-30T19:05:00"/>
    <n v="159"/>
    <d v="1899-12-30T17:00:00"/>
    <d v="1899-12-30T18:50:00"/>
    <n v="140"/>
    <d v="1899-12-30T16:26:00"/>
    <d v="1899-12-30T18:57:00"/>
    <n v="151"/>
    <d v="1899-12-30T16:50:00"/>
    <d v="1899-12-30T18:51:00"/>
    <d v="1899-12-30T18:57:00"/>
    <n v="151"/>
    <n v="121"/>
    <d v="1899-12-30T18:59:46"/>
    <d v="1899-12-30T20:38:10"/>
    <n v="99"/>
    <m/>
    <m/>
    <m/>
    <s v="SHME OR 01"/>
    <s v="Orthopedics"/>
    <s v="No"/>
    <s v="Kuhn, Kevin Matthew, Md"/>
    <s v="TREATMENT OF TIBIAL SHAFT FRACTURE (WITH OR WITHOUT FIBULAR FRACTURE) BYINTRAMEDULLARY IMPLANT, WITH OR WITHOUT INTERLOCKING SCREWS AND/ORCERCLAGE"/>
    <s v="TREATMENT OF TIBIAL SHAFT FRACTURE (WITH OR WITHOUT FIBULAR FRACTURE) BYINTRAMEDULLARY IMPLANT, WITH OR WITHOUT INTERLOCKING SCREWS AND/ORCERCLAGE - Right"/>
    <s v="Mon"/>
    <m/>
    <m/>
    <m/>
    <s v="KUHN, KEVIN MATTHEW"/>
    <m/>
    <s v="Kevin Matthew Kuhn, MD"/>
    <m/>
    <s v="Kuhn"/>
  </r>
  <r>
    <d v="2026-08-10T00:00:00"/>
    <s v="6638503"/>
    <s v="Lemus, Vanessa M"/>
    <s v="Inpatient"/>
    <x v="0"/>
    <n v="3901449709"/>
    <s v="811466765"/>
    <d v="1992-11-13T00:00:00"/>
    <s v="Julian, Jeric Israel Burguillos, DO"/>
    <s v="General"/>
    <s v="2"/>
    <d v="1899-12-30T07:26:00"/>
    <d v="1899-12-30T08:30:00"/>
    <n v="64"/>
    <d v="1899-12-30T07:30:00"/>
    <d v="1899-12-30T08:40:00"/>
    <n v="100"/>
    <d v="1899-12-30T07:26:00"/>
    <d v="1899-12-30T08:25:00"/>
    <n v="59"/>
    <d v="1899-12-30T07:43:00"/>
    <d v="1899-12-30T08:21:00"/>
    <d v="1899-12-30T08:25:00"/>
    <n v="59"/>
    <n v="38"/>
    <d v="1899-12-30T08:27:43"/>
    <d v="1899-12-30T09:26:40"/>
    <n v="59"/>
    <m/>
    <m/>
    <m/>
    <s v="SHME OR 02"/>
    <s v="Gynecology"/>
    <s v="No"/>
    <s v="Brahmbhatt, Bhoomi Manoj, Md"/>
    <s v="DILATION AND CURETTAGE, DIAGNOSTIC AND/OR THERAPEUTIC (NONOBSTETRICAL)"/>
    <s v="DILATION AND CURETTAGE, DIAGNOSTIC AND/OR THERAPEUTIC (NONOBSTETRICAL) - N/A"/>
    <s v="Mon"/>
    <m/>
    <m/>
    <m/>
    <s v="BRAHMBHATT, BHOOMI MANOJ"/>
    <m/>
    <s v="Bhoomi Manoj Brahmbhatt, MD (858-493-1833)"/>
    <m/>
    <s v="Brahmbhatt"/>
  </r>
  <r>
    <d v="2026-08-10T00:00:00"/>
    <s v="6639674"/>
    <s v="Lopez, Diego"/>
    <s v="Inpatient"/>
    <x v="0"/>
    <n v="3901433787"/>
    <s v="811474932"/>
    <d v="1993-02-11T00:00:00"/>
    <s v="Baja, Diosdado An Jr., MD"/>
    <s v="General"/>
    <s v="4"/>
    <d v="1899-12-30T13:01:00"/>
    <d v="1899-12-30T14:20:00"/>
    <n v="79"/>
    <d v="1899-12-30T13:00:00"/>
    <d v="1899-12-30T14:00:00"/>
    <n v="90"/>
    <d v="1899-12-30T13:19:00"/>
    <d v="1899-12-30T14:14:00"/>
    <n v="55"/>
    <d v="1899-12-30T13:41:00"/>
    <d v="1899-12-30T14:12:00"/>
    <d v="1899-12-30T14:14:00"/>
    <n v="55"/>
    <n v="31"/>
    <m/>
    <m/>
    <m/>
    <m/>
    <m/>
    <m/>
    <s v="SHME OR 02"/>
    <s v="General"/>
    <s v="No"/>
    <s v="Krzyzaniak, Michael Joseph, Md"/>
    <s v="TRACHEOSTOMY, PLANNED (SEPARATE PROCEDURE);"/>
    <s v="TRACHEOSTOMY, PLANNED (SEPARATE PROCEDURE); - N/A"/>
    <s v="Mon"/>
    <m/>
    <s v="ED/IP/IC"/>
    <m/>
    <s v="KRZYZANIAK, MICHAEL JOSEPH"/>
    <m/>
    <s v="Michael Joseph Krzyzaniak, MD"/>
    <m/>
    <s v="Krzyzaniak"/>
  </r>
  <r>
    <d v="2026-08-10T00:00:00"/>
    <s v="6640060"/>
    <s v="Atterholm, Charlie"/>
    <s v="Emergency"/>
    <x v="0"/>
    <n v="3901449849"/>
    <s v="811090032"/>
    <d v="2007-02-15T00:00:00"/>
    <s v="Chitlur, Abhijith Harish, MD"/>
    <s v="General"/>
    <s v="1"/>
    <d v="1899-12-30T13:21:00"/>
    <d v="1899-12-30T14:28:00"/>
    <n v="67"/>
    <d v="1899-12-30T13:00:00"/>
    <d v="1899-12-30T14:05:00"/>
    <n v="80"/>
    <d v="1899-12-30T13:21:00"/>
    <d v="1899-12-30T14:20:00"/>
    <n v="59"/>
    <d v="1899-12-30T13:44:00"/>
    <d v="1899-12-30T14:12:00"/>
    <d v="1899-12-30T14:20:00"/>
    <n v="59"/>
    <n v="28"/>
    <d v="1899-12-30T14:25:03"/>
    <d v="1899-12-30T15:14:00"/>
    <n v="49"/>
    <d v="1899-12-30T15:15:00"/>
    <d v="1899-12-30T15:50:00"/>
    <n v="35"/>
    <s v="SHME OR 03"/>
    <s v="Urology"/>
    <s v="No"/>
    <s v="Trauma, Generic Surgeon"/>
    <s v="EMERGENCY TRAUMA"/>
    <s v="EMERGENCY TRAUMA - N/A"/>
    <s v="Mon"/>
    <m/>
    <m/>
    <m/>
    <s v="DICKS, BRIAN MICHAEL"/>
    <m/>
    <s v="Brian Michael Dicks, MD"/>
    <m/>
    <s v="Dicks"/>
  </r>
  <r>
    <d v="2026-08-10T00:00:00"/>
    <s v="6288972"/>
    <s v="Newman, Bonnie E"/>
    <s v="Outpatient"/>
    <x v="1"/>
    <n v="3901384231"/>
    <s v="811218635"/>
    <d v="1982-08-25T00:00:00"/>
    <s v="Rayan, Hany A, MD"/>
    <s v="General"/>
    <s v="2"/>
    <d v="1899-12-30T08:09:00"/>
    <d v="1899-12-30T09:06:00"/>
    <n v="57"/>
    <d v="1899-12-30T08:00:00"/>
    <d v="1899-12-30T09:00:00"/>
    <n v="60"/>
    <d v="1899-12-30T08:09:00"/>
    <d v="1899-12-30T09:02:00"/>
    <n v="53"/>
    <d v="1899-12-30T08:35:00"/>
    <d v="1899-12-30T08:55:00"/>
    <d v="1899-12-30T09:02:00"/>
    <n v="53"/>
    <n v="20"/>
    <d v="1899-12-30T09:03:00"/>
    <d v="1899-12-30T10:00:00"/>
    <n v="57"/>
    <d v="1899-12-30T10:15:00"/>
    <d v="1899-12-30T11:00:00"/>
    <n v="45"/>
    <s v="SHME OR 14"/>
    <s v="Gynecology"/>
    <s v="No"/>
    <s v="Gonzalez, Marisa Camille, Md"/>
    <s v="HYSTEROSCOPY, SURGICAL; WITH SAMPLING (BIOPSY) OF ENDOMETRIUM AND/ORPOLYPECTOMY, WITH OR WITHOUT D &amp; C_x000a_INSERTION OF INTRAUTERINE DEVICE (IUD)"/>
    <s v="DIAGNOSTIC HYSTEROSCOPY POSSIBLE POLYPECTOMY DILATION AND CURETTAGE MIRENA IUD PLACEMENT (NEED MYOSURE) - N/A"/>
    <s v="Mon"/>
    <m/>
    <m/>
    <m/>
    <s v="GONZALEZ, MARISA CAMILLE"/>
    <m/>
    <s v="Marisa Camille Gonzalez, MD"/>
    <m/>
    <s v="Gonzalez"/>
  </r>
  <r>
    <d v="2026-08-10T00:00:00"/>
    <s v="6493602"/>
    <s v="Gillman, John L, PhD"/>
    <s v="Outpatient"/>
    <x v="1"/>
    <n v="3901422297"/>
    <s v="611557121"/>
    <d v="1948-12-25T00:00:00"/>
    <s v="Ngo, Donald Hanh, MD"/>
    <s v="Monitor Anesthesia Care"/>
    <s v="2"/>
    <d v="1899-12-30T08:01:00"/>
    <d v="1899-12-30T09:54:00"/>
    <n v="113"/>
    <d v="1899-12-30T08:00:00"/>
    <d v="1899-12-30T10:00:00"/>
    <n v="120"/>
    <d v="1899-12-30T08:01:00"/>
    <d v="1899-12-30T09:49:00"/>
    <n v="108"/>
    <d v="1899-12-30T08:28:00"/>
    <d v="1899-12-30T09:46:00"/>
    <d v="1899-12-30T09:49:00"/>
    <n v="108"/>
    <n v="78"/>
    <d v="1899-12-30T09:51:00"/>
    <d v="1899-12-30T10:49:00"/>
    <n v="58"/>
    <d v="1899-12-30T10:50:00"/>
    <d v="1899-12-30T11:49:00"/>
    <n v="59"/>
    <s v="SHME OR 16"/>
    <s v="Orthopedics"/>
    <s v="No"/>
    <s v="Sun, Michael, Md"/>
    <s v="TISSUE REARRANGEMENT, OR SKIN GRAFTING (INCLUDES OBTAINING GRA"/>
    <s v="LEFT HAND AND SMALL FINGER FASCIECTOMY - Left"/>
    <s v="Mon"/>
    <m/>
    <m/>
    <m/>
    <s v="SUN, MICHAEL"/>
    <m/>
    <s v="Michael Sun, MD"/>
    <m/>
    <s v="Sun"/>
  </r>
  <r>
    <d v="2026-08-10T00:00:00"/>
    <s v="6313279"/>
    <s v="Chun, Isabella J"/>
    <s v="Outpatient"/>
    <x v="1"/>
    <n v="3901395321"/>
    <s v="811347193"/>
    <d v="1999-07-14T00:00:00"/>
    <s v="Rayan, Hany A, MD"/>
    <s v="General"/>
    <s v="2"/>
    <d v="1899-12-30T13:48:00"/>
    <d v="1899-12-30T15:00:00"/>
    <n v="72"/>
    <d v="1899-12-30T13:30:00"/>
    <d v="1899-12-30T14:45:00"/>
    <n v="75"/>
    <d v="1899-12-30T13:48:00"/>
    <d v="1899-12-30T14:55:00"/>
    <n v="67"/>
    <d v="1899-12-30T14:06:00"/>
    <d v="1899-12-30T14:41:00"/>
    <d v="1899-12-30T14:55:00"/>
    <n v="67"/>
    <n v="35"/>
    <d v="1899-12-30T14:56:59"/>
    <d v="1899-12-30T16:24:00"/>
    <n v="88"/>
    <d v="1899-12-30T16:25:00"/>
    <d v="1899-12-30T16:45:00"/>
    <n v="20"/>
    <s v="SHME OR 14"/>
    <s v="Obstetrics"/>
    <s v="No"/>
    <s v="Cardenas, Michael Edward, Md"/>
    <s v="LAPAROSCOPY, ABDOMEN, PERITONEUM, AND OMENTUM, DIAGNOSTIC, WITH ORWITHOUT COLLECTION OF SPECIMEN(S) BY BRUSHING OR WASHING (SEPARATEPROCEDURE)"/>
    <s v="DIAGNOSTIC LAPAROSCOPY - N/A"/>
    <s v="Mon"/>
    <m/>
    <m/>
    <m/>
    <s v="CARDENAS, MICHAEL EDWARD_x000a_MUSINSKI, SCOTT EDWARD"/>
    <s v="Panel 1: Dr. Cardenas, Michael Edward, MD / Musinski, Scott Edward, MD"/>
    <s v="Michael Edward Cardenas, MD"/>
    <m/>
    <s v="Cardenas"/>
  </r>
  <r>
    <d v="2026-08-10T00:00:00"/>
    <s v="6497869"/>
    <s v="Anderson, Donna M"/>
    <s v="Outpatient"/>
    <x v="1"/>
    <n v="3901423109"/>
    <s v="100573393"/>
    <d v="1956-06-06T00:00:00"/>
    <s v="Fan, Ting-Wei, MD"/>
    <s v="General"/>
    <s v="2"/>
    <d v="1899-12-30T08:00:00"/>
    <d v="1899-12-30T15:50:00"/>
    <n v="470"/>
    <d v="1899-12-30T08:00:00"/>
    <d v="1899-12-30T16:00:00"/>
    <n v="480"/>
    <d v="1899-12-30T08:00:00"/>
    <d v="1899-12-30T15:43:00"/>
    <n v="463"/>
    <d v="1899-12-30T08:44:00"/>
    <d v="1899-12-30T15:23:00"/>
    <d v="1899-12-30T15:43:00"/>
    <n v="463"/>
    <n v="399"/>
    <d v="1899-12-30T15:44:49"/>
    <d v="1899-12-30T16:47:59"/>
    <n v="63"/>
    <m/>
    <m/>
    <m/>
    <s v="SHME OR 05"/>
    <s v="Orthopedics"/>
    <s v="No"/>
    <s v="Bawa, Maneesh, Md"/>
    <s v="ARTHRODESIS, ANTERIOR INTERBODY TECHNIQUE, INCLUDING MINIMAL DISCECTOMYTO PREPARE INTERSPACE (OTHER THAN FOR DECOMPRESSION); LUMBAR_x000a_INSERTION OF INTERBODY BIOMECHANICAL DEVICE(S) (EG, SYNTHETIC CAGE, MESH) WITHINTEGRAL ANTERIOR INSTRUMENTATION FOR DEVICE ANCHORING (EG, SCREWS, FLANGES),WHEN PERFORMED, TO INTERVERTEBRAL DISC SPAC_x000a_ANTERIOR INSTRUMENTATION; 2 TO 3 VERTEBRAL SEGMENTS (LIST SEPARATELY INADDITION TO CODE FOR PRIMARY PROCEDURE)_x000a_ARTHRODESIS, POSTERIOR OR POSTEROLATERAL TECHNIQUE, SINGLE INTERSPACE; LUMBAR (WITH LATERAL TRANSVERSE TECHNIQUE, WHEN PERFORMED)_x000a_POSTERIOR NON-SEGMENTAL INSTRUMENTATION (EG, HARRINGTON ROD TECHNIQUE,PEDICLE FIXATION ACROSS 1 INTERSPACE, ATLANTOAXIAL TRANSARTICULAR SCREWFIXATION, SUBLAMINAR WIRING AT C1, FACET SCREW FIXATION)_x000a_LAMINECTOMY FOR EXCISION OR EVACUATION OF INTRASPINAL LESION OTHER THANNEOPLASM, EXTRADURAL; LUMBAR_x000a_SPINAL OR LATERAL RECESS STENOSIS]), SINGLE VERTEBRAL S_x000a_LAMINECTOMY, FACETECTOMY AND FORAMINOTOMY (UNILATERAL OR BILATERAL WITH DECOMPRESSION OF SPINAL CORD, CAUDA EQUINA AND/OR NERVE ROOT(S), EG, SPINAL OR LATERAL RECESS STENOSIS), SINGLE VERTEBRAL SEGMEN_x000a_MICROSURGICAL TECHNIQUES, REQUIRING USE OF OPERATING MICROSCOPE (LISTSEPARATELY IN ADDITION TO CODE FOR PRIMARY PROCEDURE)_x000a_FLUOROSCOPY (SEPARATE PROCEDURE), UP TO 1 HOUR PHYSICIAN OR OTHERQUALIFIED HEALTH CARE PROFESSIONAL TIME, OTHER THAN 71023 OR 71034 (EG,CARDIAC FLUOROSCOPY)"/>
    <s v="LUMBAR 4-LUMBAR 5 ANTERIOR LUMBAR INTERBODY FUSION/POSTERIOR SPINAL FUSION; RIGHT ,POSSIBLE BILATERAL LUMBAR 3- LUMBAR 4 LAMINECTOMY, POSSIBLE BILATERAL LUMBAR 4-LUMBAR 5 LAMINECTOMY/EXCISION OF FACET CYST - N/A"/>
    <s v="Mon"/>
    <m/>
    <m/>
    <m/>
    <s v="BAWA, MANEESH_x000a_MUSICANT, SCOTT EDWARD"/>
    <s v="Panel 1: Dr. Bawa, Maneesh, MD / Musicant, Scott Edward, MD"/>
    <s v="Maneesh Bawa, MD"/>
    <m/>
    <s v="Bawa"/>
  </r>
  <r>
    <d v="2026-08-10T00:00:00"/>
    <s v="6327520"/>
    <s v="Rudesill, Ruth S"/>
    <s v="Inpatient"/>
    <x v="0"/>
    <n v="3901391132"/>
    <s v="701232296"/>
    <d v="1946-09-24T00:00:00"/>
    <s v="Vasant, Kris Kishore, MD"/>
    <s v="Regional"/>
    <s v="4"/>
    <d v="1899-12-30T06:17:00"/>
    <d v="1899-12-30T13:34:00"/>
    <n v="437"/>
    <d v="1899-12-30T06:15:00"/>
    <d v="1899-12-30T13:15:00"/>
    <n v="420"/>
    <d v="1899-12-30T06:17:00"/>
    <d v="1899-12-30T13:13:00"/>
    <n v="416"/>
    <d v="1899-12-30T08:07:00"/>
    <d v="1899-12-30T12:55:00"/>
    <d v="1899-12-30T13:13:00"/>
    <n v="416"/>
    <n v="288"/>
    <m/>
    <m/>
    <m/>
    <m/>
    <m/>
    <m/>
    <s v="SHME OR 08"/>
    <s v="Cardiothoracic"/>
    <s v="No"/>
    <s v="Hemp, James Robert, Md"/>
    <s v="VALVULOPLASTY, MITRAL VALVE, WITH CARDIOPULMONARY BYPASS; RADICALRECONSTRUCTION, WITH OR WITHOUT RING_x000a_REPLACEMENT, MITRAL VALVE, WITH CARDIOPULMONARY BYPASS_x000a_OPERATIVE TISSUE ABLATION AND RECONSTRUCTION OF ATRIA, EXTENSIVE (EG,MAZE PROCEDURE); WITH CARDIOPULMONARY BYPASS_x000a_VALVULOPLASTY, TRICUSPID VALVE; WITH RING INSERTION_x000a_REPLACEMENT, TRICUSPID VALVE, WITH CARDIOPULMONARY BYPASS_x000a_MEDIASTINOTOMY WITH EXPLORATION, DRAINAGE, REMOVAL OF FOREIGN BODY, ORBIOPSY; TRANSTHORACIC APPROACH, INCLUDING EITHER TRANSTHORACIC OR MEDIANSTERNOTOMY"/>
    <s v="ROBOTIC MITRAL VALVE REPAIR; POSSIBLE BIOPROSTHETIC VALVE REPLACEMENT; CRYOMAZE; LEFT ATRIAL APPENDAGE CLIP; POSSIBLE TRICUSPID VALVE REPAIR; POSSIBLE TRICUSPID VALVE REPLACEMENT; POSSIBLE STERNOTOMY - N/A"/>
    <s v="Mon"/>
    <m/>
    <m/>
    <m/>
    <s v="ISLAMI MANUCHEHRY, MOHAMMAD HOSEIN_x000a_HEMP, JAMES ROBERT"/>
    <s v="Panel 1: Dr. Hemp, James Robert, MD / Islami Manuchehry, Mohammad Hosein, MD"/>
    <s v="James Robert Hemp, MD"/>
    <m/>
    <s v="Hemp"/>
  </r>
  <r>
    <d v="2026-08-11T00:00:00"/>
    <s v="6515976"/>
    <s v="Gurrola, Maria A"/>
    <s v="Outpatient"/>
    <x v="1"/>
    <n v="3901426610"/>
    <s v="701255336"/>
    <d v="1962-06-10T00:00:00"/>
    <s v="Baja, Diosdado An Jr., MD"/>
    <s v="Regional"/>
    <s v="2"/>
    <d v="1899-12-30T13:41:00"/>
    <d v="1899-12-30T15:25:00"/>
    <n v="104"/>
    <d v="1899-12-30T13:00:00"/>
    <d v="1899-12-30T14:45:00"/>
    <n v="105"/>
    <d v="1899-12-30T13:41:00"/>
    <d v="1899-12-30T15:18:00"/>
    <n v="97"/>
    <d v="1899-12-30T14:23:00"/>
    <d v="1899-12-30T15:13:00"/>
    <d v="1899-12-30T15:18:00"/>
    <n v="97"/>
    <n v="50"/>
    <d v="1899-12-30T15:23:38"/>
    <d v="1899-12-30T16:37:00"/>
    <n v="74"/>
    <d v="1899-12-30T16:37:00"/>
    <d v="1899-12-30T17:41:28"/>
    <n v="64"/>
    <s v="SHME OR 04"/>
    <s v="Orthopedics"/>
    <s v="No"/>
    <s v="Mohler, Lester Randall, Md"/>
    <s v="ARTHROSCOPY, SHOULDER, SURGICAL; WITH ROTATOR CUFF REPAIR"/>
    <s v="RIGHT SHOULDER ARTHROSCOPY WITH ROTATOR CUFF REPAIR - Right"/>
    <s v="Tue"/>
    <m/>
    <m/>
    <m/>
    <s v="MOHLER, LESTER RANDALL"/>
    <m/>
    <s v="Lester Randall Mohler, MD"/>
    <m/>
    <s v="Mohler"/>
  </r>
  <r>
    <d v="2026-08-11T00:00:00"/>
    <s v="6531390"/>
    <s v="Garcia Gutierrez, Yesenia L"/>
    <s v="Outpatient"/>
    <x v="1"/>
    <n v="3901429478"/>
    <s v="811121798"/>
    <d v="1987-06-20T00:00:00"/>
    <s v="Julian, Jeric Israel Burguillos, DO"/>
    <s v="General"/>
    <s v="3"/>
    <d v="1899-12-30T07:34:00"/>
    <d v="1899-12-30T08:18:00"/>
    <n v="44"/>
    <d v="1899-12-30T07:30:00"/>
    <d v="1899-12-30T08:15:00"/>
    <n v="45"/>
    <d v="1899-12-30T07:34:00"/>
    <d v="1899-12-30T08:13:00"/>
    <n v="39"/>
    <d v="1899-12-30T07:48:00"/>
    <d v="1899-12-30T08:09:00"/>
    <d v="1899-12-30T08:13:00"/>
    <n v="39"/>
    <n v="21"/>
    <d v="1899-12-30T08:18:35"/>
    <d v="1899-12-30T09:00:00"/>
    <n v="42"/>
    <d v="1899-12-30T09:01:00"/>
    <d v="1899-12-30T09:47:00"/>
    <n v="46"/>
    <s v="SHME OR 16"/>
    <s v="Urology"/>
    <s v="Yes"/>
    <s v="Dicks, Brian Michael, Md"/>
    <s v="LITHOTRIPSY, EXTRACORPOREAL SHOCK WAVE"/>
    <s v="RIGHT EXTRACORPOREAL SHOCKWAVE LITHOTRIPSY - Right"/>
    <s v="Tue"/>
    <m/>
    <m/>
    <m/>
    <s v="DICKS, BRIAN MICHAEL"/>
    <m/>
    <s v="Brian Michael Dicks, MD"/>
    <m/>
    <s v="Dicks"/>
  </r>
  <r>
    <d v="2026-08-11T00:00:00"/>
    <s v="6539460"/>
    <s v="Afshar, SAEID"/>
    <s v="Outpatient"/>
    <x v="1"/>
    <n v="3901430758"/>
    <s v="810669176"/>
    <d v="1976-09-13T00:00:00"/>
    <s v="Ramos, Joshua Neftalie, MD"/>
    <s v="General"/>
    <s v="3"/>
    <d v="1899-12-30T07:54:00"/>
    <d v="1899-12-30T09:18:00"/>
    <n v="84"/>
    <d v="1899-12-30T07:30:00"/>
    <d v="1899-12-30T09:00:00"/>
    <n v="90"/>
    <d v="1899-12-30T07:54:00"/>
    <d v="1899-12-30T09:09:00"/>
    <n v="75"/>
    <d v="1899-12-30T08:36:00"/>
    <d v="1899-12-30T08:59:00"/>
    <d v="1899-12-30T09:09:00"/>
    <n v="75"/>
    <n v="23"/>
    <d v="1899-12-30T09:11:00"/>
    <d v="1899-12-30T09:27:00"/>
    <n v="16"/>
    <m/>
    <m/>
    <m/>
    <s v="SHME OR 04"/>
    <s v="ENT"/>
    <s v="No"/>
    <s v="Mansfield, Perry Thomas, Md, Frcpc"/>
    <s v="RESECTION OF PALATE OR EXTENSIVE RESECTION OF LESION_x000a_FRACTIONAL ABLATIVE LASER FENESTRATION OF BURN AND TRAUMATIC SCARS FOR FUNCTIONAL IMPROVEMENT; FIRST 100 CM2 OR PART THEREOF, OR 1% OF BODY SURFACE AREA OF INFANTS AND CHILDREN_x000a_EXCISION OF LESION OF MUCOSA AND SUBMUCOSA, VESTIBULE OF MOUTH; COMPLEX,WITH EXCISION OF UNDERLYING MUSCLE_x000a_EXCISION OF LINGUAL FRENUM (FRENECTOMY)_x000a_LARYNGOSCOPY, DIRECT, OPERATIVE, WITH BIOPSY; WITH OPERATING MICROSCOPEOR TELESCOPE_x000a_MUSCLE, MYOCUTANEOUS, OR FASCIOCUTANEOUS FLAP; HEAD AND NECK WITH NAMED VASCULAR PEDICLE (IE, BUCCINATORS, GENIOGLOSSUS, TEMPORALIS, MASSETER, STERNOCLEIDOMASTOID, LEVATOR SCAPULAE)"/>
    <s v="LASER RESECTION OF RIGHT AND LEFT ORAL CAVITY LEUKOPLAKIA WITH BIOPSY - Bilateral"/>
    <s v="Tue"/>
    <m/>
    <m/>
    <m/>
    <s v="MANSFIELD, PERRY THOMAS"/>
    <m/>
    <s v="Perry Thomas Mansfield, MD, FRCPC"/>
    <m/>
    <s v="Mansfield"/>
  </r>
  <r>
    <d v="2026-08-11T00:00:00"/>
    <s v="6542135"/>
    <s v="Weightman, Marybeth"/>
    <s v="Inpatient"/>
    <x v="0"/>
    <n v="3901431163"/>
    <s v="811472825"/>
    <d v="1968-03-21T00:00:00"/>
    <s v="Haidar, Jason, DO"/>
    <s v="Regional"/>
    <s v="2"/>
    <d v="1899-12-30T14:40:00"/>
    <d v="1899-12-30T16:56:00"/>
    <n v="136"/>
    <d v="1899-12-30T14:45:00"/>
    <d v="1899-12-30T17:00:00"/>
    <n v="135"/>
    <d v="1899-12-30T14:40:00"/>
    <d v="1899-12-30T16:51:00"/>
    <n v="131"/>
    <d v="1899-12-30T15:13:00"/>
    <d v="1899-12-30T16:49:00"/>
    <d v="1899-12-30T16:51:00"/>
    <n v="131"/>
    <n v="96"/>
    <d v="1899-12-30T16:56:01"/>
    <d v="1899-12-30T17:41:05"/>
    <n v="45"/>
    <m/>
    <m/>
    <m/>
    <s v="SHME OR 01"/>
    <s v="Orthopedics"/>
    <s v="Yes"/>
    <s v="Kansara, Devanshu Velji, Md"/>
    <s v="ARTHROPLASTY, KNEE, CONDYLE AND PLATEAU; MEDIAL AND LATERAL COMPARTMENTSWITH OR WITHOUT PATELLA RESURFACING (TOTAL KNEE ARTHROPLASTY)"/>
    <s v="RIGHT TOTAL KNEE ARTHROPLASTY - Right"/>
    <s v="Tue"/>
    <m/>
    <m/>
    <m/>
    <s v="KANSARA, DEVANSHU VELJI"/>
    <m/>
    <s v="Devanshu Velji Kansara, MD"/>
    <m/>
    <s v="Kansara"/>
  </r>
  <r>
    <d v="2026-08-11T00:00:00"/>
    <s v="6542190"/>
    <s v="Overstreet, Martha Blair"/>
    <s v="Outpatient"/>
    <x v="1"/>
    <n v="3901431169"/>
    <s v="701124332"/>
    <d v="1981-09-01T00:00:00"/>
    <s v="Haidar, Jason, DO"/>
    <s v="Monitor Anesthesia Care"/>
    <s v="2"/>
    <d v="1899-12-30T07:20:00"/>
    <d v="1899-12-30T10:22:00"/>
    <n v="182"/>
    <d v="1899-12-30T07:30:00"/>
    <d v="1899-12-30T10:30:00"/>
    <n v="180"/>
    <d v="1899-12-30T07:20:00"/>
    <d v="1899-12-30T10:17:00"/>
    <n v="177"/>
    <d v="1899-12-30T07:58:00"/>
    <d v="1899-12-30T10:13:00"/>
    <d v="1899-12-30T10:17:00"/>
    <n v="177"/>
    <n v="135"/>
    <d v="1899-12-30T10:19:00"/>
    <d v="1899-12-30T12:05:06"/>
    <n v="106"/>
    <d v="1899-12-30T12:10:00"/>
    <d v="1899-12-30T13:40:34"/>
    <n v="90"/>
    <s v="SHME OR 01"/>
    <s v="Orthopedics"/>
    <s v="No"/>
    <s v="Kansara, Devanshu Velji, Md"/>
    <s v="ARTHROPLASTY, ACETABULAR AND PROXIMAL FEMORAL PROSTHETIC REPLACEMENT(TOTAL HIP ARTHROPLASTY), WITH OR WITHOUT AUTOGRAFT OR ALLOGRAFT"/>
    <s v="RIGHT DIRECT ANTERIOR TOTAL HIP ARTHROPLASTY - Right"/>
    <s v="Tue"/>
    <m/>
    <m/>
    <m/>
    <s v="KANSARA, DEVANSHU VELJI"/>
    <m/>
    <s v="Devanshu Velji Kansara, MD"/>
    <m/>
    <s v="Kansara"/>
  </r>
  <r>
    <d v="2026-08-11T00:00:00"/>
    <s v="6543050"/>
    <s v="Martin, Bailey C"/>
    <s v="Inpatient"/>
    <x v="0"/>
    <n v="3901431400"/>
    <s v="810967156"/>
    <d v="1989-06-14T00:00:00"/>
    <s v="Li, Robin T, MD"/>
    <s v="General"/>
    <s v="2"/>
    <d v="1899-12-30T10:54:00"/>
    <d v="1899-12-30T13:22:00"/>
    <n v="148"/>
    <d v="1899-12-30T10:15:00"/>
    <d v="1899-12-30T13:30:00"/>
    <n v="195"/>
    <d v="1899-12-30T10:54:00"/>
    <d v="1899-12-30T13:12:00"/>
    <n v="138"/>
    <d v="1899-12-30T11:20:00"/>
    <d v="1899-12-30T13:03:00"/>
    <d v="1899-12-30T13:12:00"/>
    <n v="138"/>
    <n v="103"/>
    <d v="1899-12-30T13:15:00"/>
    <d v="1899-12-30T14:20:00"/>
    <n v="65"/>
    <m/>
    <m/>
    <m/>
    <s v="SHME OR 10"/>
    <s v="Gynecology"/>
    <s v="No"/>
    <s v="Sandoval, Rebeca, Md"/>
    <s v="LAPAROSCOPY, SURGICAL, MYOMECTOMY, EXCISION; 1 TO 4 INTRAMURAL MYOMASWITH TOTAL WEIGHT OF 250 G OR LESS AND/OR REMOVAL OF SURFACE MYOMAS"/>
    <s v="ROBOTIC MYOMECTOMY - N/A"/>
    <s v="Tue"/>
    <m/>
    <m/>
    <m/>
    <s v="SANDOVAL, REBECA_x000a_JAIME, CINDY MARGARITA"/>
    <s v="Panel 1: Dr. Sandoval, Rebeca, MD / Jaime, Cindy Margarita, MD"/>
    <s v="Rebeca Sandoval, MD"/>
    <m/>
    <s v="Sandoval"/>
  </r>
  <r>
    <d v="2026-08-11T00:00:00"/>
    <s v="6543402"/>
    <s v="Gable, Jan"/>
    <s v="Outpatient"/>
    <x v="1"/>
    <n v="3901431335"/>
    <s v="701245796"/>
    <d v="1958-06-24T00:00:00"/>
    <s v="Baja, Diosdado An Jr., MD"/>
    <s v="Regional"/>
    <s v="2"/>
    <d v="1899-12-30T16:15:00"/>
    <d v="1899-12-30T18:17:00"/>
    <n v="122"/>
    <d v="1899-12-30T15:00:00"/>
    <d v="1899-12-30T17:15:00"/>
    <n v="135"/>
    <d v="1899-12-30T16:15:00"/>
    <d v="1899-12-30T18:10:00"/>
    <n v="115"/>
    <d v="1899-12-30T16:44:00"/>
    <d v="1899-12-30T18:07:00"/>
    <d v="1899-12-30T18:10:00"/>
    <n v="115"/>
    <n v="83"/>
    <d v="1899-12-30T18:13:00"/>
    <d v="1899-12-30T19:23:00"/>
    <n v="70"/>
    <m/>
    <m/>
    <m/>
    <s v="SHME OR 04"/>
    <s v="Orthopedics"/>
    <s v="No"/>
    <s v="Mohler, Lester Randall, Md"/>
    <s v="ARTHROPLASTY, KNEE, CONDYLE AND PLATEAU; MEDIAL AND LATERAL COMPARTMENTSWITH OR WITHOUT PATELLA RESURFACING (TOTAL KNEE ARTHROPLASTY)"/>
    <s v="LEFT TOTAL KNEE ARTHROPLASTY - Left"/>
    <s v="Tue"/>
    <m/>
    <m/>
    <m/>
    <s v="MOHLER, LESTER RANDALL"/>
    <m/>
    <s v="Lester Randall Mohler, MD"/>
    <m/>
    <s v="Mohler"/>
  </r>
  <r>
    <d v="2026-08-11T00:00:00"/>
    <s v="6554772"/>
    <s v="Lopez, Alex"/>
    <s v="Outpatient"/>
    <x v="1"/>
    <n v="3901433320"/>
    <s v="810073392"/>
    <d v="1949-10-14T00:00:00"/>
    <s v="Haidar, Jason, DO"/>
    <s v="General"/>
    <s v="2"/>
    <d v="1899-12-30T11:18:00"/>
    <d v="1899-12-30T13:47:00"/>
    <n v="149"/>
    <d v="1899-12-30T11:00:00"/>
    <d v="1899-12-30T14:15:00"/>
    <n v="195"/>
    <d v="1899-12-30T11:18:00"/>
    <d v="1899-12-30T13:42:00"/>
    <n v="144"/>
    <d v="1899-12-30T12:03:00"/>
    <d v="1899-12-30T13:38:00"/>
    <d v="1899-12-30T13:42:00"/>
    <n v="144"/>
    <n v="95"/>
    <d v="1899-12-30T13:45:38"/>
    <d v="1899-12-30T15:00:00"/>
    <n v="75"/>
    <d v="1899-12-30T15:01:00"/>
    <d v="1899-12-30T16:15:00"/>
    <n v="74"/>
    <s v="SHME OR 01"/>
    <s v="Orthopedics"/>
    <s v="Yes"/>
    <s v="Kansara, Devanshu Velji, Md"/>
    <s v="ARTHROPLASTY, ACETABULAR AND PROXIMAL FEMORAL PROSTHETIC REPLACEMENT(TOTAL HIP ARTHROPLASTY), WITH OR WITHOUT AUTOGRAFT OR ALLOGRAFT"/>
    <s v="ANTERIOR LEFT TOTAL HIP ARTHROPLASTY - Left"/>
    <s v="Tue"/>
    <m/>
    <m/>
    <m/>
    <s v="KANSARA, DEVANSHU VELJI"/>
    <m/>
    <s v="Devanshu Velji Kansara, MD"/>
    <m/>
    <s v="Kansara"/>
  </r>
  <r>
    <d v="2026-08-11T00:00:00"/>
    <s v="6559153"/>
    <s v="Worthington, George B III"/>
    <s v="Outpatient"/>
    <x v="1"/>
    <n v="3901434070"/>
    <s v="700444612"/>
    <d v="1940-10-23T00:00:00"/>
    <s v="Julian, Jeric Israel Burguillos, DO"/>
    <s v="General"/>
    <s v="3"/>
    <d v="1899-12-30T09:43:00"/>
    <d v="1899-12-30T10:27:00"/>
    <n v="44"/>
    <d v="1899-12-30T10:00:00"/>
    <d v="1899-12-30T11:00:00"/>
    <n v="60"/>
    <d v="1899-12-30T09:43:00"/>
    <d v="1899-12-30T10:22:00"/>
    <n v="39"/>
    <d v="1899-12-30T09:56:00"/>
    <d v="1899-12-30T10:20:00"/>
    <d v="1899-12-30T10:22:00"/>
    <n v="39"/>
    <n v="24"/>
    <d v="1899-12-30T10:29:17"/>
    <d v="1899-12-30T11:00:00"/>
    <n v="31"/>
    <d v="1899-12-30T11:01:00"/>
    <d v="1899-12-30T11:30:00"/>
    <n v="29"/>
    <s v="SHME OR 16"/>
    <s v="Urology"/>
    <s v="No"/>
    <s v="Dicks, Brian Michael, Md"/>
    <s v="LITHOTRIPSY, EXTRACORPOREAL SHOCK WAVE_x000a_CYSTOURETHROSCOPY, WITH INSERTION OF INDWELLING URETERAL STENT (EG,GIBBONS OR DOUBLE-J TYPE)_x000a_UROGRAPHY, RETROGRADE, WITH OR WITHOUT KUB"/>
    <s v="LEFT EXTRACORPOREAL SHOCK WAVE LITHOTRIPSY, POSSIBLE CYSTOSCOPY, RETROGRADE PYELOGRAM AND STENT PLACEMENT - Left"/>
    <s v="Tue"/>
    <m/>
    <m/>
    <m/>
    <s v="DICKS, BRIAN MICHAEL"/>
    <m/>
    <s v="Brian Michael Dicks, MD"/>
    <m/>
    <s v="Dicks"/>
  </r>
  <r>
    <d v="2026-08-11T00:00:00"/>
    <s v="6584636"/>
    <s v="Yang, Va V"/>
    <s v="Inpatient"/>
    <x v="0"/>
    <n v="3901439088"/>
    <s v="810324071"/>
    <d v="1960-02-19T00:00:00"/>
    <s v="Baja, Diosdado An Jr., MD"/>
    <s v="General"/>
    <s v="2"/>
    <d v="1899-12-30T07:30:00"/>
    <d v="1899-12-30T10:10:00"/>
    <n v="160"/>
    <d v="1899-12-30T07:30:00"/>
    <d v="1899-12-30T09:30:00"/>
    <n v="120"/>
    <d v="1899-12-30T07:30:00"/>
    <d v="1899-12-30T10:04:00"/>
    <n v="154"/>
    <d v="1899-12-30T08:05:00"/>
    <d v="1899-12-30T09:54:00"/>
    <d v="1899-12-30T10:04:00"/>
    <n v="154"/>
    <n v="109"/>
    <d v="1899-12-30T10:05:00"/>
    <d v="1899-12-30T10:31:00"/>
    <n v="26"/>
    <m/>
    <m/>
    <m/>
    <s v="SHME OR 09"/>
    <s v="Urology"/>
    <s v="Not on file"/>
    <s v="Roberts, James Lincoln, Md"/>
    <s v="PERCUTANEOUS NEPHROLITHOTOMY OR PYELOLITHOTOMY, LITHOTRIPSY, STONE EXTRACTION, ANTEGRADE URETEROSCOPY, ANTEGRADE STENT PLACEMENT AND NEPHROSTOMY TUBE PLACEMENT, WHEN PERFORMED, INCLUDING IMAGING"/>
    <s v="LEFT PERCUTANEOUS NEPHROLITHOTOMY - Left"/>
    <s v="Tue"/>
    <m/>
    <m/>
    <m/>
    <s v="ROBERTS, JAMES LINCOLN"/>
    <m/>
    <s v="James Lincoln Roberts, MD"/>
    <m/>
    <s v="Roberts"/>
  </r>
  <r>
    <d v="2026-08-11T00:00:00"/>
    <s v="6589045"/>
    <s v="Empey, Garth M"/>
    <s v="Outpatient"/>
    <x v="1"/>
    <n v="3901439971"/>
    <s v="110186566"/>
    <d v="1937-10-31T00:00:00"/>
    <s v="Baja, Diosdado An Jr., MD"/>
    <s v="General"/>
    <s v="3"/>
    <d v="1899-12-30T10:40:00"/>
    <d v="1899-12-30T11:31:00"/>
    <n v="51"/>
    <d v="1899-12-30T10:00:00"/>
    <d v="1899-12-30T11:00:00"/>
    <n v="60"/>
    <d v="1899-12-30T10:40:00"/>
    <d v="1899-12-30T11:26:00"/>
    <n v="46"/>
    <d v="1899-12-30T10:57:00"/>
    <d v="1899-12-30T11:22:00"/>
    <d v="1899-12-30T11:26:00"/>
    <n v="46"/>
    <n v="25"/>
    <d v="1899-12-30T11:28:59"/>
    <d v="1899-12-30T12:16:00"/>
    <n v="48"/>
    <d v="1899-12-30T12:16:00"/>
    <d v="1899-12-30T13:13:06"/>
    <n v="57"/>
    <s v="SHME OR 03"/>
    <s v="Urology"/>
    <s v="No"/>
    <s v="Roberts, James Lincoln, Md"/>
    <s v="CYSTOURETHROSCOPY WITH DIRECT VISION INTERNAL URETHROTOMY"/>
    <s v="CYSTOURETHROSCOPY WITH DIRECT VISION INTERNAL URETHROTOMY, WITH OPTILUME BALLOON, AND POSSIBLE BLADDER BIOPSY - N/A"/>
    <s v="Tue"/>
    <m/>
    <m/>
    <m/>
    <s v="ROBERTS, JAMES LINCOLN"/>
    <m/>
    <s v="James Lincoln Roberts, MD"/>
    <m/>
    <s v="Roberts"/>
  </r>
  <r>
    <d v="2026-08-11T00:00:00"/>
    <s v="6589193"/>
    <s v="Jackson, Carrie L"/>
    <s v="Outpatient"/>
    <x v="1"/>
    <n v="3901439998"/>
    <s v="700202053"/>
    <d v="1974-05-29T00:00:00"/>
    <s v="Ramos, Joshua Neftalie, MD"/>
    <s v="General"/>
    <s v="2"/>
    <d v="1899-12-30T09:51:00"/>
    <d v="1899-12-30T12:34:00"/>
    <n v="163"/>
    <d v="1899-12-30T09:30:00"/>
    <d v="1899-12-30T12:30:00"/>
    <n v="180"/>
    <d v="1899-12-30T09:51:00"/>
    <d v="1899-12-30T12:25:00"/>
    <n v="154"/>
    <d v="1899-12-30T10:34:00"/>
    <d v="1899-12-30T12:18:00"/>
    <d v="1899-12-30T12:25:00"/>
    <n v="154"/>
    <n v="104"/>
    <d v="1899-12-30T12:27:00"/>
    <d v="1899-12-30T13:36:05"/>
    <n v="69"/>
    <m/>
    <m/>
    <m/>
    <s v="SHME OR 04"/>
    <s v="ENT"/>
    <s v="No"/>
    <s v="Mansfield, Perry Thomas, Md, Frcpc"/>
    <s v="CERVICAL LYMPHADENECTOMY (MODIFIED RADICAL NECK DISSECTION)_x000a_PARATHYROIDECTOMY OR EXPLORATION OF PARATHYROID(S); WITH MEDIASTINALEXPLORATION, STERNAL SPLIT OR TRANSTHORACIC APPROACH_x000a_THYROIDECTOMY, TOTAL OR SUBTOTAL FOR MALIGNANCY; WITH LIMITED NECKDISSECTION_x000a_EXPLORATION (NOT FOLLOWED BY SURGICAL REPAIR), WITH OR WITHOUT LYSIS OFARTERY; CAROTID ARTERY"/>
    <s v="TOTAL THYROIDECTOMY AND BILATERAL MODIFIED RADICAL NECK DISSECTION - Bilateral"/>
    <s v="Tue"/>
    <m/>
    <m/>
    <m/>
    <s v="MANSFIELD, PERRY THOMAS"/>
    <m/>
    <s v="Perry Thomas Mansfield, MD, FRCPC"/>
    <m/>
    <s v="Mansfield"/>
  </r>
  <r>
    <d v="2026-08-11T00:00:00"/>
    <s v="6591093"/>
    <s v="Nunez, Vanessa C"/>
    <s v="Outpatient"/>
    <x v="1"/>
    <n v="3901440352"/>
    <s v="701698003"/>
    <d v="1991-03-06T00:00:00"/>
    <s v="Chitlur, Abhijith Harish, MD"/>
    <s v="General"/>
    <s v="1"/>
    <d v="1899-12-30T09:43:00"/>
    <d v="1899-12-30T10:43:00"/>
    <n v="60"/>
    <d v="1899-12-30T09:00:00"/>
    <d v="1899-12-30T09:45:00"/>
    <n v="45"/>
    <d v="1899-12-30T09:43:00"/>
    <d v="1899-12-30T10:37:00"/>
    <n v="54"/>
    <d v="1899-12-30T10:07:00"/>
    <d v="1899-12-30T10:33:00"/>
    <d v="1899-12-30T10:37:00"/>
    <n v="54"/>
    <n v="26"/>
    <d v="1899-12-30T10:40:09"/>
    <d v="1899-12-30T11:00:00"/>
    <n v="20"/>
    <d v="1899-12-30T11:01:00"/>
    <d v="1899-12-30T11:50:00"/>
    <n v="49"/>
    <s v="SHME OR 02"/>
    <s v="Gynecology"/>
    <s v="No"/>
    <s v="Gonzalez, Marisa Camille, Md"/>
    <s v="HYSTEROSCOPY, SURGICAL; WITH SAMPLING (BIOPSY) OF ENDOMETRIUM AND/ORPOLYPECTOMY, WITH OR WITHOUT D &amp; C_x000a_HYSTEROSCOPY, SURGICAL; WITH LYSIS OF INTRAUTERINE ADHESIONS (ANYMETHOD)"/>
    <s v="HYSTEROSCOPIC POLYPECTOMY EXCISION OF SYNECHIAE (MYOSURE NEEDED) - N/A"/>
    <s v="Tue"/>
    <m/>
    <m/>
    <m/>
    <s v="GONZALEZ, MARISA CAMILLE"/>
    <m/>
    <s v="Marisa Camille Gonzalez, MD"/>
    <m/>
    <s v="Gonzalez"/>
  </r>
  <r>
    <d v="2026-08-11T00:00:00"/>
    <s v="6596996"/>
    <s v="Simpson, Steven"/>
    <s v="Inpatient"/>
    <x v="0"/>
    <n v="3901442359"/>
    <s v="700562831"/>
    <d v="1954-03-25T00:00:00"/>
    <s v="Stradleigh, Ryan Kellian, DO"/>
    <s v="General"/>
    <s v="3"/>
    <d v="1899-12-30T07:26:00"/>
    <d v="1899-12-30T14:26:00"/>
    <n v="420"/>
    <d v="1899-12-30T07:30:00"/>
    <d v="1899-12-30T15:30:00"/>
    <n v="480"/>
    <d v="1899-12-30T07:26:00"/>
    <d v="1899-12-30T14:13:00"/>
    <n v="407"/>
    <d v="1899-12-30T08:47:00"/>
    <d v="1899-12-30T13:54:00"/>
    <d v="1899-12-30T14:13:00"/>
    <n v="407"/>
    <n v="307"/>
    <m/>
    <m/>
    <m/>
    <m/>
    <m/>
    <m/>
    <s v="SHME OR 05"/>
    <s v="ENT"/>
    <s v="No"/>
    <s v="Brumund, Kevin Thomas, Md"/>
    <s v="EXCISION, MALIGNANT LESION INCLUDING MARGINS, SCALP, NECK, HANDS, FEET,GENITALIA; EXCISED DIAMETER OVER 4.0 CM_x000a_RADICAL RESECTION OF TUMOR (EG, SARCOMA), SOFT TISSUE OF FACE ORSCALP; 2 CM OR GREATER_x000a_BIOPSY OR EXCISION OF LYMPH NODE(S); OPEN, DEEP CERVICAL NODE(S)_x000a_INTRAOPERATIVE IDENTIFICATION (EG, MAPPING) OF SENTINEL LYMPH NODE(S)INCLUDES INJECTION OF NON-RADIOACTIVE DYE, WHEN PERFORMED (LISTSEPARATELY IN ADDITION TO CODE FOR PRIMARY PROCEDURE)_x000a_EXCISION OF PAROTID TUMOR OR PAROTID GLAND; LATERAL LOBE, WITHDISSECTION AND PRESERVATION OF FACIAL NERVE_x000a_FREE MUSCLE OR MYOCUTANEOUS FLAP WITH MICROVASCULAR ANASTOMOSIS_x000a_SPLIT-THICKNESS AUTOGRAFT, TRUNK, ARMS, LEGS; FIRST 100 SQ CM OR LESS,OR 1% OF BODY AREA OF INFANTS AND CHILDREN (EXCEPT 15050)_x000a_SUPRAHYOID LYMPHADENECTOMY_x000a_SPLIT-THICKNESS AUTOGRAFT, TRUNK, ARMS, LEGS; EACH ADDITIONAL 100 SQ CM,OR EACH ADDITIONAL 1% OF BODY AREA OF INFANTS AND CHILDREN, OR PARTTHEREOF (LIST SEPARATELY IN ADDITION TO CODE FOR PRIMARY PR_x000a_NERVE GRAFT (INCLUDES OBTAINING GRAFT), HEAD OR NECK; MORE THAN 4 CMLENGTH"/>
    <s v="WIDE EXCISION AND RADICAL RESECTION OF SCALP TUMOR, SENTINEL LYMPH NODE MAPPING AND BIOPSY, POSSIBLE RIGHT OR LEFT PAROTIDECTOMY - N/A"/>
    <s v="Tue"/>
    <m/>
    <m/>
    <m/>
    <s v="BRUMUND, KEVIN THOMAS_x000a_GARG, RAVI"/>
    <s v="Panel 1: Dr. Brumund, Kevin Thomas, MD_x000a_Panel 2: Dr. Garg, Ravi, MD"/>
    <s v="Kevin Thomas Brumund, MD_x000a_Ravi Garg, MD"/>
    <m/>
    <s v="Brumund, Garg"/>
  </r>
  <r>
    <d v="2026-08-11T00:00:00"/>
    <s v="6609734"/>
    <s v="Lanning, Scott K"/>
    <s v="Outpatient"/>
    <x v="1"/>
    <n v="3901446605"/>
    <s v="602561263"/>
    <d v="1959-12-18T00:00:00"/>
    <s v="Ngo, Donald Hanh, MD"/>
    <s v="General"/>
    <s v="3"/>
    <d v="1899-12-30T12:31:00"/>
    <d v="1899-12-30T13:36:00"/>
    <n v="65"/>
    <d v="1899-12-30T12:30:00"/>
    <d v="1899-12-30T13:30:00"/>
    <n v="60"/>
    <d v="1899-12-30T12:31:00"/>
    <d v="1899-12-30T13:31:00"/>
    <n v="60"/>
    <d v="1899-12-30T12:51:00"/>
    <d v="1899-12-30T13:27:00"/>
    <d v="1899-12-30T13:31:00"/>
    <n v="60"/>
    <n v="36"/>
    <d v="1899-12-30T13:35:00"/>
    <d v="1899-12-30T14:14:00"/>
    <n v="39"/>
    <d v="1899-12-30T14:15:00"/>
    <d v="1899-12-30T14:42:54"/>
    <n v="27"/>
    <s v="SHME OR 16"/>
    <s v="ENT"/>
    <s v="No"/>
    <s v="Brumund, Kevin Thomas, Md"/>
    <s v="BIOPSY OR EXCISION OF LYMPH NODE(S); OPEN, DEEP CERVICAL NODE(S)"/>
    <s v="EXCISIONAL BIOPSY LEFT NECK LYMPH NODE - Left"/>
    <s v="Tue"/>
    <m/>
    <m/>
    <m/>
    <s v="BRUMUND, KEVIN THOMAS"/>
    <m/>
    <s v="Kevin Thomas Brumund, MD"/>
    <m/>
    <s v="Brumund"/>
  </r>
  <r>
    <d v="2026-08-11T00:00:00"/>
    <s v="6612878"/>
    <s v="Padua, Antonio J"/>
    <s v="Outpatient"/>
    <x v="1"/>
    <n v="3901446900"/>
    <s v="701687301"/>
    <d v="1982-08-18T00:00:00"/>
    <s v="Billys, James Brian, MD"/>
    <s v="General"/>
    <s v="3"/>
    <d v="1899-12-30T07:37:00"/>
    <d v="1899-12-30T10:09:00"/>
    <n v="152"/>
    <d v="1899-12-30T07:30:00"/>
    <d v="1899-12-30T09:15:00"/>
    <n v="105"/>
    <d v="1899-12-30T07:37:00"/>
    <d v="1899-12-30T09:58:00"/>
    <n v="141"/>
    <d v="1899-12-30T08:32:00"/>
    <d v="1899-12-30T09:49:00"/>
    <d v="1899-12-30T09:58:00"/>
    <n v="141"/>
    <n v="77"/>
    <d v="1899-12-30T10:00:00"/>
    <d v="1899-12-30T11:39:01"/>
    <n v="99"/>
    <m/>
    <m/>
    <m/>
    <s v="SHME OR 15"/>
    <s v="General"/>
    <s v="No"/>
    <s v="Bertucci, William Robert, Md"/>
    <s v="LAPAROSCOPY, SURGICAL, GASTRIC RESTRICTIVE PROCEDURE; LONGITUDINALGASTRECTOMY (IE, SLEEVE GASTRECTOMY)"/>
    <s v="ROBOTIC GASTRIC SLEEVE - N/A"/>
    <s v="Tue"/>
    <m/>
    <m/>
    <m/>
    <s v="BERTUCCI, WILLIAM ROBERT_x000a_TALLER, JANOS"/>
    <s v="Panel 1: Dr. Bertucci, William Robert, MD / Taller, Janos, MD"/>
    <s v="William Robert Bertucci, MD"/>
    <m/>
    <s v="Bertucci"/>
  </r>
  <r>
    <d v="2026-08-11T00:00:00"/>
    <s v="6612887"/>
    <s v="Romero, Erika L"/>
    <s v="Inpatient"/>
    <x v="0"/>
    <n v="3901446902"/>
    <s v="110131197"/>
    <d v="1994-10-08T00:00:00"/>
    <s v="Billys, James Brian, MD"/>
    <s v="General"/>
    <s v="3"/>
    <d v="1899-12-30T14:12:00"/>
    <d v="1899-12-30T16:06:00"/>
    <n v="114"/>
    <d v="1899-12-30T12:00:00"/>
    <d v="1899-12-30T13:45:00"/>
    <n v="105"/>
    <d v="1899-12-30T14:12:00"/>
    <d v="1899-12-30T16:01:00"/>
    <n v="109"/>
    <d v="1899-12-30T14:53:00"/>
    <d v="1899-12-30T15:34:00"/>
    <d v="1899-12-30T16:01:00"/>
    <n v="109"/>
    <n v="41"/>
    <d v="1899-12-30T16:01:26"/>
    <d v="1899-12-30T17:30:00"/>
    <n v="89"/>
    <m/>
    <m/>
    <m/>
    <s v="SHME OR 15"/>
    <s v="General"/>
    <s v="No"/>
    <s v="Bertucci, William Robert, Md"/>
    <s v="LAPAROSCOPY, SURGICAL, GASTRIC RESTRICTIVE PROCEDURE; LONGITUDINALGASTRECTOMY (IE, SLEEVE GASTRECTOMY)"/>
    <s v="ROBOTIC GASTRIC SLEEVE - N/A"/>
    <s v="Tue"/>
    <m/>
    <m/>
    <m/>
    <s v="BERTUCCI, WILLIAM ROBERT_x000a_TALLER, JANOS"/>
    <s v="Panel 1: Dr. Bertucci, William Robert, MD / Taller, Janos, MD"/>
    <s v="William Robert Bertucci, MD"/>
    <m/>
    <s v="Bertucci"/>
  </r>
  <r>
    <d v="2026-08-11T00:00:00"/>
    <s v="6612897"/>
    <s v="Zacharie, Veronica L"/>
    <s v="Inpatient"/>
    <x v="0"/>
    <n v="3901446901"/>
    <s v="810984321"/>
    <d v="1984-04-06T00:00:00"/>
    <s v="Billys, James Brian, MD"/>
    <s v="General"/>
    <s v="3"/>
    <d v="1899-12-30T11:00:00"/>
    <d v="1899-12-30T13:22:00"/>
    <n v="142"/>
    <d v="1899-12-30T09:45:00"/>
    <d v="1899-12-30T11:30:00"/>
    <n v="105"/>
    <d v="1899-12-30T11:00:00"/>
    <d v="1899-12-30T13:15:00"/>
    <n v="135"/>
    <d v="1899-12-30T11:42:00"/>
    <d v="1899-12-30T12:39:00"/>
    <d v="1899-12-30T13:15:00"/>
    <n v="135"/>
    <n v="57"/>
    <d v="1899-12-30T13:17:30"/>
    <d v="1899-12-30T16:00:36"/>
    <n v="163"/>
    <m/>
    <m/>
    <m/>
    <s v="SHME OR 15"/>
    <s v="General"/>
    <s v="No"/>
    <s v="Taller, Janos, Md"/>
    <s v="LAPAROSCOPY, SURGICAL, GASTRIC RESTRICTIVE PROCEDURE; LONGITUDINALGASTRECTOMY (IE, SLEEVE GASTRECTOMY)"/>
    <s v="ROBOTIC SLEEVE GASTRECTOMY - N/A"/>
    <s v="Tue"/>
    <m/>
    <m/>
    <m/>
    <s v="TALLER, JANOS_x000a_BERTUCCI, WILLIAM ROBERT"/>
    <s v="Panel 1: Dr. Taller, Janos, MD / Bertucci, William Robert, MD"/>
    <s v="Janos Taller, MD"/>
    <m/>
    <s v="Taller"/>
  </r>
  <r>
    <d v="2026-08-11T00:00:00"/>
    <s v="6418644"/>
    <s v="Gehl, Mike T"/>
    <s v="Outpatient"/>
    <x v="1"/>
    <n v="3901408182"/>
    <s v="701508310"/>
    <d v="1948-10-28T00:00:00"/>
    <s v="Julian, Jeric Israel Burguillos, DO"/>
    <s v="General"/>
    <s v="3"/>
    <d v="1899-12-30T08:33:00"/>
    <d v="1899-12-30T09:25:00"/>
    <n v="52"/>
    <d v="1899-12-30T08:45:00"/>
    <d v="1899-12-30T09:30:00"/>
    <n v="45"/>
    <d v="1899-12-30T08:33:00"/>
    <d v="1899-12-30T09:20:00"/>
    <n v="47"/>
    <d v="1899-12-30T08:53:00"/>
    <d v="1899-12-30T09:18:00"/>
    <d v="1899-12-30T09:20:00"/>
    <n v="47"/>
    <n v="25"/>
    <d v="1899-12-30T09:22:45"/>
    <d v="1899-12-30T10:30:00"/>
    <n v="68"/>
    <d v="1899-12-30T10:30:00"/>
    <d v="1899-12-30T10:54:00"/>
    <n v="24"/>
    <s v="SHME OR 16"/>
    <s v="Urology"/>
    <s v="No"/>
    <s v="Dicks, Brian Michael, Md"/>
    <s v="LITHOTRIPSY, EXTRACORPOREAL SHOCK WAVE"/>
    <s v="LITHOTRIPSY, EXTRACORPOREAL SHOCK WAVE - Left"/>
    <s v="Tue"/>
    <m/>
    <m/>
    <m/>
    <s v="DICKS, BRIAN MICHAEL"/>
    <m/>
    <s v="Brian Michael Dicks, MD"/>
    <m/>
    <s v="Dicks"/>
  </r>
  <r>
    <d v="2026-08-11T00:00:00"/>
    <s v="6619878"/>
    <s v="Greenberg, Alan M"/>
    <s v="Outpatient"/>
    <x v="1"/>
    <n v="3901446152"/>
    <s v="605696488"/>
    <d v="1948-06-23T00:00:00"/>
    <s v="Baja, Diosdado An Jr., MD"/>
    <s v="Monitor Anesthesia Care"/>
    <s v="2"/>
    <d v="1899-12-30T12:08:00"/>
    <d v="1899-12-30T12:48:00"/>
    <n v="40"/>
    <d v="1899-12-30T11:30:00"/>
    <d v="1899-12-30T12:30:00"/>
    <n v="60"/>
    <d v="1899-12-30T12:08:00"/>
    <d v="1899-12-30T12:42:00"/>
    <n v="34"/>
    <d v="1899-12-30T12:30:00"/>
    <d v="1899-12-30T12:38:00"/>
    <d v="1899-12-30T12:42:00"/>
    <n v="34"/>
    <n v="8"/>
    <d v="1899-12-30T12:46:04"/>
    <d v="1899-12-30T13:45:00"/>
    <n v="59"/>
    <d v="1899-12-30T13:46:00"/>
    <d v="1899-12-30T14:12:00"/>
    <n v="26"/>
    <s v="SHME OR 03"/>
    <s v="Orthopedics"/>
    <s v="No"/>
    <s v="Mohler, Lester Randall, Md"/>
    <s v="TENDON SHEATH INCISION (EG, FOR TRIGGER FINGER)"/>
    <s v="LEFT RING FINGER FLEXOR TENDON SHEATH - Left"/>
    <s v="Tue"/>
    <m/>
    <m/>
    <m/>
    <s v="MOHLER, LESTER RANDALL"/>
    <m/>
    <s v="Lester Randall Mohler, MD"/>
    <m/>
    <s v="Mohler"/>
  </r>
  <r>
    <d v="2026-08-11T00:00:00"/>
    <s v="6621924"/>
    <s v="Zamudio, Aimee"/>
    <s v="Inpatient"/>
    <x v="0"/>
    <n v="3901446645"/>
    <s v="811453219"/>
    <d v="2000-12-01T00:00:00"/>
    <s v="Ramos, Joshua Neftalie, MD"/>
    <s v="General"/>
    <s v="2"/>
    <d v="1899-12-30T13:18:00"/>
    <d v="1899-12-30T15:18:00"/>
    <n v="120"/>
    <d v="1899-12-30T13:00:00"/>
    <d v="1899-12-30T16:00:00"/>
    <n v="180"/>
    <d v="1899-12-30T13:18:00"/>
    <d v="1899-12-30T15:09:00"/>
    <n v="111"/>
    <d v="1899-12-30T13:54:00"/>
    <d v="1899-12-30T14:56:00"/>
    <d v="1899-12-30T15:09:00"/>
    <n v="111"/>
    <n v="62"/>
    <d v="1899-12-30T15:10:06"/>
    <d v="1899-12-30T15:22:45"/>
    <n v="12"/>
    <m/>
    <m/>
    <m/>
    <s v="SHME OR 09"/>
    <s v="Orthopedics"/>
    <s v="No"/>
    <s v="Quacinella, Michael Andrew, Do, Mph"/>
    <s v="PARTIAL EXCISION, WING OF ILIUM, SYMPHYSIS PUBIS, OR GREATER TROCHANTEROF FEMUR, (CRATERIZATION, SAUCERIZATION) (EG, OSTEOMYELITIS OR BONEABSCESS); DEEP (SUBFASCIAL OR INTRAMUSCULAR)_x000a_MANUAL APPLICATION OF STRESS PERFORMED BY PHYSICIAN OR OTHER QUALIFIEDHEALTH CARE PROFESSIONAL FOR JOINT RADIOGRAPHY, INCLUDING CONTRALATERALJOINT IF INDICATED"/>
    <s v="RIGHT HIP CORE DECOMPRESSION,STRESS EXAM - Right"/>
    <s v="Tue"/>
    <m/>
    <m/>
    <m/>
    <s v="QUACINELLA, MICHAEL ANDREW"/>
    <m/>
    <s v="Michael Andrew Quacinella, DO, MPH"/>
    <m/>
    <s v="Quacinella"/>
  </r>
  <r>
    <d v="2026-08-11T00:00:00"/>
    <s v="6442433"/>
    <s v="Fisher, Vontrece"/>
    <s v="Outpatient"/>
    <x v="1"/>
    <n v="3901412804"/>
    <s v="810077997"/>
    <d v="1984-01-27T00:00:00"/>
    <s v="Li, Robin T, MD"/>
    <s v="General"/>
    <s v="2"/>
    <d v="1899-12-30T07:39:00"/>
    <d v="1899-12-30T10:14:00"/>
    <n v="155"/>
    <d v="1899-12-30T07:30:00"/>
    <d v="1899-12-30T09:45:00"/>
    <n v="135"/>
    <d v="1899-12-30T07:39:00"/>
    <d v="1899-12-30T10:04:00"/>
    <n v="145"/>
    <d v="1899-12-30T08:19:00"/>
    <d v="1899-12-30T09:58:00"/>
    <d v="1899-12-30T10:04:00"/>
    <n v="145"/>
    <n v="99"/>
    <d v="1899-12-30T10:12:13"/>
    <d v="1899-12-30T12:47:29"/>
    <n v="155"/>
    <d v="1899-12-30T12:47:31"/>
    <d v="1899-12-30T13:09:48"/>
    <n v="22"/>
    <s v="SHME OR 10"/>
    <s v="Gynecology"/>
    <s v="No"/>
    <s v="Sandoval, Rebeca, Md"/>
    <s v="LAPAROSCOPY, SURGICAL, WITH TOTAL HYSTERECTOMY, FOR UTERUS 250 G ORLESS; WITH REMOVAL OF TUBE(S) AND/OR OVARY(S)"/>
    <s v="ROBOTIC ASSISTED TOTAL LAPAROSCOPIC HYSTERECTOMY WITH BILATERAL SALPINGECTOMY - Bilateral"/>
    <s v="Tue"/>
    <m/>
    <m/>
    <m/>
    <s v="SANDOVAL, REBECA_x000a_JAIME, CINDY MARGARITA"/>
    <s v="Panel 1: Dr. Sandoval, Rebeca, MD / Jaime, Cindy Margarita, MD"/>
    <s v="Rebeca Sandoval, MD"/>
    <m/>
    <s v="Sandoval"/>
  </r>
  <r>
    <d v="2026-08-11T00:00:00"/>
    <s v="6631571"/>
    <s v="Evans, Gloria"/>
    <s v="Inpatient"/>
    <x v="0"/>
    <n v="3901441220"/>
    <s v="811480083"/>
    <d v="1965-02-23T00:00:00"/>
    <s v="Ngo, Donald Hanh, MD"/>
    <s v="General"/>
    <s v="3"/>
    <d v="1899-12-30T07:30:00"/>
    <d v="1899-12-30T10:05:00"/>
    <n v="155"/>
    <d v="1899-12-30T07:30:00"/>
    <d v="1899-12-30T10:00:00"/>
    <n v="150"/>
    <d v="1899-12-30T07:30:00"/>
    <d v="1899-12-30T10:00:00"/>
    <n v="150"/>
    <d v="1899-12-30T08:05:00"/>
    <d v="1899-12-30T09:56:00"/>
    <d v="1899-12-30T10:00:00"/>
    <n v="150"/>
    <n v="111"/>
    <d v="1899-12-30T10:03:00"/>
    <d v="1899-12-30T11:19:00"/>
    <n v="76"/>
    <m/>
    <m/>
    <m/>
    <s v="SHME OR 06"/>
    <s v="Vascular"/>
    <s v="Yes"/>
    <s v="Fernandez, Nathanial, Md"/>
    <s v="CREATION OF ARTERIOVENOUS FISTULA BY OTHER THAN DIRECT ARTERIOVENOUSANASTOMOSIS (SEPARATE PROCEDURE); NONAUTOGENOUS GRAFT (EG, BIOLOGICALCOLLAGEN, THERMOPLASTIC GRAFT)"/>
    <s v="LEFT UPPER EXTREMITY ARTERIOVENOUS GRAFT - Left"/>
    <s v="Tue"/>
    <m/>
    <m/>
    <m/>
    <s v="FERNANDEZ, NATHANIAL"/>
    <m/>
    <s v="Nathanial Fernandez, MD"/>
    <m/>
    <s v="Fernandez"/>
  </r>
  <r>
    <d v="2026-08-11T00:00:00"/>
    <s v="6638127"/>
    <s v="Friedman, Milton David"/>
    <s v="Inpatient"/>
    <x v="0"/>
    <n v="3901441280"/>
    <s v="700361789"/>
    <d v="1941-06-16T00:00:00"/>
    <s v="Yehushua, Liora, MD"/>
    <s v="Regional"/>
    <s v="3"/>
    <d v="1899-12-30T15:15:00"/>
    <d v="1899-12-30T19:41:00"/>
    <n v="266"/>
    <d v="1899-12-30T14:30:00"/>
    <d v="1899-12-30T16:30:00"/>
    <n v="120"/>
    <d v="1899-12-30T15:15:00"/>
    <d v="1899-12-30T19:03:00"/>
    <n v="228"/>
    <d v="1899-12-30T16:07:00"/>
    <d v="1899-12-30T18:38:00"/>
    <d v="1899-12-30T19:03:00"/>
    <n v="228"/>
    <n v="151"/>
    <d v="1899-12-30T19:05:00"/>
    <d v="1899-12-30T20:50:00"/>
    <n v="105"/>
    <m/>
    <m/>
    <m/>
    <s v="SHME OR 03"/>
    <s v="Urology"/>
    <s v="No"/>
    <s v="Salem, Carol Elizabeth, Md"/>
    <s v="ENTEROLYSIS (FREEING OF INTESTINAL ADHESION) (SEPARATE PROCEDURE)"/>
    <s v="ABDOMINAL EXPLORATION INTESTIONAL LYSIS - N/A"/>
    <s v="Tue"/>
    <m/>
    <m/>
    <m/>
    <s v="SALEM, CAROL ELIZABETH"/>
    <m/>
    <s v="Carol Elizabeth Salem, MD"/>
    <m/>
    <s v="Salem"/>
  </r>
  <r>
    <d v="2026-08-11T00:00:00"/>
    <s v="6638926"/>
    <s v="Martin, Donald F"/>
    <s v="Inpatient"/>
    <x v="0"/>
    <n v="3901448490"/>
    <s v="100076273"/>
    <d v="1957-07-17T00:00:00"/>
    <s v="Yehushua, Liora, MD"/>
    <s v="Regional"/>
    <s v="4"/>
    <d v="1899-12-30T06:23:00"/>
    <d v="1899-12-30T14:54:00"/>
    <n v="511"/>
    <d v="1899-12-30T06:15:00"/>
    <d v="1899-12-30T12:15:00"/>
    <n v="360"/>
    <d v="1899-12-30T06:23:00"/>
    <d v="1899-12-30T14:41:00"/>
    <n v="498"/>
    <d v="1899-12-30T08:13:00"/>
    <d v="1899-12-30T14:07:00"/>
    <d v="1899-12-30T14:41:00"/>
    <n v="498"/>
    <n v="354"/>
    <m/>
    <m/>
    <m/>
    <m/>
    <m/>
    <m/>
    <s v="SHME OR 07"/>
    <s v="Cardiothoracic"/>
    <s v="Yes"/>
    <s v="Williams, David Mccann, Md"/>
    <s v="CORONARY ARTERY BYPASS, USING ARTERIAL GRAFT(S); 3 CORONARY ARTERIALGRAFTS_x000a_ENDOSCOPY, SURGICAL, INCLUDING VIDEO-ASSISTED HARVEST OF VEIN(S) FORCORONARY ARTERY BYPASS PROCEDURE (LIST SEPARATELY IN ADDITION TO CODEFOR PRIMARY PROCEDURE)"/>
    <s v="CORONARY ARTERY BYPASS GRAFT; LEFT INTERNAL MAMMARY ARTERY; ENDOSCOPIC VEIN HARVEST - N/A"/>
    <s v="Tue"/>
    <m/>
    <m/>
    <m/>
    <s v="WILLIAMS, DAVID MCCANN_x000a_FERNANDEZ, NATHANIAL"/>
    <s v="Panel 1: Dr. Williams, David McCann, MD / Fernandez, Nathanial, MD"/>
    <s v="David McCann Williams, MD"/>
    <m/>
    <s v="Williams"/>
  </r>
  <r>
    <d v="2026-08-11T00:00:00"/>
    <s v="6639568"/>
    <s v="Fowler, John D"/>
    <s v="Inpatient"/>
    <x v="0"/>
    <n v="3901449542"/>
    <s v="811137236"/>
    <d v="1952-05-27T00:00:00"/>
    <s v="Ngo, Donald Hanh, MD"/>
    <s v="General"/>
    <s v="3"/>
    <d v="1899-12-30T14:42:00"/>
    <d v="1899-12-30T17:46:00"/>
    <n v="184"/>
    <d v="1899-12-30T14:00:00"/>
    <d v="1899-12-30T17:00:00"/>
    <n v="180"/>
    <d v="1899-12-30T14:42:00"/>
    <d v="1899-12-30T17:31:00"/>
    <n v="169"/>
    <d v="1899-12-30T15:13:00"/>
    <d v="1899-12-30T17:18:00"/>
    <d v="1899-12-30T17:31:00"/>
    <n v="169"/>
    <n v="125"/>
    <m/>
    <m/>
    <m/>
    <m/>
    <m/>
    <m/>
    <s v="SHME OR 02"/>
    <s v="Vascular"/>
    <s v="No"/>
    <s v="Fernandez, Nathanial, Md"/>
    <s v="THROMBOENDARTERECTOMY, INCLUDING PATCH GRAFT, IF PERFORMED; CAROTID,VERTEBRAL, SUBCLAVIAN, BY NECK INCISION"/>
    <s v="LEFT CAROTID ENDARTERECTOMY - Left"/>
    <s v="Tue"/>
    <m/>
    <m/>
    <m/>
    <s v="FERNANDEZ, NATHANIAL"/>
    <m/>
    <s v="Nathanial Fernandez, MD"/>
    <m/>
    <s v="Fernandez"/>
  </r>
  <r>
    <d v="2026-08-11T00:00:00"/>
    <s v="6639765"/>
    <s v="Bravo, Roberto C"/>
    <s v="Inpatient"/>
    <x v="0"/>
    <n v="3901447465"/>
    <s v="811259282"/>
    <d v="1988-10-17T00:00:00"/>
    <s v="Chitlur, Abhijith Harish, MD"/>
    <s v="Regional"/>
    <s v="2"/>
    <d v="1899-12-30T18:52:00"/>
    <d v="1899-12-30T23:14:00"/>
    <n v="262"/>
    <d v="1899-12-30T17:15:00"/>
    <d v="1899-12-30T19:15:00"/>
    <n v="120"/>
    <d v="1899-12-30T18:52:00"/>
    <d v="1899-12-30T23:08:00"/>
    <n v="256"/>
    <d v="1899-12-30T19:19:00"/>
    <d v="1899-12-30T23:00:00"/>
    <d v="1899-12-30T23:08:00"/>
    <n v="256"/>
    <n v="221"/>
    <d v="1899-12-30T23:10:45"/>
    <d v="1899-12-30T00:39:00"/>
    <n v="89"/>
    <m/>
    <m/>
    <m/>
    <s v="SHME OR 07"/>
    <s v="Urology"/>
    <s v="No"/>
    <s v="Salem, Carol Elizabeth, Md"/>
    <s v="ENTEROLYSIS (FREEING OF INTESTINAL ADHESION) (SEPARATE PROCEDURE)"/>
    <s v="ABDOMINAL EXPLORATORY INTESTINAL LYSIS - N/A"/>
    <s v="Tue"/>
    <m/>
    <m/>
    <m/>
    <s v="SALEM, CAROL ELIZABETH"/>
    <m/>
    <s v="Carol Elizabeth Salem, MD"/>
    <m/>
    <s v="Salem"/>
  </r>
  <r>
    <d v="2026-08-11T00:00:00"/>
    <s v="6641771"/>
    <s v="Cleto Luvianos, Victor Moises"/>
    <s v="Inpatient"/>
    <x v="0"/>
    <n v="3901447721"/>
    <s v="811484604"/>
    <d v="1993-08-07T00:00:00"/>
    <s v="Julian, Jeric Israel Burguillos, DO"/>
    <s v="General"/>
    <s v="3"/>
    <d v="1899-12-30T11:10:00"/>
    <d v="1899-12-30T14:38:00"/>
    <n v="208"/>
    <d v="1899-12-30T11:00:00"/>
    <d v="1899-12-30T13:55:00"/>
    <n v="175"/>
    <d v="1899-12-30T11:19:00"/>
    <d v="1899-12-30T14:30:00"/>
    <n v="191"/>
    <d v="1899-12-30T12:00:00"/>
    <d v="1899-12-30T14:07:00"/>
    <d v="1899-12-30T14:30:00"/>
    <n v="191"/>
    <n v="127"/>
    <m/>
    <m/>
    <m/>
    <m/>
    <m/>
    <m/>
    <s v="SHME OR 06"/>
    <s v="General"/>
    <s v="No"/>
    <s v="Krzyzaniak, Michael Joseph, Md"/>
    <s v="THORACOSCOPY, DIAGNOSTIC (SEPARATE PROCEDURE); LUNGS AND PLEURAL SPACE,WITHOUT BIOPSY_x000a_INJECTION, ANESTHETIC AGENT; INTERCOSTAL NERVE, SINGLE_x000a_OPEN TREATMENT OF RIB FRACTURE(S) WITH INTERNAL FIXATION, INCLUDESTHORACOSCOPIC VISUALIZATION WHEN PERFORMED, UNILATERAL; 4-6 RIBS"/>
    <s v="THORACOSCOPY, DIAGNOSTIC (SEPARATE PROCEDURE); LUNGS AND PLEURAL SPACE,WITHOUT BIOPSY - Left"/>
    <s v="Tue"/>
    <m/>
    <m/>
    <m/>
    <s v="KUHN, KEVIN MATTHEW_x000a_KRZYZANIAK, MICHAEL JOSEPH_x000a_KUHN, KEVIN MATTHEW_x000a_SIMPSON, AMELIA JEAN"/>
    <s v="Panel 1: Dr. Simpson, Amelia Jean, MD / Krzyzaniak, Michael Joseph, MD / Kuhn, Kevin Matthew, MD_x000a_Panel 2: Dr. Kuhn, Kevin Matthew, MD"/>
    <s v="Amelia Jean Simpson, MD_x000a_Kevin Matthew Kuhn, MD"/>
    <m/>
    <s v="Simpson, Kuhn"/>
  </r>
  <r>
    <d v="2026-08-11T00:00:00"/>
    <s v="6642734"/>
    <s v="Williams, Koby Jerrel"/>
    <s v="Inpatient"/>
    <x v="0"/>
    <n v="3901450461"/>
    <s v="811486482"/>
    <d v="1997-02-25T00:00:00"/>
    <s v="Chitlur, Abhijith Harish, MD"/>
    <s v="General"/>
    <s v="2"/>
    <d v="1899-12-30T11:13:00"/>
    <d v="1899-12-30T11:55:00"/>
    <n v="42"/>
    <d v="1899-12-30T10:45:00"/>
    <d v="1899-12-30T11:55:00"/>
    <n v="70"/>
    <d v="1899-12-30T11:13:00"/>
    <d v="1899-12-30T11:50:00"/>
    <n v="37"/>
    <d v="1899-12-30T11:33:00"/>
    <d v="1899-12-30T11:43:00"/>
    <d v="1899-12-30T11:50:00"/>
    <n v="37"/>
    <n v="10"/>
    <d v="1899-12-30T11:52:00"/>
    <d v="1899-12-30T12:38:00"/>
    <n v="46"/>
    <m/>
    <m/>
    <m/>
    <s v="SHME OR 02"/>
    <s v="Urology"/>
    <s v="No"/>
    <s v="Holden, Marc Mccaslin, Md"/>
    <s v="CYSTOURETHROSCOPY, WITH URETEROSCOPY AND/OR PYELOSCOPY; WITHLITHOTRIPSY INCLUDING INSERTION OF INDWELLING URETERAL STENT (EG,GIBBONS OR DOUBLE-J TYPE)"/>
    <s v="CYSTOURETHROSCOPY, WITH URETEROSCOPY AND/OR PYELOSCOPY; WITHLITHOTRIPSY INCLUDING INSERTION OF INDWELLING URETERAL STENT (EG,GIBBONS OR DOUBLE-J TYPE) - Left"/>
    <s v="Tue"/>
    <m/>
    <m/>
    <m/>
    <s v="HOLDEN, MARC MCCASLIN"/>
    <m/>
    <s v="Marc McCaslin Holden, MD"/>
    <m/>
    <s v="Holden"/>
  </r>
  <r>
    <d v="2026-08-11T00:00:00"/>
    <s v="6643951"/>
    <s v="Tadeo Hernandez, Irvin Orlando"/>
    <s v="Inpatient"/>
    <x v="0"/>
    <n v="3901450429"/>
    <s v="811486464"/>
    <d v="2005-03-13T00:00:00"/>
    <s v="Billys, James Brian, MD"/>
    <s v="General"/>
    <s v="2"/>
    <d v="1899-12-30T16:37:00"/>
    <d v="1899-12-30T17:36:00"/>
    <n v="59"/>
    <d v="1899-12-30T16:00:00"/>
    <d v="1899-12-30T17:05:00"/>
    <n v="65"/>
    <d v="1899-12-30T16:37:00"/>
    <d v="1899-12-30T17:31:00"/>
    <n v="54"/>
    <d v="1899-12-30T16:57:00"/>
    <d v="1899-12-30T17:23:00"/>
    <d v="1899-12-30T17:31:00"/>
    <n v="54"/>
    <n v="26"/>
    <d v="1899-12-30T17:32:00"/>
    <d v="1899-12-30T18:16:00"/>
    <n v="44"/>
    <m/>
    <m/>
    <m/>
    <s v="SHME OR 06"/>
    <s v="Orthopedics"/>
    <s v="No"/>
    <s v="Fabi, David William, Md"/>
    <s v="AMPUTATION, FINGER OR THUMB, PRIMARY OR SECONDARY, ANY JOINT OR PHALANX,SINGLE, INCLUDING NEURECTOMIES; WITH DIRECT CLOSURE"/>
    <s v="AMPUTATION, FINGER OR THUMB - Right"/>
    <s v="Tue"/>
    <m/>
    <m/>
    <m/>
    <s v="FABI, DAVID WILLIAM"/>
    <m/>
    <s v="David William Fabi, MD"/>
    <m/>
    <s v="Fabi"/>
  </r>
  <r>
    <d v="2026-08-11T00:00:00"/>
    <s v="6644928"/>
    <s v="Bogarin, Antonio"/>
    <s v="Inpatient"/>
    <x v="0"/>
    <n v="3400728976"/>
    <s v="811305696"/>
    <d v="1972-10-08T00:00:00"/>
    <s v="Chitlur, Abhijith Harish, MD"/>
    <s v="General"/>
    <s v="2"/>
    <d v="1899-12-30T17:57:00"/>
    <d v="1899-12-30T19:25:00"/>
    <n v="88"/>
    <d v="1899-12-30T18:05:00"/>
    <d v="1899-12-30T19:15:00"/>
    <n v="70"/>
    <d v="1899-12-30T17:57:00"/>
    <d v="1899-12-30T19:19:00"/>
    <n v="82"/>
    <d v="1899-12-30T18:16:00"/>
    <d v="1899-12-30T19:12:00"/>
    <d v="1899-12-30T19:19:00"/>
    <n v="82"/>
    <n v="56"/>
    <d v="1899-12-30T19:20:14"/>
    <d v="1899-12-30T20:30:01"/>
    <n v="70"/>
    <m/>
    <m/>
    <m/>
    <s v="SHME OR 06"/>
    <s v="Orthopedics"/>
    <s v="No"/>
    <s v="Fabi, David William, Md"/>
    <s v="DRAINAGE OF TENDON SHEATH, DIGIT AND/OR PALM, EACH"/>
    <s v="DRAINAGE OF TENDON SHEATH, DIGIT AND/OR PALM, EACH - Right"/>
    <s v="Tue"/>
    <m/>
    <m/>
    <m/>
    <s v="FABI, DAVID WILLIAM"/>
    <m/>
    <s v="David William Fabi, MD"/>
    <m/>
    <s v="Fabi"/>
  </r>
  <r>
    <d v="2026-08-11T00:00:00"/>
    <s v="6470797"/>
    <s v="Valdiviezo, Sunny Rachael"/>
    <s v="Outpatient"/>
    <x v="1"/>
    <n v="3901418429"/>
    <s v="810775960"/>
    <d v="1980-10-10T00:00:00"/>
    <s v="Chitlur, Abhijith Harish, MD"/>
    <s v="General"/>
    <s v="3"/>
    <d v="1899-12-30T07:44:00"/>
    <d v="1899-12-30T09:11:00"/>
    <n v="87"/>
    <d v="1899-12-30T07:30:00"/>
    <d v="1899-12-30T08:30:00"/>
    <n v="60"/>
    <d v="1899-12-30T07:44:00"/>
    <d v="1899-12-30T09:05:00"/>
    <n v="81"/>
    <d v="1899-12-30T08:08:00"/>
    <d v="1899-12-30T09:02:00"/>
    <d v="1899-12-30T09:05:00"/>
    <n v="81"/>
    <n v="54"/>
    <d v="1899-12-30T09:07:39"/>
    <d v="1899-12-30T09:45:00"/>
    <n v="38"/>
    <d v="1899-12-30T09:46:00"/>
    <d v="1899-12-30T10:19:00"/>
    <n v="33"/>
    <s v="SHME OR 02"/>
    <s v="Gynecology"/>
    <s v="No"/>
    <s v="Brahmbhatt, Bhoomi Manoj, Md"/>
    <s v="HYSTEROSCOPY, SURGICAL; WITH SAMPLING (BIOPSY) OF ENDOMETRIUM AND/ORPOLYPECTOMY, WITH OR WITHOUT D &amp; C"/>
    <s v="HYSTEROSCOPY DILATION AND CURETTAGE POLYPECTOMY - N/A"/>
    <s v="Tue"/>
    <m/>
    <m/>
    <m/>
    <s v="BRAHMBHATT, BHOOMI MANOJ"/>
    <m/>
    <s v="Bhoomi Manoj Brahmbhatt, MD (858-493-1833)"/>
    <m/>
    <s v="Brahmbhatt"/>
  </r>
  <r>
    <d v="2026-08-11T00:00:00"/>
    <s v="6472171"/>
    <s v="Marbach, Tarrah M"/>
    <s v="Outpatient"/>
    <x v="1"/>
    <n v="3901439840"/>
    <s v="810514822"/>
    <d v="1986-03-19T00:00:00"/>
    <s v="Chung, Michelle Sheryl, MD"/>
    <s v="General"/>
    <s v="2"/>
    <d v="1899-12-30T15:25:00"/>
    <d v="1899-12-30T16:10:00"/>
    <n v="45"/>
    <d v="1899-12-30T15:15:00"/>
    <d v="1899-12-30T16:00:00"/>
    <n v="45"/>
    <d v="1899-12-30T15:25:00"/>
    <d v="1899-12-30T16:04:00"/>
    <n v="39"/>
    <d v="1899-12-30T15:46:00"/>
    <d v="1899-12-30T16:01:00"/>
    <d v="1899-12-30T16:04:00"/>
    <n v="39"/>
    <n v="15"/>
    <d v="1899-12-30T16:07:14"/>
    <d v="1899-12-30T16:45:00"/>
    <n v="38"/>
    <d v="1899-12-30T16:46:00"/>
    <d v="1899-12-30T18:00:00"/>
    <n v="74"/>
    <s v="SHME OR 05"/>
    <s v="General"/>
    <s v="No"/>
    <s v="Lim, Lian, Md"/>
    <s v="HEMORRHOIDECTOMY, INTERNAL, BY LIGATION OTHER THAN RUBBER BAND; SINGLEHEMORRHOID COLUMN/GROUP"/>
    <s v="ANORECTAL EXAM UNDER ANESTHESIA, HEMORRHOIDECTOMY - N/A"/>
    <s v="Tue"/>
    <m/>
    <m/>
    <m/>
    <s v="LIM, LIAN"/>
    <m/>
    <s v="Lian Lim, MD"/>
    <m/>
    <s v="Lim"/>
  </r>
  <r>
    <d v="2026-08-11T00:00:00"/>
    <s v="6486709"/>
    <s v="Harvie, Ronald E"/>
    <s v="Outpatient"/>
    <x v="1"/>
    <n v="3901425956"/>
    <s v="811083914"/>
    <d v="1951-10-25T00:00:00"/>
    <s v="Chung, Michelle Sheryl, MD"/>
    <s v="General"/>
    <s v="2"/>
    <d v="1899-12-30T13:16:00"/>
    <d v="1899-12-30T14:54:00"/>
    <n v="98"/>
    <d v="1899-12-30T11:30:00"/>
    <d v="1899-12-30T13:15:00"/>
    <n v="105"/>
    <d v="1899-12-30T13:16:00"/>
    <d v="1899-12-30T14:50:00"/>
    <n v="94"/>
    <d v="1899-12-30T13:39:00"/>
    <d v="1899-12-30T14:45:00"/>
    <d v="1899-12-30T14:50:00"/>
    <n v="94"/>
    <n v="66"/>
    <d v="1899-12-30T14:56:49"/>
    <d v="1899-12-30T15:50:00"/>
    <n v="54"/>
    <d v="1899-12-30T15:51:00"/>
    <d v="1899-12-30T16:25:00"/>
    <n v="34"/>
    <s v="SHME OR 14"/>
    <s v="General"/>
    <s v="No"/>
    <s v="Lim, Lian, Md"/>
    <s v="LAPAROSCOPY, SURGICAL; REPAIR INITIAL INGUINAL HERNIA"/>
    <s v="ROBOTIC LEFT INGUINAL HERNIA REPAIR WITH MESH, POSSIBLE OPEN, POSSIBLE RIGHT INGUINAL HERNIA REPAIR WITH MESH - N/A"/>
    <s v="Tue"/>
    <m/>
    <m/>
    <m/>
    <s v="LIM, LIAN"/>
    <m/>
    <s v="Lian Lim, MD"/>
    <m/>
    <s v="Lim"/>
  </r>
  <r>
    <d v="2026-08-11T00:00:00"/>
    <s v="6494774"/>
    <s v="Avila, Gabriela"/>
    <s v="Inpatient"/>
    <x v="0"/>
    <n v="3901427069"/>
    <s v="810919526"/>
    <d v="1974-03-28T00:00:00"/>
    <s v="Chung, Michelle Sheryl, MD"/>
    <s v="General"/>
    <s v="3"/>
    <d v="1899-12-30T07:39:00"/>
    <d v="1899-12-30T12:32:00"/>
    <n v="293"/>
    <d v="1899-12-30T07:30:00"/>
    <d v="1899-12-30T11:00:00"/>
    <n v="210"/>
    <d v="1899-12-30T07:39:00"/>
    <d v="1899-12-30T12:28:00"/>
    <n v="289"/>
    <d v="1899-12-30T08:00:00"/>
    <d v="1899-12-30T12:19:00"/>
    <d v="1899-12-30T12:28:00"/>
    <n v="289"/>
    <n v="259"/>
    <d v="1899-12-30T12:29:19"/>
    <d v="1899-12-30T13:00:00"/>
    <n v="31"/>
    <m/>
    <m/>
    <m/>
    <s v="SHME OR 14"/>
    <s v="General"/>
    <s v="No"/>
    <s v="Lim, Lian, Md"/>
    <s v="LAPAROSCOPY, SURGICAL, GASTRIC RESTRICTIVE PROCEDURE; WITH GASTRICBYPASS AND ROUX-EN-Y GASTROENTEROSTOMY (ROUX LIMB 150 CM OR LESS)"/>
    <s v="ROBOTIC CONVERSION OF SLEEVE GASTRECTOMY TO ROUX-EN-Y GASTRIC BYPASS, POSSIBLE OPEN - N/A"/>
    <s v="Tue"/>
    <m/>
    <m/>
    <m/>
    <s v="LIM, LIAN"/>
    <m/>
    <s v="Lian Lim, MD"/>
    <m/>
    <s v="Lim"/>
  </r>
  <r>
    <d v="2026-08-11T00:00:00"/>
    <s v="6496744"/>
    <s v="Jaimes, Karla"/>
    <s v="Outpatient"/>
    <x v="1"/>
    <n v="3901429546"/>
    <s v="810207824"/>
    <d v="1989-04-06T00:00:00"/>
    <s v="Li, Robin T, MD"/>
    <s v="General"/>
    <s v="2"/>
    <d v="1899-12-30T14:01:00"/>
    <d v="1899-12-30T16:12:00"/>
    <n v="131"/>
    <d v="1899-12-30T14:00:00"/>
    <d v="1899-12-30T16:15:00"/>
    <n v="135"/>
    <d v="1899-12-30T14:01:00"/>
    <d v="1899-12-30T16:03:00"/>
    <n v="122"/>
    <d v="1899-12-30T14:30:00"/>
    <d v="1899-12-30T15:55:00"/>
    <d v="1899-12-30T16:03:00"/>
    <n v="122"/>
    <n v="85"/>
    <d v="1899-12-30T16:06:05"/>
    <d v="1899-12-30T17:14:00"/>
    <n v="68"/>
    <d v="1899-12-30T17:15:00"/>
    <d v="1899-12-30T17:53:21"/>
    <n v="38"/>
    <s v="SHME OR 10"/>
    <s v="Gynecology"/>
    <s v="No"/>
    <s v="Sandoval, Rebeca, Md"/>
    <s v="LAPAROSCOPY, SURGICAL, WITH TOTAL HYSTERECTOMY, FOR UTERUS 250 G ORLESS; WITH REMOVAL OF TUBE(S) AND/OR OVARY(S)"/>
    <s v="ROBOTIC ASSISTED TOTAL LAPAROSCOPIC HYSTERECTOMY WITH BILATERAL SALPINGECTOMY - Bilateral"/>
    <s v="Tue"/>
    <m/>
    <m/>
    <m/>
    <s v="SANDOVAL, REBECA_x000a_JAIME, CINDY MARGARITA"/>
    <s v="Panel 1: Dr. Sandoval, Rebeca, MD / Jaime, Cindy Margarita, MD"/>
    <s v="Rebeca Sandoval, MD"/>
    <s v="Jaime, Cindy Margarita"/>
    <s v="Sandoval"/>
  </r>
  <r>
    <d v="2026-08-11T00:00:00"/>
    <s v="6499162"/>
    <s v="Bentley, Miah W"/>
    <s v="Outpatient"/>
    <x v="1"/>
    <n v="3901441585"/>
    <s v="811020929"/>
    <d v="1992-03-18T00:00:00"/>
    <s v="Chung, Michelle Sheryl, MD"/>
    <s v="General"/>
    <s v="2"/>
    <d v="1899-12-30T16:45:00"/>
    <d v="1899-12-30T17:50:00"/>
    <n v="65"/>
    <d v="1899-12-30T16:30:00"/>
    <d v="1899-12-30T17:30:00"/>
    <n v="60"/>
    <d v="1899-12-30T16:45:00"/>
    <d v="1899-12-30T17:46:00"/>
    <n v="61"/>
    <d v="1899-12-30T17:00:00"/>
    <d v="1899-12-30T17:34:00"/>
    <d v="1899-12-30T17:46:00"/>
    <n v="61"/>
    <n v="34"/>
    <d v="1899-12-30T17:51:11"/>
    <d v="1899-12-30T18:56:06"/>
    <n v="65"/>
    <d v="1899-12-30T18:56:17"/>
    <d v="1899-12-30T19:44:38"/>
    <n v="48"/>
    <s v="SHME OR 05"/>
    <s v="General"/>
    <s v="No"/>
    <s v="Lim, Lian, Md"/>
    <s v="REPAIR OF ANTERIOR ABDOMINAL HERNIA(S) (IE, EPIGASTRIC, INCISIONAL, VENTRAL, UMBILICAL, SPIGELIAN), ANY APPROACH (IE, OPEN, LAPAROSCOPIC, ROBOTIC), INITIAL, INCLUDING IMPLANTATION OF MESH OR OTHER"/>
    <s v="OPEN UMBILICAL HERNIA REPAIR - N/A"/>
    <s v="Tue"/>
    <m/>
    <m/>
    <m/>
    <s v="LIM, LIAN"/>
    <m/>
    <s v="Lian Lim, MD"/>
    <m/>
    <s v="Lim"/>
  </r>
  <r>
    <d v="2026-08-11T00:00:00"/>
    <s v="6327567"/>
    <s v="Poting, Detlef H"/>
    <s v="Inpatient"/>
    <x v="0"/>
    <n v="3901450067"/>
    <s v="811320249"/>
    <d v="1950-10-09T00:00:00"/>
    <s v="Vasant, Kris Kishore, MD"/>
    <s v="Regional"/>
    <s v="4"/>
    <d v="1899-12-30T06:16:00"/>
    <d v="1899-12-30T12:30:00"/>
    <n v="374"/>
    <d v="1899-12-30T06:15:00"/>
    <d v="1899-12-30T12:15:00"/>
    <n v="360"/>
    <d v="1899-12-30T06:16:00"/>
    <d v="1899-12-30T12:17:00"/>
    <n v="361"/>
    <d v="1899-12-30T08:27:00"/>
    <d v="1899-12-30T12:05:00"/>
    <d v="1899-12-30T12:17:00"/>
    <n v="361"/>
    <n v="218"/>
    <m/>
    <m/>
    <m/>
    <m/>
    <m/>
    <m/>
    <s v="SHME OR 08"/>
    <s v="Cardiothoracic"/>
    <s v="No"/>
    <s v="Hemp, James Robert, Md"/>
    <s v="CORONARY ARTERY BYPASS, USING ARTERIAL GRAFT(S); 3 CORONARY ARTERIALGRAFTS"/>
    <s v="ROBOTIC CORONARY ARTERY BYPASS GRAFT; POSSIBLE STERNOTOMY - N/A"/>
    <s v="Tue"/>
    <m/>
    <m/>
    <m/>
    <s v="ISLAMI MANUCHEHRY, MOHAMMAD HOSEIN_x000a_HEMP, JAMES ROBERT"/>
    <s v="Panel 1: Dr. Hemp, James Robert, MD / Islami Manuchehry, Mohammad Hosein, MD"/>
    <s v="James Robert Hemp, MD"/>
    <m/>
    <s v="Hemp"/>
  </r>
  <r>
    <d v="2026-08-12T00:00:00"/>
    <s v="6518889"/>
    <s v="Walker, George C"/>
    <s v="Inpatient"/>
    <x v="0"/>
    <n v="3901427196"/>
    <s v="400458773"/>
    <d v="1940-01-04T00:00:00"/>
    <s v="Yehushua, Liora, MD"/>
    <s v="General"/>
    <s v="4"/>
    <d v="1899-12-30T10:21:00"/>
    <d v="1899-12-30T13:22:00"/>
    <n v="181"/>
    <d v="1899-12-30T11:00:00"/>
    <d v="1899-12-30T14:00:00"/>
    <n v="180"/>
    <d v="1899-12-30T10:21:00"/>
    <d v="1899-12-30T13:10:00"/>
    <n v="169"/>
    <d v="1899-12-30T11:12:00"/>
    <d v="1899-12-30T12:47:00"/>
    <d v="1899-12-30T13:10:00"/>
    <n v="169"/>
    <n v="95"/>
    <m/>
    <m/>
    <m/>
    <m/>
    <m/>
    <m/>
    <s v="SHME OR 07"/>
    <s v="General"/>
    <s v="Yes"/>
    <s v="Dieffenbach, Bryan Vinson, Md"/>
    <s v="ENDOVASCULAR REPAIR OF INFRARENAL AORTA AND/OR ILIAC ARTERY(IES) BY DEPLOYMENT OF AN AORTO-BI-ILIAC ENDOGRAFT INCLUDING PRE-PROCEDURE SIZING AND DEVICE SELECTION, ALL NONSELECTIVE CATHETERIZATION(S),_x000a_PERCUTANEOUS ACCESS AND CLOSURE OF FEMORAL ARTERY FOR DELIVERY OF ENDOGRAFT THROUGH A LARGE SHEATH (12 FRENCH OR LARGER), INCLUDING ULTRASOUND GUIDANCE, WHEN PERFORMED, UNILATERAL (LIST SEPARATELY IN_x000a_UNILATERAL ENDOVASCULAR ILIAC REVASCULARIZATION WITH TRANSLUMINAL ANGIOPLASTY, INCLUDING ARTERIAL ACCESS, SELECTIVE CATHETERIZATION, LESION CROSSING, AND IMAGING WITH RADIOLOGIC SUPERVISION_x000a_UNILATERAL ENDOVASCULAR ILIAC REVASCULARIZATION WITH TRANSLUMINAL ANGIOPLASTY FOR A COMPLEX LESION, INCLUDING ARTERIAL ACCESS, SELECTIVE CATHETERIZATION, LESION CROSSING, AND IMAGING SUPERVISION"/>
    <s v="ENDOVASCULAR STENT GRAFT REPAIR OF ABDOMINAL AORTIC ANEURYSM - N/A"/>
    <s v="Wed"/>
    <m/>
    <m/>
    <m/>
    <s v="DIEFFENBACH, BRYAN VINSON_x000a_FERNANDEZ, NATHANIAL_x000a_ROTHENBERG, EDWARD SAMUEL"/>
    <s v="Panel 1: Dr. Dieffenbach, Bryan Vinson, MD / Fernandez, Nathanial, MD / Rothenberg, Edward Samuel, MD"/>
    <s v="Bryan Vinson Dieffenbach, MD"/>
    <s v="Fernandez, Nathanial"/>
    <s v="Dieffenbach"/>
  </r>
  <r>
    <d v="2026-08-12T00:00:00"/>
    <s v="6518903"/>
    <s v="Quintero, Efren Sr."/>
    <s v="Inpatient"/>
    <x v="0"/>
    <n v="3901427200"/>
    <s v="700308380"/>
    <d v="1931-12-31T00:00:00"/>
    <s v="Yehushua, Liora, MD"/>
    <s v="General"/>
    <s v="3"/>
    <d v="1899-12-30T07:40:00"/>
    <d v="1899-12-30T09:44:00"/>
    <n v="124"/>
    <d v="1899-12-30T07:30:00"/>
    <d v="1899-12-30T10:30:00"/>
    <n v="180"/>
    <d v="1899-12-30T07:40:00"/>
    <d v="1899-12-30T09:36:00"/>
    <n v="116"/>
    <d v="1899-12-30T08:30:00"/>
    <d v="1899-12-30T09:16:00"/>
    <d v="1899-12-30T09:36:00"/>
    <n v="116"/>
    <n v="46"/>
    <m/>
    <m/>
    <m/>
    <m/>
    <m/>
    <m/>
    <s v="SHME OR 07"/>
    <s v="General"/>
    <s v="No"/>
    <s v="Dieffenbach, Bryan Vinson, Md"/>
    <s v="ENDOVASCULAR REPAIR OF DESCENDING THORACIC AORTA ; INVOLVING COVERAGE OF LEFT SUBCLAVIAN ARTERY ORIGIN, INITIAL ENDOPROSTHESIS PLUS DESCENDING THORACIC AORTIC EXTENSION(S) TO LEVEL OF CELIAC ARTERY OR_x000a_ENDOVASCULAR REPAIR OF THORACIC AORTA NOT INVOLVING COVERAGE OF THE LEFT SUBCLAVIAN ARTERY AND ALL ENDOGRAFT EXTENSION(S) FROM THE LEVEL OF THE LEFT SUBCLAVIAN CAROTID ARTERY TO THE CELIAC ARTERY"/>
    <s v="ENDOVASCULAR STENT GRAFT REPAIR OF THORACOABDOMINAL ANEURYSM - Bilateral"/>
    <s v="Wed"/>
    <m/>
    <m/>
    <m/>
    <s v="DIEFFENBACH, BRYAN VINSON_x000a_FERNANDEZ, NATHANIAL"/>
    <s v="Panel 1: Dr. Dieffenbach, Bryan Vinson, MD / Fernandez, Nathanial, MD"/>
    <s v="Bryan Vinson Dieffenbach, MD"/>
    <s v="Fernandez, Nathanial"/>
    <s v="Dieffenbach"/>
  </r>
  <r>
    <d v="2026-08-12T00:00:00"/>
    <s v="6327610"/>
    <s v="De Tomasi, Linda R"/>
    <s v="Inpatient"/>
    <x v="0"/>
    <n v="3901391149"/>
    <s v="305065847"/>
    <d v="1949-08-12T00:00:00"/>
    <s v="Vasant, Kris Kishore, MD"/>
    <s v="Regional"/>
    <s v="4"/>
    <d v="1899-12-30T06:45:00"/>
    <d v="1899-12-30T16:50:00"/>
    <n v="605"/>
    <d v="1899-12-30T06:15:00"/>
    <d v="1899-12-30T14:45:00"/>
    <n v="510"/>
    <d v="1899-12-30T06:45:00"/>
    <d v="1899-12-30T16:04:00"/>
    <n v="559"/>
    <d v="1899-12-30T09:37:00"/>
    <d v="1899-12-30T15:44:00"/>
    <d v="1899-12-30T16:04:00"/>
    <n v="559"/>
    <n v="367"/>
    <m/>
    <m/>
    <m/>
    <m/>
    <m/>
    <m/>
    <s v="SHME OR 08"/>
    <s v="Cardiothoracic"/>
    <s v="No"/>
    <s v="Hemp, James Robert, Md"/>
    <s v="VALVULOPLASTY, MITRAL VALVE, WITH CARDIOPULMONARY BYPASS; RADICALRECONSTRUCTION, WITH OR WITHOUT RING_x000a_REPLACEMENT, MITRAL VALVE, WITH CARDIOPULMONARY BYPASS_x000a_MEDIASTINOTOMY WITH EXPLORATION, DRAINAGE, REMOVAL OF FOREIGN BODY, ORBIOPSY; TRANSTHORACIC APPROACH, INCLUDING EITHER TRANSTHORACIC OR MEDIANSTERNOTOMY_x000a_REMOVAL OF INTACT MAMMARY IMPLANT_x000a_MAMMAPLASTY, AUGMENTATION; WITH PROSTHETIC IMPLANT"/>
    <s v="ROBOTIC MITRAL VALVE REPAIR; POSSIBLE MITRAL VALVE REPLACEMENT; POSSIBLE STERNOTOMY;  PERCUTANEOUS RETROGRADE CARDIO CATHETER - N/A"/>
    <s v="Wed"/>
    <m/>
    <m/>
    <m/>
    <s v="ISLAMI MANUCHEHRY, MOHAMMAD HOSEIN_x000a_HESS, JASON R_x000a_HESS, JASON R_x000a_HEMP, JAMES ROBERT"/>
    <s v="Panel 1: Dr. Hemp, James Robert, MD / Islami Manuchehry, Mohammad Hosein, MD_x000a_Panel 2: Dr. Hess, Jason R, MD"/>
    <s v="James Robert Hemp, MD_x000a_Jason R Hess, MD"/>
    <m/>
    <s v="Hemp, Hess"/>
  </r>
  <r>
    <d v="2026-08-12T00:00:00"/>
    <s v="6519741"/>
    <s v="Ennals, June A"/>
    <s v="Inpatient"/>
    <x v="0"/>
    <n v="3901427322"/>
    <s v="110217698"/>
    <d v="1960-06-17T00:00:00"/>
    <s v="Fan, Ting-Wei, MD"/>
    <s v="General"/>
    <s v="3"/>
    <d v="1899-12-30T07:50:00"/>
    <d v="1899-12-30T12:52:00"/>
    <n v="302"/>
    <d v="1899-12-30T07:30:00"/>
    <d v="1899-12-30T11:30:00"/>
    <n v="240"/>
    <d v="1899-12-30T07:50:00"/>
    <d v="1899-12-30T12:42:00"/>
    <n v="292"/>
    <d v="1899-12-30T09:10:00"/>
    <d v="1899-12-30T12:30:00"/>
    <d v="1899-12-30T12:42:00"/>
    <n v="292"/>
    <n v="200"/>
    <d v="1899-12-30T12:46:00"/>
    <d v="1899-12-30T13:46:00"/>
    <n v="60"/>
    <m/>
    <m/>
    <m/>
    <s v="SHME OR 09"/>
    <s v="Gynecology"/>
    <s v="No"/>
    <s v="Yadav, Ghanshyam Shivshekhar, Md"/>
    <s v="CYSTOURETHROSCOPY (SEPARATE PROCEDURE)_x000a_COMBINED ANTEROPOSTERIOR COLPORRHAPHY;_x000a_COLPOPEXY, VAGINAL; EXTRA-PERITONEAL APPROACH (SACROSPINOUS,ILIOCOCCYGEUS)_x000a_COLPOPEXY, VAGINAL; INTRA-PERITONEAL APPROACH (UTEROSACRAL, LEVATORMYORRHAPHY)_x000a_SLING OPERATION FOR STRESS INCONTINENCE (EG, FASCIA OR SYNTHETIC)_x000a_LAPAROSCOPY, SURGICAL, COLPOPEXY (SUSPENSION OF VAGINAL APEX)_x000a_LAPAROSCOPY, SURGICAL, WITH TOTAL HYSTERECTOMY, FOR UTERUS 250 G ORLESS; WITH REMOVAL OF TUBE(S) AND/OR OVARY(S)"/>
    <s v="ROBOTIC ASSISTED TOTAL HYSTERECTOMY, BILATERAL SALPINGO-OOPHORECTOMY, VAGINAL COLPOPEXY, POSSIBLE ANTERIOR POSTERIOR REPAIR, MID URETHRAL SLING, CYSTOSCOPY. - N/A"/>
    <s v="Wed"/>
    <m/>
    <m/>
    <m/>
    <s v="YADAV, GHANSHYAM SHIVSHEKHAR_x000a_JAIME, CINDY MARGARITA_x000a_DEFOREST SJAHRIAL, ALISON LYN"/>
    <s v="Panel 1: Dr. Yadav, Ghanshyam Shivshekhar, MD / Deforest Sjahrial, Alison Lyn, MD / Jaime, Cindy Margarita, MD"/>
    <s v="Ghanshyam Shivshekhar Yadav, MD"/>
    <m/>
    <s v="Yadav"/>
  </r>
  <r>
    <d v="2026-08-12T00:00:00"/>
    <s v="6526308"/>
    <s v="Camacho, Martha P"/>
    <s v="Outpatient"/>
    <x v="1"/>
    <n v="3901428624"/>
    <s v="811469476"/>
    <d v="1987-01-28T00:00:00"/>
    <s v="Ramos, Joshua Neftalie, MD"/>
    <s v="General"/>
    <s v="1"/>
    <d v="1899-12-30T07:30:00"/>
    <d v="1899-12-30T08:29:00"/>
    <n v="59"/>
    <d v="1899-12-30T07:30:00"/>
    <d v="1899-12-30T08:30:00"/>
    <n v="60"/>
    <d v="1899-12-30T07:30:00"/>
    <d v="1899-12-30T08:21:00"/>
    <n v="51"/>
    <d v="1899-12-30T07:49:00"/>
    <d v="1899-12-30T08:15:00"/>
    <d v="1899-12-30T08:21:00"/>
    <n v="51"/>
    <n v="26"/>
    <d v="1899-12-30T08:25:00"/>
    <d v="1899-12-30T09:01:00"/>
    <n v="36"/>
    <d v="1899-12-30T09:01:00"/>
    <d v="1899-12-30T09:35:00"/>
    <n v="34"/>
    <s v="SHME OR 01"/>
    <s v="Orthopedics"/>
    <s v="No"/>
    <s v="Kopp, Franz John, Md"/>
    <s v="HALLUX RIGIDUS CORRECTION WITH CHEILECTOMY, DEBRIDEMENT AND CAPSULAR RELEASE OFTHE FIRST METATARSOPHALANGEAL JOINT; WITHOUT IMPLANT_x000a_FLUOROSCOPY (SEPARATE PROCEDURE), UP TO 1 HOUR PHYSICIAN OR OTHERQUALIFIED HEALTH CARE PROFESSIONAL TIME, OTHER THAN 71023 OR 71034 (EG,CARDIAC FLUOROSCOPY)"/>
    <s v="RIGHT FOOT HALLUX METATARSALPHALANGEAL JOINT DEBRIDEMENT AND CHEILECTOMY - Right"/>
    <s v="Wed"/>
    <m/>
    <m/>
    <m/>
    <s v="KOPP, FRANZ JOHN"/>
    <m/>
    <s v="Franz John Kopp, MD"/>
    <m/>
    <s v="Kopp"/>
  </r>
  <r>
    <d v="2026-08-12T00:00:00"/>
    <s v="6561601"/>
    <s v="Murillo, Ricardo H"/>
    <s v="Outpatient"/>
    <x v="1"/>
    <n v="3901434532"/>
    <s v="701692128"/>
    <d v="1950-04-04T00:00:00"/>
    <s v="Oleske, Alexandra Argyro, DO"/>
    <s v="General"/>
    <s v="2"/>
    <d v="1899-12-30T10:29:00"/>
    <d v="1899-12-30T11:55:00"/>
    <n v="86"/>
    <d v="1899-12-30T09:00:00"/>
    <d v="1899-12-30T10:00:00"/>
    <n v="60"/>
    <d v="1899-12-30T10:29:00"/>
    <d v="1899-12-30T11:52:00"/>
    <n v="83"/>
    <d v="1899-12-30T10:49:00"/>
    <d v="1899-12-30T11:45:00"/>
    <d v="1899-12-30T11:52:00"/>
    <n v="83"/>
    <n v="56"/>
    <d v="1899-12-30T11:55:00"/>
    <d v="1899-12-30T12:25:00"/>
    <n v="30"/>
    <d v="1899-12-30T12:26:00"/>
    <d v="1899-12-30T13:52:00"/>
    <n v="86"/>
    <s v="SHME OR 14"/>
    <s v="Urology"/>
    <s v="No"/>
    <s v="Holden, Marc Mccaslin, Md"/>
    <s v="CYSTOURETHROSCOPY, WITH URETEROSCOPY AND/OR PYELOSCOPY; WITHLITHOTRIPSY INCLUDING INSERTION OF INDWELLING URETERAL STENT (EG,GIBBONS OR DOUBLE-J TYPE)"/>
    <s v="CYSTOSCOPY, LEFT URETEROSCOPY, LASER LITHOTRIPSY AND URETERAL STENT PLACEMENT - Left"/>
    <s v="Wed"/>
    <m/>
    <m/>
    <m/>
    <s v="HOLDEN, MARC MCCASLIN"/>
    <m/>
    <s v="Marc McCaslin Holden, MD"/>
    <m/>
    <s v="Holden"/>
  </r>
  <r>
    <d v="2026-08-12T00:00:00"/>
    <s v="6562770"/>
    <s v="Gomez, Jose G"/>
    <s v="Outpatient"/>
    <x v="1"/>
    <n v="3901434728"/>
    <s v="200505623"/>
    <d v="1986-04-11T00:00:00"/>
    <s v="Oleske, Alexandra Argyro, DO"/>
    <s v="General"/>
    <s v="3"/>
    <d v="1899-12-30T12:17:00"/>
    <d v="1899-12-30T13:22:00"/>
    <n v="65"/>
    <d v="1899-12-30T11:30:00"/>
    <d v="1899-12-30T12:15:00"/>
    <n v="45"/>
    <d v="1899-12-30T12:17:00"/>
    <d v="1899-12-30T13:19:00"/>
    <n v="62"/>
    <d v="1899-12-30T12:35:00"/>
    <d v="1899-12-30T13:12:00"/>
    <d v="1899-12-30T13:19:00"/>
    <n v="62"/>
    <n v="37"/>
    <d v="1899-12-30T13:23:57"/>
    <d v="1899-12-30T14:01:00"/>
    <n v="38"/>
    <d v="1899-12-30T14:02:00"/>
    <d v="1899-12-30T14:21:00"/>
    <n v="19"/>
    <s v="SHME OR 16"/>
    <s v="Urology"/>
    <s v="No"/>
    <s v="Holden, Marc Mccaslin, Md"/>
    <s v="EXCISION OF HYDROCELE; UNILATERAL"/>
    <s v="EXCISION OF RIGHT HYDROCELE - Right"/>
    <s v="Wed"/>
    <m/>
    <m/>
    <m/>
    <s v="HOLDEN, MARC MCCASLIN"/>
    <m/>
    <s v="Marc McCaslin Holden, MD"/>
    <m/>
    <s v="Holden"/>
  </r>
  <r>
    <d v="2026-08-12T00:00:00"/>
    <s v="6580812"/>
    <s v="Andrus, George"/>
    <s v="Outpatient"/>
    <x v="1"/>
    <n v="3901438281"/>
    <s v="606694926"/>
    <d v="1944-11-29T00:00:00"/>
    <s v="Oleske, Alexandra Argyro, DO"/>
    <s v="General"/>
    <s v="3"/>
    <d v="1899-12-30T13:37:00"/>
    <d v="1899-12-30T14:08:00"/>
    <n v="31"/>
    <d v="1899-12-30T11:55:00"/>
    <d v="1899-12-30T12:25:00"/>
    <n v="30"/>
    <d v="1899-12-30T13:37:00"/>
    <d v="1899-12-30T14:05:00"/>
    <n v="28"/>
    <d v="1899-12-30T13:51:00"/>
    <d v="1899-12-30T13:59:00"/>
    <d v="1899-12-30T14:05:00"/>
    <n v="28"/>
    <n v="8"/>
    <d v="1899-12-30T14:06:00"/>
    <d v="1899-12-30T14:46:00"/>
    <n v="40"/>
    <d v="1899-12-30T14:47:00"/>
    <d v="1899-12-30T15:11:00"/>
    <n v="24"/>
    <s v="SHME OR 14"/>
    <s v="Urology"/>
    <s v="Yes"/>
    <s v="Holden, Marc Mccaslin, Md"/>
    <s v="CYSTOURETHROSCOPY, WITH BIOPSY(S)"/>
    <s v="CYSTOSCOPY WITH BLADDER BIOPSY - N/A"/>
    <s v="Wed"/>
    <m/>
    <m/>
    <m/>
    <s v="HOLDEN, MARC MCCASLIN"/>
    <m/>
    <s v="Marc McCaslin Holden, MD"/>
    <m/>
    <s v="Holden"/>
  </r>
  <r>
    <d v="2026-08-12T00:00:00"/>
    <s v="6595190"/>
    <s v="Cruz Espinales, Cesar F"/>
    <s v="Outpatient"/>
    <x v="1"/>
    <n v="3901441404"/>
    <s v="701283528"/>
    <d v="1989-07-02T00:00:00"/>
    <s v="Oleske, Alexandra Argyro, DO"/>
    <s v="General"/>
    <s v="3"/>
    <d v="1899-12-30T14:25:00"/>
    <d v="1899-12-30T15:30:00"/>
    <n v="65"/>
    <d v="1899-12-30T14:05:00"/>
    <d v="1899-12-30T15:05:00"/>
    <n v="60"/>
    <d v="1899-12-30T14:25:00"/>
    <d v="1899-12-30T15:28:00"/>
    <n v="63"/>
    <d v="1899-12-30T14:40:00"/>
    <d v="1899-12-30T15:19:00"/>
    <d v="1899-12-30T15:28:00"/>
    <n v="63"/>
    <n v="39"/>
    <d v="1899-12-30T15:30:43"/>
    <d v="1899-12-30T16:16:00"/>
    <n v="46"/>
    <d v="1899-12-30T16:17:00"/>
    <d v="1899-12-30T16:29:00"/>
    <n v="12"/>
    <s v="SHME OR 16"/>
    <s v="Urology"/>
    <s v="No"/>
    <s v="Holden, Marc Mccaslin, Md"/>
    <s v="CIRCUMCISION, SURGICAL EXCISION OTHER THAN CLAMP, DEVICE, OR DORSALSLIT; OLDER THAN 28 DAYS OF AGE"/>
    <s v="CIRCUMCISION - N/A"/>
    <s v="Wed"/>
    <m/>
    <m/>
    <m/>
    <s v="HOLDEN, MARC MCCASLIN"/>
    <m/>
    <s v="Marc McCaslin Holden, MD"/>
    <m/>
    <s v="Holden"/>
  </r>
  <r>
    <d v="2026-08-12T00:00:00"/>
    <s v="6596969"/>
    <s v="Guevara Marmolejo, Maria Esperanza"/>
    <s v="Outpatient"/>
    <x v="1"/>
    <n v="3901441674"/>
    <s v="701166553"/>
    <d v="1991-06-08T00:00:00"/>
    <s v="Oleske, Alexandra Argyro, DO"/>
    <s v="General"/>
    <s v="2"/>
    <d v="1899-12-30T07:39:00"/>
    <d v="1899-12-30T09:48:00"/>
    <n v="129"/>
    <d v="1899-12-30T07:30:00"/>
    <d v="1899-12-30T08:30:00"/>
    <n v="60"/>
    <d v="1899-12-30T07:39:00"/>
    <d v="1899-12-30T09:44:00"/>
    <n v="125"/>
    <d v="1899-12-30T07:58:00"/>
    <d v="1899-12-30T09:38:00"/>
    <d v="1899-12-30T09:44:00"/>
    <n v="125"/>
    <n v="100"/>
    <d v="1899-12-30T09:48:11"/>
    <d v="1899-12-30T10:31:00"/>
    <n v="43"/>
    <d v="1899-12-30T10:32:00"/>
    <d v="1899-12-30T11:11:00"/>
    <n v="39"/>
    <s v="SHME OR 14"/>
    <s v="Urology"/>
    <s v="No"/>
    <s v="Holden, Marc Mccaslin, Md"/>
    <s v="CYSTOURETHROSCOPY, WITH URETEROSCOPY AND/OR PYELOSCOPY; WITHLITHOTRIPSY INCLUDING INSERTION OF INDWELLING URETERAL STENT (EG,GIBBONS OR DOUBLE-J TYPE)_x000a_UROGRAPHY, RETROGRADE, WITH OR WITHOUT KUB"/>
    <s v="CYSTOSCOPY, RIGHT RETROGRADE PYELOGRAM, URETEROSCOPY, LASER LITHOTRIPSY AND RIGHT URETERAL STENT PLACEMENT - Right"/>
    <s v="Wed"/>
    <m/>
    <m/>
    <m/>
    <s v="HOLDEN, MARC MCCASLIN"/>
    <m/>
    <s v="Marc McCaslin Holden, MD"/>
    <m/>
    <s v="Holden"/>
  </r>
  <r>
    <d v="2026-08-12T00:00:00"/>
    <s v="6598264"/>
    <s v="Linson, Cheri D"/>
    <s v="Inpatient"/>
    <x v="0"/>
    <n v="3901446813"/>
    <s v="701085191"/>
    <d v="1967-12-30T00:00:00"/>
    <s v="Baja, Diosdado An Jr., MD"/>
    <s v="General"/>
    <s v="3"/>
    <d v="1899-12-30T07:38:00"/>
    <d v="1899-12-30T12:04:00"/>
    <n v="266"/>
    <d v="1899-12-30T07:30:00"/>
    <d v="1899-12-30T11:30:00"/>
    <n v="240"/>
    <d v="1899-12-30T07:38:00"/>
    <d v="1899-12-30T12:00:00"/>
    <n v="262"/>
    <d v="1899-12-30T08:17:00"/>
    <d v="1899-12-30T11:49:00"/>
    <d v="1899-12-30T12:00:00"/>
    <n v="262"/>
    <n v="212"/>
    <d v="1899-12-30T12:01:15"/>
    <d v="1899-12-30T12:59:38"/>
    <n v="58"/>
    <m/>
    <m/>
    <m/>
    <s v="SHME OR 05"/>
    <s v="ENT"/>
    <s v="No"/>
    <s v="Brumund, Kevin Thomas, Md"/>
    <s v="LIMITED PHARYNGECTOMY_x000a_CERVICAL LYMPHADENECTOMY (MODIFIED RADICAL NECK DISSECTION)_x000a_LIGATION; EXTERNAL CAROTID ARTERY"/>
    <s v="TRANSORAL ROBOTIC RESECTION OF LEFT TONSIL AND BASE OF TONGUE TUMOR, LEFT NECK DISSECTION, LIGATION OF LEFT EXTERNAL CAROTID ARTERY BRANCHES - N/A"/>
    <s v="Wed"/>
    <m/>
    <m/>
    <m/>
    <s v="BRUMUND, KEVIN THOMAS"/>
    <m/>
    <s v="Kevin Thomas Brumund, MD"/>
    <m/>
    <s v="Brumund"/>
  </r>
  <r>
    <d v="2026-08-12T00:00:00"/>
    <s v="6402978"/>
    <s v="Diaz, Leonel Quiroz"/>
    <s v="Inpatient"/>
    <x v="0"/>
    <n v="3901405125"/>
    <s v="100815704"/>
    <d v="1956-11-30T00:00:00"/>
    <s v="Rayan, Hany A, MD"/>
    <s v="Regional"/>
    <s v="2"/>
    <d v="1899-12-30T07:39:00"/>
    <d v="1899-12-30T10:22:00"/>
    <n v="163"/>
    <d v="1899-12-30T07:30:00"/>
    <d v="1899-12-30T09:45:00"/>
    <n v="135"/>
    <d v="1899-12-30T07:39:00"/>
    <d v="1899-12-30T10:16:00"/>
    <n v="157"/>
    <d v="1899-12-30T08:27:00"/>
    <d v="1899-12-30T10:10:00"/>
    <d v="1899-12-30T10:16:00"/>
    <n v="157"/>
    <n v="103"/>
    <d v="1899-12-30T10:17:00"/>
    <d v="1899-12-30T11:06:00"/>
    <n v="49"/>
    <m/>
    <m/>
    <m/>
    <s v="SHME OR 03"/>
    <s v="Orthopedics"/>
    <s v="No"/>
    <s v="Behr, Christopher Todd, Md"/>
    <s v="ARTHROPLASTY, KNEE, CONDYLE AND PLATEAU; MEDIAL AND LATERAL COMPARTMENTSWITH OR WITHOUT PATELLA RESURFACING (TOTAL KNEE ARTHROPLASTY)"/>
    <s v="RIGHT TOTAL KNEE ARTHROPLASTY - Right"/>
    <s v="Wed"/>
    <m/>
    <m/>
    <m/>
    <s v="BEHR, CHRISTOPHER TODD"/>
    <m/>
    <s v="Christopher Todd Behr, MD"/>
    <m/>
    <s v="Behr"/>
  </r>
  <r>
    <d v="2026-08-12T00:00:00"/>
    <s v="6423795"/>
    <s v="Hostetler, Gary S"/>
    <s v="Outpatient"/>
    <x v="1"/>
    <n v="3901409005"/>
    <s v="810682651"/>
    <d v="1949-09-18T00:00:00"/>
    <s v="Rayan, Hany A, MD"/>
    <s v="General"/>
    <s v="3"/>
    <d v="1899-12-30T11:07:00"/>
    <d v="1899-12-30T13:36:00"/>
    <n v="149"/>
    <d v="1899-12-30T10:15:00"/>
    <d v="1899-12-30T12:30:00"/>
    <n v="135"/>
    <d v="1899-12-30T11:07:00"/>
    <d v="1899-12-30T13:31:00"/>
    <n v="144"/>
    <d v="1899-12-30T11:32:00"/>
    <d v="1899-12-30T13:21:00"/>
    <d v="1899-12-30T13:31:00"/>
    <n v="144"/>
    <n v="109"/>
    <d v="1899-12-30T13:32:00"/>
    <d v="1899-12-30T14:47:00"/>
    <n v="75"/>
    <m/>
    <m/>
    <m/>
    <s v="SHME OR 03"/>
    <s v="Orthopedics"/>
    <s v="Yes"/>
    <s v="Behr, Christopher Todd, Md"/>
    <s v="ARTHROPLASTY, KNEE, CONDYLE AND PLATEAU; MEDIAL AND LATERAL COMPARTMENTSWITH OR WITHOUT PATELLA RESURFACING (TOTAL KNEE ARTHROPLASTY)"/>
    <s v="RIGHT TOTAL KNEE ARTHROPLASTY - Right"/>
    <s v="Wed"/>
    <m/>
    <m/>
    <m/>
    <s v="BEHR, CHRISTOPHER TODD"/>
    <m/>
    <s v="Christopher Todd Behr, MD"/>
    <m/>
    <s v="Behr"/>
  </r>
  <r>
    <d v="2026-08-12T00:00:00"/>
    <s v="6428511"/>
    <s v="Walsh, Daniel L"/>
    <s v="Outpatient"/>
    <x v="1"/>
    <n v="3901409900"/>
    <s v="603226930"/>
    <d v="1955-05-10T00:00:00"/>
    <s v="Julian, Jeric Israel Burguillos, DO"/>
    <s v="General"/>
    <s v="2"/>
    <d v="1899-12-30T07:45:00"/>
    <d v="1899-12-30T09:01:00"/>
    <n v="76"/>
    <d v="1899-12-30T07:30:00"/>
    <d v="1899-12-30T08:45:00"/>
    <n v="75"/>
    <d v="1899-12-30T07:45:00"/>
    <d v="1899-12-30T08:56:00"/>
    <n v="71"/>
    <d v="1899-12-30T08:00:00"/>
    <d v="1899-12-30T08:44:00"/>
    <d v="1899-12-30T08:56:00"/>
    <n v="71"/>
    <n v="44"/>
    <d v="1899-12-30T09:00:00"/>
    <d v="1899-12-30T09:46:00"/>
    <n v="46"/>
    <d v="1899-12-30T09:47:00"/>
    <d v="1899-12-30T10:43:00"/>
    <n v="56"/>
    <s v="SHME OR 16"/>
    <s v="General"/>
    <s v="No"/>
    <s v="Langenberg, Bret James, Do"/>
    <s v="REPAIR INITIAL INGUINAL HERNIA, AGE 5 YEARS OR OLDER; INCARCERATED ORSTRANGULATED"/>
    <s v="OPEN RIGHT INGUINAL HERNIA REPAIR WITH MESH - Right"/>
    <s v="Wed"/>
    <m/>
    <m/>
    <m/>
    <s v="LANGENBERG, BRET JAMES"/>
    <m/>
    <s v="Bret James Langenberg, DO"/>
    <m/>
    <s v="Langenberg"/>
  </r>
  <r>
    <d v="2026-08-12T00:00:00"/>
    <s v="6627424"/>
    <s v="Moffit, Nick"/>
    <s v="Inpatient"/>
    <x v="0"/>
    <n v="3901447595"/>
    <s v="100632594"/>
    <d v="1960-07-03T00:00:00"/>
    <s v="Billys, James Brian, MD"/>
    <s v="Regional"/>
    <s v="3"/>
    <d v="1899-12-30T07:41:00"/>
    <d v="1899-12-30T11:32:00"/>
    <n v="231"/>
    <d v="1899-12-30T07:30:00"/>
    <d v="1899-12-30T10:30:00"/>
    <n v="180"/>
    <d v="1899-12-30T07:41:00"/>
    <d v="1899-12-30T11:27:00"/>
    <n v="226"/>
    <d v="1899-12-30T08:33:00"/>
    <d v="1899-12-30T11:21:00"/>
    <d v="1899-12-30T11:27:00"/>
    <n v="226"/>
    <n v="168"/>
    <d v="1899-12-30T11:28:00"/>
    <d v="1899-12-30T12:56:15"/>
    <n v="88"/>
    <m/>
    <m/>
    <m/>
    <s v="SHME OR 10"/>
    <s v="General"/>
    <s v="No"/>
    <s v="Giurgiu, Dan I.N., Md"/>
    <s v="LAPAROSCOPY, SURGICAL, REPAIR OF PARAESOPHAGEAL HERNIA, INCLUDESFUNDOPLASTY, WHEN PERFORMED; WITHOUT IMPLANTATION OF MESH"/>
    <s v="ROBOT REPAIR OF PARAESOPHAGEAL HERNIA WITH FUNDOPLICATION, WITH MESH, POSSIBLE OPEN. - N/A"/>
    <s v="Wed"/>
    <m/>
    <m/>
    <m/>
    <s v="GIURGIU, DAN I.N._x000a_GIURGIU, DAN I.N."/>
    <m/>
    <s v="Dan I.N. Giurgiu, MD (619-330-8330)"/>
    <m/>
    <s v="Giurgiu"/>
  </r>
  <r>
    <d v="2026-08-12T00:00:00"/>
    <s v="6631457"/>
    <s v="Miramontes Cabrera, Jose M"/>
    <s v="Outpatient"/>
    <x v="1"/>
    <n v="3901448295"/>
    <s v="811483819"/>
    <d v="1981-09-13T00:00:00"/>
    <s v="Kim, Eung Do, MD"/>
    <s v="Regional"/>
    <s v="2"/>
    <d v="1899-12-30T10:57:00"/>
    <d v="1899-12-30T12:42:00"/>
    <n v="105"/>
    <d v="1899-12-30T11:00:00"/>
    <d v="1899-12-30T12:30:00"/>
    <n v="90"/>
    <d v="1899-12-30T10:57:00"/>
    <d v="1899-12-30T12:28:00"/>
    <n v="91"/>
    <d v="1899-12-30T11:20:00"/>
    <d v="1899-12-30T12:25:00"/>
    <d v="1899-12-30T12:28:00"/>
    <n v="91"/>
    <n v="65"/>
    <d v="1899-12-30T12:30:00"/>
    <d v="1899-12-30T13:31:00"/>
    <n v="61"/>
    <d v="1899-12-30T13:32:00"/>
    <d v="1899-12-30T14:18:00"/>
    <n v="46"/>
    <s v="SHME OR 06"/>
    <s v="Orthopedics"/>
    <s v="No"/>
    <s v="Sanzone, Anthony Gerard, Md"/>
    <s v="OPEN TREATMENT OF BIMALLEOLAR ANKLE FRACTURE (EG, LATERAL AND MEDIALMALLEOLI, OR LATERAL AND POSTERIOR MALLEOLI, OR MEDIAL AND POSTERIORMALLEOLI), INCLUDES INTERNAL FIXATION, WHEN PERFORMED_x000a_FLUOROSCOPY (SEPARATE PROCEDURE), UP TO 1 HOUR PHYSICIAN OR OTHERQUALIFIED HEALTH CARE PROFESSIONAL TIME, OTHER THAN 71023 OR 71034 (EG,CARDIAC FLUOROSCOPY)"/>
    <s v="OPEN TREATMENT OF RIGHT BIMALLEOLAR ANKLE FRACTURE - Right"/>
    <s v="Wed"/>
    <m/>
    <m/>
    <m/>
    <s v="SANZONE, ANTHONY GERARD"/>
    <m/>
    <s v="Anthony Gerard Sanzone, MD (619-476-5519)"/>
    <m/>
    <s v="Sanzone"/>
  </r>
  <r>
    <d v="2026-08-12T00:00:00"/>
    <s v="6631573"/>
    <s v="Velarde, Carlos"/>
    <s v="Outpatient"/>
    <x v="1"/>
    <n v="3901448324"/>
    <s v="811178637"/>
    <d v="1988-06-14T00:00:00"/>
    <s v="Ramos, Joshua Neftalie, MD"/>
    <s v="Regional"/>
    <s v="2"/>
    <d v="1899-12-30T09:11:00"/>
    <d v="1899-12-30T10:48:00"/>
    <n v="97"/>
    <d v="1899-12-30T09:00:00"/>
    <d v="1899-12-30T10:30:00"/>
    <n v="90"/>
    <d v="1899-12-30T09:11:00"/>
    <d v="1899-12-30T10:39:00"/>
    <n v="88"/>
    <d v="1899-12-30T09:43:00"/>
    <d v="1899-12-30T10:33:00"/>
    <d v="1899-12-30T10:39:00"/>
    <n v="88"/>
    <n v="50"/>
    <d v="1899-12-30T10:43:00"/>
    <d v="1899-12-30T11:46:00"/>
    <n v="63"/>
    <d v="1899-12-30T11:47:00"/>
    <d v="1899-12-30T12:31:00"/>
    <n v="44"/>
    <s v="SHME OR 01"/>
    <s v="Orthopedics"/>
    <s v="No"/>
    <s v="Kopp, Franz John, Md"/>
    <s v="REPAIR, SECONDARY, ACHILLES TENDON, WITH OR WITHOUT GRAFT_x000a_FLUOROSCOPY (SEPARATE PROCEDURE), UP TO 1 HOUR PHYSICIAN OR OTHERQUALIFIED HEALTH CARE PROFESSIONAL TIME, OTHER THAN 71023 OR 71034 (EG,CARDIAC FLUOROSCOPY)"/>
    <s v="LEFT ACXHILLES TENDON REPAIR WITH ARTHREX ACHILES SPEEDBRIDGE REPAIR AUGMENTATION - Left"/>
    <s v="Wed"/>
    <m/>
    <m/>
    <m/>
    <s v="KOPP, FRANZ JOHN"/>
    <m/>
    <s v="Franz John Kopp, MD"/>
    <m/>
    <s v="Kopp"/>
  </r>
  <r>
    <d v="2026-08-12T00:00:00"/>
    <s v="6632789"/>
    <s v="Russell, John A"/>
    <s v="Outpatient"/>
    <x v="1"/>
    <n v="3901448550"/>
    <s v="700502371"/>
    <d v="1946-07-27T00:00:00"/>
    <s v="Kim, Eung Do, MD"/>
    <s v="General"/>
    <s v="3"/>
    <d v="1899-12-30T07:29:00"/>
    <d v="1899-12-30T09:03:00"/>
    <n v="94"/>
    <d v="1899-12-30T07:30:00"/>
    <d v="1899-12-30T08:30:00"/>
    <n v="60"/>
    <d v="1899-12-30T07:29:00"/>
    <d v="1899-12-30T08:55:00"/>
    <n v="86"/>
    <d v="1899-12-30T07:56:00"/>
    <d v="1899-12-30T08:49:00"/>
    <d v="1899-12-30T08:55:00"/>
    <n v="86"/>
    <n v="53"/>
    <d v="1899-12-30T08:57:00"/>
    <d v="1899-12-30T09:31:00"/>
    <n v="34"/>
    <d v="1899-12-30T09:32:00"/>
    <d v="1899-12-30T09:39:00"/>
    <n v="7"/>
    <s v="SHME OR 15"/>
    <s v="Urology"/>
    <s v="No"/>
    <s v="Salem, Carol Elizabeth, Md"/>
    <s v="LITHOLAPAXY: CRUSHING OR FRAGMENTATION OF CALCULUS BY ANY MEANS INBLADDER AND REMOVAL OF FRAGMENTS; COMPLICATED OR LARGE (OVER 2.5 CM)"/>
    <s v="CYSTOLITHOLAPAXY - N/A"/>
    <s v="Wed"/>
    <m/>
    <m/>
    <m/>
    <s v="SALEM, CAROL ELIZABETH"/>
    <m/>
    <s v="Carol Elizabeth Salem, MD"/>
    <m/>
    <s v="Salem"/>
  </r>
  <r>
    <d v="2026-08-12T00:00:00"/>
    <s v="6633467"/>
    <s v="Beverly, Jocelyn E"/>
    <s v="Inpatient"/>
    <x v="0"/>
    <n v="3901449408"/>
    <s v="701935340"/>
    <d v="1988-04-14T00:00:00"/>
    <s v="Oleske, Alexandra Argyro, DO"/>
    <s v="General"/>
    <s v="2"/>
    <d v="1899-12-30T15:42:00"/>
    <d v="1899-12-30T16:45:00"/>
    <n v="63"/>
    <d v="1899-12-30T15:00:00"/>
    <d v="1899-12-30T16:00:00"/>
    <n v="60"/>
    <d v="1899-12-30T15:42:00"/>
    <d v="1899-12-30T16:42:00"/>
    <n v="60"/>
    <d v="1899-12-30T16:04:00"/>
    <d v="1899-12-30T16:35:00"/>
    <d v="1899-12-30T16:42:00"/>
    <n v="60"/>
    <n v="31"/>
    <d v="1899-12-30T16:43:00"/>
    <d v="1899-12-30T16:50:00"/>
    <n v="7"/>
    <m/>
    <m/>
    <m/>
    <s v="SHME OR 14"/>
    <s v="Urology"/>
    <s v="No"/>
    <s v="Holden, Marc Mccaslin, Md"/>
    <s v="CYSTOURETHROSCOPY, WITH URETEROSCOPY AND/OR PYELOSCOPY; WITHLITHOTRIPSY INCLUDING INSERTION OF INDWELLING URETERAL STENT (EG,GIBBONS OR DOUBLE-J TYPE)_x000a_UROGRAPHY, RETROGRADE, WITH OR WITHOUT KUB"/>
    <s v="CYSTSCOPY, LEFT URETEROSCOPY, LASER LITHOTRIPSY AND URETERAL STENT PLACEMENT - Left"/>
    <s v="Wed"/>
    <m/>
    <m/>
    <m/>
    <s v="HOLDEN, MARC MCCASLIN"/>
    <m/>
    <s v="Marc McCaslin Holden, MD"/>
    <m/>
    <s v="Holden"/>
  </r>
  <r>
    <d v="2026-08-12T00:00:00"/>
    <s v="6634599"/>
    <s v="Johnson, Adrian"/>
    <s v="Inpatient"/>
    <x v="0"/>
    <n v="3901448851"/>
    <s v="701989987"/>
    <d v="1965-12-16T00:00:00"/>
    <s v="Ramos, Joshua Neftalie, MD"/>
    <s v="Regional"/>
    <s v="3"/>
    <d v="1899-12-30T16:11:00"/>
    <d v="1899-12-30T19:25:00"/>
    <n v="194"/>
    <d v="1899-12-30T15:45:00"/>
    <d v="1899-12-30T17:20:00"/>
    <n v="95"/>
    <d v="1899-12-30T16:11:00"/>
    <d v="1899-12-30T19:16:00"/>
    <n v="185"/>
    <d v="1899-12-30T16:54:00"/>
    <d v="1899-12-30T19:11:00"/>
    <d v="1899-12-30T19:16:00"/>
    <n v="185"/>
    <n v="137"/>
    <d v="1899-12-30T19:17:57"/>
    <d v="1899-12-30T19:46:00"/>
    <n v="29"/>
    <m/>
    <m/>
    <m/>
    <s v="SHME OR 04"/>
    <s v="Orthopedics"/>
    <s v="No"/>
    <s v="Fabi, David William, Md"/>
    <s v="OPEN TREATMENT OF PATELLAR FRACTURE, WITH INTERNAL FIXATION AND/ORPARTIAL OR COMPLETE PATELLECTOMY AND SOFT TISSUE REPAIR"/>
    <s v="OPEN TREATMENT OF PATELLAR FRACTURE RIGHT KNEE - Right"/>
    <s v="Wed"/>
    <m/>
    <m/>
    <m/>
    <s v="FABI, DAVID WILLIAM"/>
    <m/>
    <s v="David William Fabi, MD"/>
    <m/>
    <s v="Fabi"/>
  </r>
  <r>
    <d v="2026-08-12T00:00:00"/>
    <s v="6634753"/>
    <s v="Sears, Daniel H"/>
    <s v="Outpatient"/>
    <x v="1"/>
    <n v="3901448861"/>
    <s v="100481548"/>
    <d v="1958-09-20T00:00:00"/>
    <s v="Kim, Eung Do, MD"/>
    <s v="General"/>
    <s v="1"/>
    <d v="1899-12-30T09:42:00"/>
    <d v="1899-12-30T10:20:00"/>
    <n v="38"/>
    <d v="1899-12-30T09:00:00"/>
    <d v="1899-12-30T10:30:00"/>
    <n v="90"/>
    <d v="1899-12-30T09:42:00"/>
    <d v="1899-12-30T10:14:00"/>
    <n v="32"/>
    <d v="1899-12-30T09:58:00"/>
    <d v="1899-12-30T10:11:00"/>
    <d v="1899-12-30T10:14:00"/>
    <n v="32"/>
    <n v="13"/>
    <d v="1899-12-30T10:15:22"/>
    <d v="1899-12-30T11:01:00"/>
    <n v="46"/>
    <d v="1899-12-30T11:01:00"/>
    <d v="1899-12-30T11:20:00"/>
    <n v="19"/>
    <s v="SHME OR 15"/>
    <s v="Orthopedics"/>
    <s v="No"/>
    <s v="Sanzone, Anthony Gerard, Md"/>
    <s v="SECONDARY CLOSURE OF SURGICAL WOUND OR DEHISCENCE, EXTENSIVE ORCOMPLICATED"/>
    <s v="SECONDARY CLOSURE OF LEFT FROEARM - Left"/>
    <s v="Wed"/>
    <m/>
    <m/>
    <m/>
    <s v="SANZONE, ANTHONY GERARD"/>
    <m/>
    <s v="Anthony Gerard Sanzone, MD (619-476-5519)"/>
    <m/>
    <s v="Sanzone"/>
  </r>
  <r>
    <d v="2026-08-12T00:00:00"/>
    <s v="6638888"/>
    <s v="Lopez de Evangelista, Juana"/>
    <s v="Inpatient"/>
    <x v="0"/>
    <n v="3901447416"/>
    <s v="810128901"/>
    <d v="1956-03-22T00:00:00"/>
    <s v="Yehushua, Liora, MD"/>
    <s v="General"/>
    <s v="3"/>
    <d v="1899-12-30T14:12:00"/>
    <d v="1899-12-30T18:46:00"/>
    <n v="274"/>
    <d v="1899-12-30T14:30:00"/>
    <d v="1899-12-30T18:00:00"/>
    <n v="210"/>
    <d v="1899-12-30T14:12:00"/>
    <d v="1899-12-30T18:40:00"/>
    <n v="268"/>
    <d v="1899-12-30T14:45:00"/>
    <d v="1899-12-30T18:28:00"/>
    <d v="1899-12-30T18:40:00"/>
    <n v="268"/>
    <n v="223"/>
    <d v="1899-12-30T18:41:26"/>
    <d v="1899-12-30T19:31:00"/>
    <n v="50"/>
    <m/>
    <m/>
    <m/>
    <s v="SHME OR 07"/>
    <s v="Vascular"/>
    <s v="Yes"/>
    <s v="Fernandez, Nathanial, Md"/>
    <s v="BYPASS GRAFT, WITH VEIN; FEMORAL-POPLITEAL"/>
    <s v="LEFT FEMORAL TO POPLITEAL BYPASS WITH VEIN - Left"/>
    <s v="Wed"/>
    <m/>
    <m/>
    <m/>
    <s v="FERNANDEZ, NATHANIAL_x000a_DIEFFENBACH, BRYAN VINSON"/>
    <s v="Panel 1: Dr. Fernandez, Nathanial, MD / Dieffenbach, Bryan Vinson, MD"/>
    <s v="Nathanial Fernandez, MD"/>
    <m/>
    <s v="Fernandez"/>
  </r>
  <r>
    <d v="2026-08-12T00:00:00"/>
    <s v="6640287"/>
    <s v="Gotell, Theresa L"/>
    <s v="Inpatient"/>
    <x v="0"/>
    <n v="3901449037"/>
    <s v="100862234"/>
    <d v="1973-04-05T00:00:00"/>
    <s v="Julian, Jeric Israel Burguillos, DO"/>
    <s v="General"/>
    <s v="3"/>
    <d v="1899-12-30T09:31:00"/>
    <d v="1899-12-30T10:21:00"/>
    <n v="50"/>
    <d v="1899-12-30T09:15:00"/>
    <d v="1899-12-30T10:00:00"/>
    <n v="45"/>
    <d v="1899-12-30T09:31:00"/>
    <d v="1899-12-30T10:16:00"/>
    <n v="45"/>
    <d v="1899-12-30T09:48:00"/>
    <d v="1899-12-30T10:04:00"/>
    <d v="1899-12-30T10:16:00"/>
    <n v="45"/>
    <n v="16"/>
    <d v="1899-12-30T10:18:00"/>
    <d v="1899-12-30T13:09:00"/>
    <n v="171"/>
    <m/>
    <m/>
    <m/>
    <s v="SHME OR 16"/>
    <s v="General"/>
    <s v="No"/>
    <s v="Langenberg, Bret James, Do"/>
    <s v="LAPAROSCOPY, SURGICAL; WITH INSERTION OF TUNNELED INTRAPERITONEALCATHETER"/>
    <s v="LAPAROSCOPIC PERITONEAL DIALYSIS CATHETER PLACEMENT - N/A"/>
    <s v="Wed"/>
    <m/>
    <m/>
    <m/>
    <s v="LANGENBERG, BRET JAMES"/>
    <m/>
    <s v="Bret James Langenberg, DO"/>
    <m/>
    <s v="Langenberg"/>
  </r>
  <r>
    <d v="2026-08-12T00:00:00"/>
    <s v="6641980"/>
    <s v="Bozich, Stephen"/>
    <s v="Inpatient"/>
    <x v="0"/>
    <n v="3901445657"/>
    <s v="811483065"/>
    <d v="1939-08-23T00:00:00"/>
    <s v="Stradleigh, Ryan Kellian, DO"/>
    <s v="General"/>
    <s v="4"/>
    <d v="1899-12-30T07:29:00"/>
    <d v="1899-12-30T08:55:00"/>
    <n v="86"/>
    <d v="1899-12-30T07:30:00"/>
    <d v="1899-12-30T09:20:00"/>
    <n v="110"/>
    <d v="1899-12-30T07:29:00"/>
    <d v="1899-12-30T08:50:00"/>
    <n v="81"/>
    <d v="1899-12-30T07:59:00"/>
    <d v="1899-12-30T08:44:00"/>
    <d v="1899-12-30T08:50:00"/>
    <n v="81"/>
    <n v="45"/>
    <d v="1899-12-30T08:52:00"/>
    <d v="1899-12-30T10:00:00"/>
    <n v="68"/>
    <m/>
    <m/>
    <m/>
    <s v="SHME OR 04"/>
    <s v="Orthopedics"/>
    <s v="No"/>
    <s v="Quacinella, Michael Andrew, Do, Mph"/>
    <s v="AMPUTATION, THIGH, THROUGH FEMUR, ANY LEVEL;"/>
    <s v="AMPUTATION, THIGH, THROUGH FEMUR, ANY LEVEL - Right"/>
    <s v="Wed"/>
    <m/>
    <m/>
    <m/>
    <s v="QUACINELLA, MICHAEL ANDREW"/>
    <m/>
    <s v="Michael Andrew Quacinella, DO, MPH"/>
    <m/>
    <s v="Quacinella"/>
  </r>
  <r>
    <d v="2026-08-12T00:00:00"/>
    <s v="6642592"/>
    <s v="Quinn, Taryn"/>
    <s v="Inpatient"/>
    <x v="0"/>
    <n v="3901449155"/>
    <s v="811485482"/>
    <d v="2006-08-17T00:00:00"/>
    <s v="Stradleigh, Ryan Kellian, DO"/>
    <s v="General"/>
    <s v="2"/>
    <d v="1899-12-30T09:21:00"/>
    <d v="1899-12-30T10:52:00"/>
    <n v="91"/>
    <d v="1899-12-30T09:50:00"/>
    <d v="1899-12-30T11:35:00"/>
    <n v="105"/>
    <d v="1899-12-30T09:21:00"/>
    <d v="1899-12-30T10:43:00"/>
    <n v="82"/>
    <d v="1899-12-30T09:40:00"/>
    <d v="1899-12-30T10:36:00"/>
    <d v="1899-12-30T10:43:00"/>
    <n v="82"/>
    <n v="56"/>
    <m/>
    <m/>
    <m/>
    <m/>
    <m/>
    <m/>
    <s v="SHME OR 04"/>
    <s v="Orthopedics"/>
    <s v="No"/>
    <s v="Quacinella, Michael Andrew, Do, Mph"/>
    <s v="OPEN TREATMENT OF METACARPAL FRACTURE, SINGLE, INCLUDES INTERNALFIXATION, WHEN PERFORMED, EACH BONE_x000a_MANUAL APPLICATION OF STRESS PERFORMED BY PHYSICIAN OR OTHER QUALIFIEDHEALTH CARE PROFESSIONAL FOR JOINT RADIOGRAPHY, INCLUDING CONTRALATERALJOINT IF INDICATED"/>
    <s v="RIGHT HAND METACARPAL OPEN REDUCTION INTERNAL FIXATOR,STRESS EXAM - Right"/>
    <s v="Wed"/>
    <m/>
    <m/>
    <m/>
    <s v="QUACINELLA, MICHAEL ANDREW"/>
    <m/>
    <s v="Michael Andrew Quacinella, DO, MPH"/>
    <m/>
    <s v="Quacinella"/>
  </r>
  <r>
    <d v="2026-08-12T00:00:00"/>
    <s v="6642605"/>
    <s v="Gonzalez Ripa, Brianna L"/>
    <s v="Inpatient"/>
    <x v="0"/>
    <n v="3901449670"/>
    <s v="810573024"/>
    <d v="1996-08-14T00:00:00"/>
    <s v="Stradleigh, Ryan Kellian, DO"/>
    <s v="General"/>
    <s v="2"/>
    <d v="1899-12-30T11:22:00"/>
    <d v="1899-12-30T14:20:00"/>
    <n v="178"/>
    <d v="1899-12-30T12:05:00"/>
    <d v="1899-12-30T14:05:00"/>
    <n v="120"/>
    <d v="1899-12-30T11:22:00"/>
    <d v="1899-12-30T14:15:00"/>
    <n v="173"/>
    <d v="1899-12-30T12:02:00"/>
    <d v="1899-12-30T14:04:00"/>
    <d v="1899-12-30T14:15:00"/>
    <n v="173"/>
    <n v="122"/>
    <d v="1899-12-30T14:16:11"/>
    <d v="1899-12-30T15:24:00"/>
    <n v="68"/>
    <m/>
    <m/>
    <m/>
    <s v="SHME OR 04"/>
    <s v="Orthopedics"/>
    <s v="No"/>
    <s v="Quacinella, Michael Andrew, Do, Mph"/>
    <s v="OPEN TREATMENT OF PATELLAR FRACTURE, WITH INTERNAL FIXATION AND/ORPARTIAL OR COMPLETE PATELLECTOMY AND SOFT TISSUE REPAIR_x000a_OPEN TREATMENT OF ULNAR FRACTURE, PROXIMAL END (EG, OLECRANON ORCORONOID PROCESS[ES]), INCLUDES INTERNAL FIXATION, WHEN PERFORMED_x000a_MANUAL APPLICATION OF STRESS PERFORMED BY PHYSICIAN OR OTHER QUALIFIEDHEALTH CARE PROFESSIONAL FOR JOINT RADIOGRAPHY, INCLUDING CONTRALATERALJOINT IF INDICATED"/>
    <s v="LEFT PATELLA AND RIGHT OLECRANON OPEN REDUCTION INTERNAL FIXATOR,STRESS EXAM - Left"/>
    <s v="Wed"/>
    <m/>
    <s v="ED/IP/IC"/>
    <m/>
    <s v="QUACINELLA, MICHAEL ANDREW"/>
    <m/>
    <s v="Michael Andrew Quacinella, DO, MPH"/>
    <m/>
    <s v="Quacinella"/>
  </r>
  <r>
    <d v="2026-08-12T00:00:00"/>
    <s v="6642707"/>
    <s v="Van-Wickel, Jesse III"/>
    <s v="Inpatient"/>
    <x v="0"/>
    <n v="3901447438"/>
    <s v="811219638"/>
    <d v="1951-03-04T00:00:00"/>
    <s v="Ramos, Joshua Neftalie, MD"/>
    <s v="General"/>
    <s v="3"/>
    <d v="1899-12-30T11:24:00"/>
    <d v="1899-12-30T12:18:00"/>
    <n v="54"/>
    <d v="1899-12-30T11:00:00"/>
    <d v="1899-12-30T12:00:00"/>
    <n v="60"/>
    <d v="1899-12-30T11:24:00"/>
    <d v="1899-12-30T12:09:00"/>
    <n v="45"/>
    <d v="1899-12-30T11:50:00"/>
    <d v="1899-12-30T12:01:00"/>
    <d v="1899-12-30T12:09:00"/>
    <n v="45"/>
    <n v="11"/>
    <d v="1899-12-30T12:11:30"/>
    <d v="1899-12-30T13:00:00"/>
    <n v="49"/>
    <m/>
    <m/>
    <m/>
    <s v="SHME OR 02"/>
    <s v="Podiatry"/>
    <s v="Yes"/>
    <s v="Cullen, Benjamin Dennis, Dpm"/>
    <s v="AMPUTATION, TOE; INTERPHALANGEAL JOINT"/>
    <s v="AMPUTATION, TOE; INTERPHALANGEAL JOINT - Left"/>
    <s v="Wed"/>
    <m/>
    <m/>
    <m/>
    <s v="CULLEN, BENJAMIN DENNIS"/>
    <m/>
    <s v="Benjamin Dennis Cullen, DPM"/>
    <m/>
    <s v="Cullen"/>
  </r>
  <r>
    <d v="2026-08-12T00:00:00"/>
    <s v="6644225"/>
    <s v="Milan, Joseph A Jr."/>
    <s v="Inpatient"/>
    <x v="0"/>
    <n v="3901450266"/>
    <s v="810553887"/>
    <d v="1957-03-18T00:00:00"/>
    <s v="Ramos, Joshua Neftalie, MD"/>
    <s v="General"/>
    <s v="3"/>
    <d v="1899-12-30T12:53:00"/>
    <d v="1899-12-30T14:01:00"/>
    <n v="68"/>
    <d v="1899-12-30T12:30:00"/>
    <d v="1899-12-30T14:00:00"/>
    <n v="90"/>
    <d v="1899-12-30T12:53:00"/>
    <d v="1899-12-30T13:52:00"/>
    <n v="59"/>
    <d v="1899-12-30T13:15:00"/>
    <d v="1899-12-30T13:48:00"/>
    <d v="1899-12-30T13:52:00"/>
    <n v="59"/>
    <n v="33"/>
    <d v="1899-12-30T13:53:12"/>
    <d v="1899-12-30T14:45:00"/>
    <n v="52"/>
    <m/>
    <m/>
    <m/>
    <s v="SHME OR 02"/>
    <s v="Podiatry"/>
    <s v="No"/>
    <s v="Cullen, Benjamin Dennis, Dpm"/>
    <s v="DEBRIDEMENT, BONE (INCLUDES EPIDERMIS, DERMIS, SUBCUTANEOUS TISSUE,MUSCLE AND/OR FASCIA, IF PERFORMED); FIRST 20 SQ CM OR LESS"/>
    <s v="DEBRIDEMENT, BONE (INCLUDES EPIDERMIS, DERMIS, SUBCUTANEOUS TISSUE,MUSCLE AND/OR FASCIA, IF PERFORMED); FIRST 20 SQ CM OR LESS - Right"/>
    <s v="Wed"/>
    <m/>
    <m/>
    <m/>
    <s v="CULLEN, BENJAMIN DENNIS"/>
    <m/>
    <s v="Benjamin Dennis Cullen, DPM"/>
    <m/>
    <s v="Cullen"/>
  </r>
  <r>
    <d v="2026-08-12T00:00:00"/>
    <s v="6644491"/>
    <s v="Antoine, Rudwensley"/>
    <s v="Inpatient"/>
    <x v="0"/>
    <n v="3901450386"/>
    <s v="810943314"/>
    <d v="2004-01-20T00:00:00"/>
    <s v="Stradleigh, Ryan Kellian, DO"/>
    <s v="General"/>
    <s v="2"/>
    <d v="1899-12-30T14:57:00"/>
    <d v="1899-12-30T16:18:00"/>
    <n v="81"/>
    <d v="1899-12-30T14:35:00"/>
    <d v="1899-12-30T16:35:00"/>
    <n v="120"/>
    <d v="1899-12-30T14:57:00"/>
    <d v="1899-12-30T16:13:00"/>
    <n v="76"/>
    <d v="1899-12-30T15:16:00"/>
    <d v="1899-12-30T16:08:00"/>
    <d v="1899-12-30T16:13:00"/>
    <n v="76"/>
    <n v="52"/>
    <d v="1899-12-30T16:15:09"/>
    <d v="1899-12-30T17:23:00"/>
    <n v="68"/>
    <m/>
    <m/>
    <m/>
    <s v="SHME OR 05"/>
    <s v="Orthopedics"/>
    <s v="Yes"/>
    <s v="Quacinella, Michael Andrew, Do, Mph"/>
    <s v="OPEN TREATMENT OF BIMALLEOLAR ANKLE FRACTURE (EG, LATERAL AND MEDIALMALLEOLI, OR LATERAL AND POSTERIOR MALLEOLI, OR MEDIAL AND POSTERIORMALLEOLI), INCLUDES INTERNAL FIXATION, WHEN PERFORMED_x000a_MANUAL APPLICATION OF STRESS PERFORMED BY PHYSICIAN OR OTHER QUALIFIEDHEALTH CARE PROFESSIONAL FOR JOINT RADIOGRAPHY, INCLUDING CONTRALATERALJOINT IF INDICATED"/>
    <s v="RIGHT ANKLE BIMALLEOLAR OPEN REDUCTION INTERNAL FIXATOR,STRESS EXAM - Right"/>
    <s v="Wed"/>
    <m/>
    <m/>
    <m/>
    <s v="QUACINELLA, MICHAEL ANDREW"/>
    <m/>
    <s v="Michael Andrew Quacinella, DO, MPH"/>
    <m/>
    <s v="Quacinella"/>
  </r>
  <r>
    <d v="2026-08-12T00:00:00"/>
    <s v="6646065"/>
    <s v="Repetto, Andres D"/>
    <s v="Inpatient"/>
    <x v="0"/>
    <n v="3901450561"/>
    <s v="700179937"/>
    <d v="2004-12-29T00:00:00"/>
    <s v="Li, Robin T, MD"/>
    <s v="General"/>
    <s v="2"/>
    <d v="1899-12-30T19:28:00"/>
    <d v="1899-12-30T20:16:00"/>
    <n v="48"/>
    <d v="1899-12-30T17:45:00"/>
    <d v="1899-12-30T19:05:00"/>
    <n v="80"/>
    <d v="1899-12-30T19:26:00"/>
    <d v="1899-12-30T20:08:00"/>
    <n v="42"/>
    <d v="1899-12-30T19:44:00"/>
    <d v="1899-12-30T19:56:00"/>
    <d v="1899-12-30T20:08:00"/>
    <n v="42"/>
    <n v="12"/>
    <d v="1899-12-30T20:14:03"/>
    <d v="1899-12-30T20:46:32"/>
    <n v="32"/>
    <m/>
    <m/>
    <m/>
    <s v="SHME OR 06"/>
    <s v="Orthopedics"/>
    <s v="No"/>
    <s v="Fabi, David William, Md"/>
    <s v="REMOVAL OF IMPLANT; DEEP (EG, BURIED WIRE, PIN, SCREW, METAL BAND, NAIL,ROD OR PLATE)"/>
    <s v="pin removal right hand - Right"/>
    <s v="Wed"/>
    <m/>
    <m/>
    <m/>
    <s v="FABI, DAVID WILLIAM"/>
    <m/>
    <s v="David William Fabi, MD"/>
    <m/>
    <s v="Fabi"/>
  </r>
  <r>
    <d v="2026-08-12T00:00:00"/>
    <s v="6646474"/>
    <s v="Washington, Lateisha R"/>
    <s v="Inpatient"/>
    <x v="0"/>
    <n v="3901451151"/>
    <s v="811479731"/>
    <d v="1981-06-26T00:00:00"/>
    <s v="Li, Robin T, MD"/>
    <s v="Regional"/>
    <s v="2"/>
    <d v="1899-12-30T16:47:00"/>
    <d v="1899-12-30T18:20:00"/>
    <n v="93"/>
    <d v="1899-12-30T17:00:00"/>
    <d v="1899-12-30T19:20:00"/>
    <n v="140"/>
    <d v="1899-12-30T16:47:00"/>
    <d v="1899-12-30T18:11:00"/>
    <n v="84"/>
    <d v="1899-12-30T17:04:00"/>
    <d v="1899-12-30T18:07:00"/>
    <d v="1899-12-30T18:11:00"/>
    <n v="84"/>
    <n v="63"/>
    <d v="1899-12-30T18:11:56"/>
    <d v="1899-12-30T18:50:00"/>
    <n v="39"/>
    <m/>
    <m/>
    <m/>
    <s v="SHME OR 01"/>
    <s v="Orthopedics"/>
    <s v="No"/>
    <s v="Quacinella, Michael Andrew, Do, Mph"/>
    <s v="OPEN TREATMENT OF DISTAL RADIAL EXTRA-ARTICULAR FRACTURE OR EPIPHYSEALSEPARATION, WITH INTERNAL FIXATION"/>
    <s v="OPEN TREATMENT OF DISTAL RADIAL EXTRA-ARTICULAR FRACTURE OR EPIPHYSEALSEPARATION, WITH INTERNAL FIXATION - Right"/>
    <s v="Wed"/>
    <m/>
    <m/>
    <m/>
    <s v="QUACINELLA, MICHAEL ANDREW"/>
    <m/>
    <s v="Michael Andrew Quacinella, DO, MPH"/>
    <m/>
    <s v="Quacinella"/>
  </r>
  <r>
    <d v="2026-08-12T00:00:00"/>
    <s v="6647023"/>
    <s v="Arroyos, Richard A"/>
    <s v="Inpatient"/>
    <x v="0"/>
    <n v="3901451268"/>
    <s v="700492293"/>
    <d v="1957-03-22T00:00:00"/>
    <s v="Julian, Jeric Israel Burguillos, DO"/>
    <s v="General"/>
    <s v="3"/>
    <d v="1899-12-30T12:13:00"/>
    <d v="1899-12-30T14:08:00"/>
    <n v="115"/>
    <d v="1899-12-30T12:00:00"/>
    <d v="1899-12-30T13:40:00"/>
    <n v="130"/>
    <d v="1899-12-30T12:13:00"/>
    <d v="1899-12-30T14:02:00"/>
    <n v="109"/>
    <d v="1899-12-30T12:38:00"/>
    <d v="1899-12-30T13:55:00"/>
    <d v="1899-12-30T14:02:00"/>
    <n v="109"/>
    <n v="77"/>
    <d v="1899-12-30T14:03:32"/>
    <d v="1899-12-30T14:46:00"/>
    <n v="43"/>
    <m/>
    <m/>
    <m/>
    <s v="SHME OR 10"/>
    <s v="General"/>
    <s v="Yes"/>
    <s v="Price, Erin Michelle, Md"/>
    <s v="LAPAROSCOPY, SURGICAL; CHOLECYSTECTOMY"/>
    <s v="Robotic cholecystectomy, possible laparoscopy, possible open procedure - N/A"/>
    <s v="Wed"/>
    <m/>
    <s v="ED/IP/IC"/>
    <m/>
    <s v="PRICE, ERIN MICHELLE"/>
    <m/>
    <s v="Erin Michelle Price, MD"/>
    <m/>
    <s v="Price"/>
  </r>
  <r>
    <d v="2026-08-12T00:00:00"/>
    <s v="6647024"/>
    <s v="Richelmann, Marianne F"/>
    <s v="Inpatient"/>
    <x v="0"/>
    <n v="3901451216"/>
    <s v="110144003"/>
    <d v="1943-03-01T00:00:00"/>
    <s v="Kim, Eung Do, MD"/>
    <s v="General"/>
    <s v="3"/>
    <d v="1899-12-30T13:04:00"/>
    <d v="1899-12-30T14:44:00"/>
    <n v="100"/>
    <d v="1899-12-30T12:15:00"/>
    <d v="1899-12-30T13:40:00"/>
    <n v="115"/>
    <d v="1899-12-30T13:04:00"/>
    <d v="1899-12-30T14:39:00"/>
    <n v="95"/>
    <d v="1899-12-30T13:32:00"/>
    <d v="1899-12-30T14:31:00"/>
    <d v="1899-12-30T14:39:00"/>
    <n v="95"/>
    <n v="59"/>
    <d v="1899-12-30T14:41:00"/>
    <d v="1899-12-30T15:39:20"/>
    <n v="58"/>
    <m/>
    <m/>
    <m/>
    <s v="SHME OR 01"/>
    <s v="Orthopedics"/>
    <s v="Yes"/>
    <s v="Sanzone, Anthony Gerard, Md"/>
    <s v="OPEN TREATMENT OF FEMORAL FRACTURE, PROXIMAL END, NECK, INTERNALFIXATION OR PROSTHETIC REPLACEMENT_x000a_FLUOROSCOPY (SEPARATE PROCEDURE), UP TO 1 HOUR PHYSICIAN OR OTHERQUALIFIED HEALTH CARE PROFESSIONAL TIME, OTHER THAN 71023 OR 71034 (EG,CARDIAC FLUOROSCOPY)"/>
    <s v="LEFT HIP UNIPOLAR - Left"/>
    <s v="Wed"/>
    <m/>
    <m/>
    <m/>
    <s v="SANZONE, ANTHONY GERARD"/>
    <m/>
    <s v="Anthony Gerard Sanzone, MD (619-476-5519)"/>
    <m/>
    <s v="Sanzone"/>
  </r>
  <r>
    <d v="2026-08-12T00:00:00"/>
    <s v="6647127"/>
    <s v="Carrasco, Jacob D"/>
    <s v="Inpatient"/>
    <x v="0"/>
    <n v="3901451231"/>
    <s v="811462448"/>
    <d v="2009-01-14T00:00:00"/>
    <s v="Billys, James Brian, MD"/>
    <s v="General"/>
    <s v="1"/>
    <d v="1899-12-30T12:32:00"/>
    <d v="1899-12-30T14:43:00"/>
    <n v="131"/>
    <d v="1899-12-30T12:30:00"/>
    <d v="1899-12-30T13:55:00"/>
    <n v="115"/>
    <d v="1899-12-30T12:32:00"/>
    <d v="1899-12-30T14:37:00"/>
    <n v="125"/>
    <d v="1899-12-30T13:04:00"/>
    <d v="1899-12-30T14:28:00"/>
    <d v="1899-12-30T14:37:00"/>
    <n v="125"/>
    <n v="84"/>
    <d v="1899-12-30T14:40:00"/>
    <d v="1899-12-30T15:30:00"/>
    <n v="50"/>
    <m/>
    <m/>
    <m/>
    <s v="SHME OR 15"/>
    <s v="General"/>
    <s v="No"/>
    <s v="Toman, Jeffrey Robert, Md"/>
    <s v="LAPAROSCOPY, SURGICAL, APPENDECTOMY"/>
    <s v="Laparoscopic appendectomy, possible open procedure - N/A"/>
    <s v="Wed"/>
    <m/>
    <m/>
    <m/>
    <s v="TOMAN, JEFFREY ROBERT"/>
    <m/>
    <s v="Jeffrey Robert Toman, MD"/>
    <m/>
    <s v="Toman"/>
  </r>
  <r>
    <d v="2026-08-12T00:00:00"/>
    <s v="6649987"/>
    <s v="Salud, Carlos"/>
    <s v="Inpatient"/>
    <x v="0"/>
    <n v="3901451693"/>
    <s v="811487186"/>
    <d v="1957-11-29T00:00:00"/>
    <s v="Li, Robin T, MD"/>
    <s v="General"/>
    <s v="3"/>
    <d v="1899-12-30T18:32:00"/>
    <d v="1899-12-30T19:26:00"/>
    <n v="54"/>
    <d v="1899-12-30T19:00:00"/>
    <d v="1899-12-30T20:10:00"/>
    <n v="100"/>
    <d v="1899-12-30T18:32:00"/>
    <d v="1899-12-30T19:19:00"/>
    <n v="47"/>
    <d v="1899-12-30T18:48:00"/>
    <d v="1899-12-30T19:04:00"/>
    <d v="1899-12-30T19:19:00"/>
    <n v="47"/>
    <n v="16"/>
    <d v="1899-12-30T19:22:02"/>
    <d v="1899-12-30T20:13:14"/>
    <n v="51"/>
    <m/>
    <m/>
    <m/>
    <s v="SHME OR 05"/>
    <s v="Orthopedics"/>
    <s v="No"/>
    <s v="Quacinella, Michael Andrew, Do, Mph"/>
    <s v="ARTHROTOMY, KNEE, WITH EXPLORATION, DRAINAGE, OR REMOVAL OF FOREIGN BODY(EG, INFECTION)"/>
    <s v="ARTHROTOMY, KNEE, WITH EXPLORATION, DRAINAGE, OR REMOVAL OF FOREIGN BODY(EG, INFECTION) - Left"/>
    <s v="Wed"/>
    <m/>
    <m/>
    <m/>
    <s v="QUACINELLA, MICHAEL ANDREW"/>
    <m/>
    <s v="Michael Andrew Quacinella, DO, MPH"/>
    <m/>
    <s v="Quacinella"/>
  </r>
  <r>
    <d v="2026-08-12T00:00:00"/>
    <s v="6493603"/>
    <s v="Montoya, Graciela"/>
    <s v="Outpatient"/>
    <x v="1"/>
    <n v="3901422298"/>
    <s v="811104058"/>
    <d v="1954-05-10T00:00:00"/>
    <s v="Rayan, Hany A, MD"/>
    <s v="Regional"/>
    <s v="2"/>
    <d v="1899-12-30T14:11:00"/>
    <d v="1899-12-30T16:33:00"/>
    <n v="142"/>
    <d v="1899-12-30T13:00:00"/>
    <d v="1899-12-30T15:15:00"/>
    <n v="135"/>
    <d v="1899-12-30T14:11:00"/>
    <d v="1899-12-30T16:24:00"/>
    <n v="133"/>
    <d v="1899-12-30T14:36:00"/>
    <d v="1899-12-30T16:17:00"/>
    <d v="1899-12-30T16:24:00"/>
    <n v="133"/>
    <n v="101"/>
    <d v="1899-12-30T16:26:03"/>
    <d v="1899-12-30T17:01:00"/>
    <n v="35"/>
    <m/>
    <m/>
    <m/>
    <s v="SHME OR 03"/>
    <s v="Orthopedics"/>
    <s v="No"/>
    <s v="Behr, Christopher Todd, Md"/>
    <s v="ARTHROPLASTY, KNEE, CONDYLE AND PLATEAU; MEDIAL AND LATERAL COMPARTMENTSWITH OR WITHOUT PATELLA RESURFACING (TOTAL KNEE ARTHROPLASTY)"/>
    <s v="RIGHT TOTAL KNEE ARTHROPLASTY - Right"/>
    <s v="Wed"/>
    <m/>
    <m/>
    <m/>
    <s v="BEHR, CHRISTOPHER TODD"/>
    <m/>
    <s v="Christopher Todd Behr, MD"/>
    <m/>
    <s v="Behr"/>
  </r>
  <r>
    <d v="2026-08-13T00:00:00"/>
    <s v="6545087"/>
    <s v="Fitzpatrick, Danny E"/>
    <s v="Inpatient"/>
    <x v="0"/>
    <n v="3901444474"/>
    <s v="811070281"/>
    <d v="1988-07-29T00:00:00"/>
    <s v="Billys, James Brian, MD"/>
    <s v="General"/>
    <s v="2"/>
    <d v="1899-12-30T09:48:00"/>
    <d v="1899-12-30T12:23:00"/>
    <n v="155"/>
    <d v="1899-12-30T09:30:00"/>
    <d v="1899-12-30T12:25:00"/>
    <n v="175"/>
    <d v="1899-12-30T09:48:00"/>
    <d v="1899-12-30T12:18:00"/>
    <n v="150"/>
    <d v="1899-12-30T10:15:00"/>
    <d v="1899-12-30T12:06:00"/>
    <d v="1899-12-30T12:18:00"/>
    <n v="150"/>
    <n v="111"/>
    <d v="1899-12-30T12:19:21"/>
    <d v="1899-12-30T12:46:00"/>
    <n v="27"/>
    <m/>
    <m/>
    <m/>
    <s v="SHME OR 06"/>
    <s v="General"/>
    <s v="No"/>
    <s v="Fuller, William Daniel, Md"/>
    <s v="LAPAROSCOPY, SURGICAL, REPAIR OF PARAESOPHAGEAL HERNIA, INCLUDESFUNDOPLASTY, WHEN PERFORMED; WITHOUT IMPLANTATION OF MESH"/>
    <s v="LAPAROSCOPIC, POSSIBLE OPEN PARAESOPHAGEAL HERNIA REPAIR WITH TOUPET FUNDOPLICATION POSSIBLE OPEN UMBILICAL HERNIA REPAIR POSSIBLY WITH MESH - N/A"/>
    <s v="Thu"/>
    <m/>
    <m/>
    <m/>
    <s v="FULLER, WILLIAM DANIEL"/>
    <m/>
    <s v="William Daniel Fuller, MD"/>
    <m/>
    <s v="Fuller"/>
  </r>
  <r>
    <d v="2026-08-13T00:00:00"/>
    <s v="6554402"/>
    <s v="Realmuto, Ronald"/>
    <s v="Outpatient"/>
    <x v="1"/>
    <n v="3901433264"/>
    <s v="811409867"/>
    <d v="1985-01-10T00:00:00"/>
    <s v="Nelson, Jesse Stuart, DO"/>
    <s v="General"/>
    <s v="2"/>
    <d v="1899-12-30T07:35:00"/>
    <d v="1899-12-30T09:19:00"/>
    <n v="104"/>
    <d v="1899-12-30T07:30:00"/>
    <d v="1899-12-30T09:00:00"/>
    <n v="90"/>
    <d v="1899-12-30T07:35:00"/>
    <d v="1899-12-30T09:11:00"/>
    <n v="96"/>
    <d v="1899-12-30T08:17:00"/>
    <d v="1899-12-30T08:58:00"/>
    <d v="1899-12-30T09:11:00"/>
    <n v="96"/>
    <n v="41"/>
    <d v="1899-12-30T09:12:00"/>
    <d v="1899-12-30T09:30:00"/>
    <n v="18"/>
    <m/>
    <m/>
    <m/>
    <s v="SHME OR 05"/>
    <s v="ENT"/>
    <s v="No"/>
    <s v="Mansfield, Perry Thomas, Md, Frcpc"/>
    <s v="STEREOTACTIC COMPUTER-ASSISTED (NAVIGATIONAL) PROCEDURE; CRANIAL,EXTRADURAL (LIST SEPARATELY IN ADDITION TO CODE FOR PRIMARY PROCEDURE)_x000a_SEPTOPLASTY OR SUBMUCOUS RESECTION, WITH OR WITHOUT CARTILAGE SCORING,CONTOURING OR REPLACEMENT WITH GRAFT_x000a_CARTILAGE GRAFT; NASAL SEPTUM_x000a_REPAIR, COMPLEX, EYELIDS, NOSE, EARS AND/OR LIPS; 1.1 CM TO 2.5 CM_x000a_SUBMUCOUS RESECTION INFERIOR TURBINATE, PARTIAL OR COMPLETE, ANY METHOD_x000a_FRACTURE NASAL INFERIOR TURBINATE(S), THERAPEUTIC_x000a_EXCISION OF BONE (EG, FOR OSTEOMYELITIS OR BONE ABSCESS); FACIAL BONE(S)_x000a_NASAL/SINUS ENDOSCOPY, SURGICAL; WITH BIOPSY, POLYPECTOMY OR DEBRIDEMENT(SEPARATE PROCEDURE)_x000a_NASAL/SINUS ENDOSCOPY, SURGICAL; WITH DILATION OF FRONTAL SINUS OSTIUM(EG, BALLOON DILATION)_x000a_NASAL/SINUS ENDOSCOPY, SURGICAL; WITH DILATION OF MAXILLARY SINUS OSTIUM(EG, BALLOON DILATION), TRANSNASAL OR VIA CANINE FOSSA"/>
    <s v="USE OF STEREOTACTIC NAVIGATION, SEPTOPLASTY, NASAL SEPTUM CARTILAGE GRAFT, BILATERAL SUBMUCOUSAL RESECTION AND OUTFRACTURE OF INFERIOR TURBINATES, BILATERAL ENDOSCOPIC NASAL POLYPECTOMY AND DEBRIDEMENT, BILATERAL FRONTAL SINUSOTOMY, BILATERAL MAXILLARY ANTROSTOMY - N/A"/>
    <s v="Thu"/>
    <m/>
    <m/>
    <m/>
    <s v="MANSFIELD, PERRY THOMAS"/>
    <m/>
    <s v="Perry Thomas Mansfield, MD, FRCPC"/>
    <m/>
    <s v="Mansfield"/>
  </r>
  <r>
    <d v="2026-08-13T00:00:00"/>
    <s v="6567280"/>
    <s v="Topete-Garza, Maria E"/>
    <s v="Outpatient"/>
    <x v="1"/>
    <n v="3901435388"/>
    <s v="701383174"/>
    <d v="1981-10-27T00:00:00"/>
    <s v="Chitlur, Abhijith Harish, MD"/>
    <s v="General"/>
    <s v="2"/>
    <d v="1899-12-30T07:48:00"/>
    <d v="1899-12-30T08:42:00"/>
    <n v="54"/>
    <d v="1899-12-30T07:30:00"/>
    <d v="1899-12-30T08:30:00"/>
    <n v="60"/>
    <d v="1899-12-30T07:48:00"/>
    <d v="1899-12-30T08:34:00"/>
    <n v="46"/>
    <d v="1899-12-30T08:15:00"/>
    <d v="1899-12-30T08:27:00"/>
    <d v="1899-12-30T08:34:00"/>
    <n v="46"/>
    <n v="12"/>
    <d v="1899-12-30T08:35:00"/>
    <d v="1899-12-30T09:50:00"/>
    <n v="75"/>
    <d v="1899-12-30T09:50:00"/>
    <d v="1899-12-30T10:24:00"/>
    <n v="34"/>
    <s v="SHME OR 16"/>
    <s v="Gynecology"/>
    <s v="No"/>
    <s v="Sapra, Sonia Vipin, Md"/>
    <s v="HYSTEROSCOPY, SURGICAL; WITH SAMPLING (BIOPSY) OF ENDOMETRIUM AND/ORPOLYPECTOMY, WITH OR WITHOUT D &amp; C_x000a_INSERTION OF INTRAUTERINE DEVICE (IUD)"/>
    <s v="HYSTEROSCOPY DILATION AND CURETTAGE, MYOSURE SAMPLING, MIRENA IUD INSERTION - N/A"/>
    <s v="Thu"/>
    <m/>
    <m/>
    <m/>
    <s v="SAPRA, SONIA VIPIN"/>
    <m/>
    <s v="Sonia Vipin Sapra, MD"/>
    <m/>
    <s v="Sapra"/>
  </r>
  <r>
    <d v="2026-08-13T00:00:00"/>
    <s v="6578426"/>
    <s v="Murphy, Victoria A"/>
    <s v="Outpatient"/>
    <x v="1"/>
    <n v="3901437738"/>
    <s v="200366688"/>
    <d v="1948-09-15T00:00:00"/>
    <s v="Julian, Jeric Israel Burguillos, DO"/>
    <s v="Regional"/>
    <s v="2"/>
    <d v="1899-12-30T07:28:00"/>
    <d v="1899-12-30T10:13:00"/>
    <n v="165"/>
    <d v="1899-12-30T07:30:00"/>
    <d v="1899-12-30T10:15:00"/>
    <n v="165"/>
    <d v="1899-12-30T07:28:00"/>
    <d v="1899-12-30T10:02:00"/>
    <n v="154"/>
    <d v="1899-12-30T07:53:00"/>
    <d v="1899-12-30T09:59:00"/>
    <d v="1899-12-30T10:02:00"/>
    <n v="154"/>
    <n v="126"/>
    <d v="1899-12-30T10:03:15"/>
    <d v="1899-12-30T11:00:00"/>
    <n v="57"/>
    <m/>
    <m/>
    <m/>
    <s v="SHME OR 01"/>
    <s v="Orthopedics"/>
    <s v="No"/>
    <s v="Schultz, Jeffrey Eugene, Md"/>
    <s v="ARTHROPLASTY, KNEE, CONDYLE AND PLATEAU; MEDIAL AND LATERAL COMPARTMENTSWITH OR WITHOUT PATELLA RESURFACING (TOTAL KNEE ARTHROPLASTY)"/>
    <s v="RIGHT TOTAL KNEE REPLACEMENT - Right"/>
    <s v="Thu"/>
    <m/>
    <m/>
    <m/>
    <s v="SCHULTZ, JEFFREY EUGENE"/>
    <m/>
    <s v="Jeffrey Eugene Schultz, MD"/>
    <m/>
    <s v="Schultz"/>
  </r>
  <r>
    <d v="2026-08-13T00:00:00"/>
    <s v="6585336"/>
    <s v="Valenzuela, Ana Paola"/>
    <s v="Outpatient"/>
    <x v="1"/>
    <n v="3901439223"/>
    <s v="810170985"/>
    <d v="1986-07-16T00:00:00"/>
    <s v="Chitlur, Abhijith Harish, MD"/>
    <s v="General"/>
    <s v="3"/>
    <d v="1899-12-30T11:39:00"/>
    <d v="1899-12-30T12:54:00"/>
    <n v="75"/>
    <d v="1899-12-30T10:30:00"/>
    <d v="1899-12-30T11:30:00"/>
    <n v="60"/>
    <d v="1899-12-30T11:39:00"/>
    <d v="1899-12-30T12:48:00"/>
    <n v="69"/>
    <d v="1899-12-30T12:15:00"/>
    <d v="1899-12-30T12:40:00"/>
    <d v="1899-12-30T12:48:00"/>
    <n v="69"/>
    <n v="25"/>
    <d v="1899-12-30T12:49:36"/>
    <d v="1899-12-30T13:35:00"/>
    <n v="46"/>
    <d v="1899-12-30T13:36:00"/>
    <d v="1899-12-30T13:45:11"/>
    <n v="9"/>
    <s v="SHME OR 16"/>
    <s v="Gynecology"/>
    <s v="No"/>
    <s v="Pham, Truce Duong Thanh, Md"/>
    <s v="HYSTEROSCOPY, SURGICAL; WITH SAMPLING (BIOPSY) OF ENDOMETRIUM AND/ORPOLYPECTOMY, WITH OR WITHOUT D &amp; C_x000a_PELVIC EXAMINATION UNDER ANESTHESIA (OTHER THAN LOCAL)"/>
    <s v="EXAM UNDER ANESTHESIA, PAP SMEAR, HYSTEROSCOPY, DILATION AND CURETTAGE AND POSSIBLE POLYPECTOMY AND ALL OTHER INDICATED PROCEDURES - N/A"/>
    <s v="Thu"/>
    <m/>
    <m/>
    <m/>
    <s v="PHAM, TRUCE DUONG THANH"/>
    <m/>
    <s v="Truce Duong Thanh Pham, MD"/>
    <m/>
    <s v="Pham"/>
  </r>
  <r>
    <d v="2026-08-13T00:00:00"/>
    <s v="6586285"/>
    <s v="Devera, Flordeliza L"/>
    <s v="Outpatient"/>
    <x v="1"/>
    <n v="3901439359"/>
    <s v="701422428"/>
    <d v="1963-09-26T00:00:00"/>
    <s v="Julian, Jeric Israel Burguillos, DO"/>
    <s v="Regional"/>
    <s v="2"/>
    <d v="1899-12-30T10:45:00"/>
    <d v="1899-12-30T12:55:00"/>
    <n v="130"/>
    <d v="1899-12-30T10:45:00"/>
    <d v="1899-12-30T13:30:00"/>
    <n v="165"/>
    <d v="1899-12-30T10:45:00"/>
    <d v="1899-12-30T12:50:00"/>
    <n v="125"/>
    <d v="1899-12-30T11:07:00"/>
    <d v="1899-12-30T12:46:00"/>
    <d v="1899-12-30T12:50:00"/>
    <n v="125"/>
    <n v="99"/>
    <d v="1899-12-30T12:52:08"/>
    <d v="1899-12-30T13:25:00"/>
    <n v="33"/>
    <m/>
    <m/>
    <m/>
    <s v="SHME OR 01"/>
    <s v="Orthopedics"/>
    <s v="No"/>
    <s v="Schultz, Jeffrey Eugene, Md"/>
    <s v="ARTHROPLASTY, KNEE, CONDYLE AND PLATEAU; MEDIAL AND LATERAL COMPARTMENTSWITH OR WITHOUT PATELLA RESURFACING (TOTAL KNEE ARTHROPLASTY)"/>
    <s v="RIGHT TOTAL KNEE REPLACEMENT - Right"/>
    <s v="Thu"/>
    <m/>
    <m/>
    <m/>
    <s v="SCHULTZ, JEFFREY EUGENE"/>
    <m/>
    <s v="Jeffrey Eugene Schultz, MD"/>
    <m/>
    <s v="Schultz"/>
  </r>
  <r>
    <d v="2026-08-13T00:00:00"/>
    <s v="6590234"/>
    <s v="Hooper, Maxwell"/>
    <s v="Outpatient"/>
    <x v="1"/>
    <n v="3901440169"/>
    <s v="100764874"/>
    <d v="1992-05-05T00:00:00"/>
    <s v="Nelson, Jesse Stuart, DO"/>
    <s v="General"/>
    <s v="2"/>
    <d v="1899-12-30T09:47:00"/>
    <d v="1899-12-30T11:11:00"/>
    <n v="84"/>
    <d v="1899-12-30T09:30:00"/>
    <d v="1899-12-30T10:30:00"/>
    <n v="60"/>
    <d v="1899-12-30T09:47:00"/>
    <d v="1899-12-30T11:02:00"/>
    <n v="75"/>
    <d v="1899-12-30T10:18:00"/>
    <d v="1899-12-30T10:53:00"/>
    <d v="1899-12-30T11:02:00"/>
    <n v="75"/>
    <n v="35"/>
    <d v="1899-12-30T11:05:00"/>
    <d v="1899-12-30T11:40:00"/>
    <n v="35"/>
    <m/>
    <m/>
    <m/>
    <s v="SHME OR 05"/>
    <s v="ENT"/>
    <s v="No"/>
    <s v="Mansfield, Perry Thomas, Md, Frcpc"/>
    <s v="STEREOTACTIC COMPUTER-ASSISTED (NAVIGATIONAL) PROCEDURE; CRANIAL,EXTRADURAL (LIST SEPARATELY IN ADDITION TO CODE FOR PRIMARY PROCEDURE)_x000a_SEPTOPLASTY OR SUBMUCOUS RESECTION, WITH OR WITHOUT CARTILAGE SCORING,CONTOURING OR REPLACEMENT WITH GRAFT_x000a_CARTILAGE GRAFT; NASAL SEPTUM_x000a_REPAIR OF NASAL VESTIBULAR STENOSIS (EG, SPREADER GRAFTING, LATERALNASAL WALL RECONSTRUCTION)_x000a_REPAIR, COMPLEX, EYELIDS, NOSE, EARS AND/OR LIPS; 1.1 CM TO 2.5 CM_x000a_EXCISION OF BONE (EG, FOR OSTEOMYELITIS OR BONE ABSCESS); FACIAL BONE(S)_x000a_SUBMUCOUS RESECTION INFERIOR TURBINATE, PARTIAL OR COMPLETE, ANY METHOD_x000a_FRACTURE NASAL INFERIOR TURBINATE(S), THERAPEUTIC_x000a_NASAL/SINUS ENDOSCOPY, SURGICAL; WITH CONCHA BULLOSA RESECTION_x000a_NASAL/SINUS ENDOSCOPY, SURGICAL; WITH BIOPSY, POLYPECTOMY OR DEBRIDEMENT(SEPARATE PROCEDURE)_x000a_NASAL/SINUS ENDOSCOPY, SURGICAL; WITH ETHMOIDECTOMY, PARTIAL (ANTERIOR)"/>
    <s v="USE OF STEREOTACTIC NAVIGATION, SEPTOPLASTY, NASAL SEPTUM CARTILAGE GRAFT, VESTIBULAR STENOSIS REPAIR, BILATERAL SUBMUCOUSAL RESECTION AND OUTFRACTURE OF INFERIOR TURBINATES, BILATERAL ENDOSCOPIC CONCHA BULLOSA RESECTION, BILATERAL ENDOSCOPIC NASAL POLYPECTOMY AND DEBRIDEMENT, BILATERAL ENDOSCOPIC ANTERIOR ETHMOIDECTOMY - N/A"/>
    <s v="Thu"/>
    <m/>
    <m/>
    <m/>
    <s v="MANSFIELD, PERRY THOMAS"/>
    <m/>
    <s v="Perry Thomas Mansfield, MD, FRCPC"/>
    <m/>
    <s v="Mansfield"/>
  </r>
  <r>
    <d v="2026-08-13T00:00:00"/>
    <s v="6590896"/>
    <s v="Orozco, Ruby J"/>
    <s v="Outpatient"/>
    <x v="1"/>
    <n v="3901440323"/>
    <s v="611699781"/>
    <d v="1968-12-07T00:00:00"/>
    <s v="Ngo, Donald Hanh, MD"/>
    <s v="General"/>
    <s v="2"/>
    <d v="1899-12-30T13:58:00"/>
    <d v="1899-12-30T15:21:00"/>
    <n v="83"/>
    <d v="1899-12-30T12:30:00"/>
    <d v="1899-12-30T13:45:00"/>
    <n v="75"/>
    <d v="1899-12-30T13:58:00"/>
    <d v="1899-12-30T15:17:00"/>
    <n v="79"/>
    <d v="1899-12-30T14:32:00"/>
    <d v="1899-12-30T15:14:00"/>
    <d v="1899-12-30T15:17:00"/>
    <n v="79"/>
    <n v="42"/>
    <d v="1899-12-30T15:20:17"/>
    <d v="1899-12-30T16:46:00"/>
    <n v="86"/>
    <d v="1899-12-30T16:47:00"/>
    <d v="1899-12-30T17:07:00"/>
    <n v="20"/>
    <s v="SHME OR 14"/>
    <s v="Urology"/>
    <s v="Yes"/>
    <s v="Unterberg, Stephen Harold, Md"/>
    <s v="CYSTOURETHROSCOPY, WITH URETEROSCOPY AND/OR PYELOSCOPY; WITHLITHOTRIPSY INCLUDING INSERTION OF INDWELLING URETERAL STENT (EG,GIBBONS OR DOUBLE-J TYPE)_x000a_UROGRAPHY, RETROGRADE, WITH OR WITHOUT KUB_x000a_LITHOLAPAXY: CRUSHING OR FRAGMENTATION OF CALCULUS BY ANY MEANS INBLADDER AND REMOVAL OF FRAGMENTS; SIMPLE OR SMALL (LESS THAN 2.5 CM)"/>
    <s v="CYSTOSCOPY, RIGHT RETROGRADE PYELOGRAM, RIGHT URETEROSCOPY, RIGHT LASER LITHOTRIPSY, RIGHT URETERAL STENT INSERTION, CYSTOLITHOLAPAXY LASER LITHOTRIPSY - Right"/>
    <s v="Thu"/>
    <m/>
    <m/>
    <m/>
    <s v="UNTERBERG, STEPHEN HAROLD"/>
    <m/>
    <s v="Stephen Harold Unterberg, MD"/>
    <m/>
    <s v="Unterberg"/>
  </r>
  <r>
    <d v="2026-08-13T00:00:00"/>
    <s v="6593266"/>
    <s v="Watkins, Joyce C"/>
    <s v="Outpatient"/>
    <x v="1"/>
    <n v="3901440921"/>
    <s v="601859627"/>
    <d v="1945-05-29T00:00:00"/>
    <s v="Rayan, Hany A, MD"/>
    <s v="Regional"/>
    <s v="3"/>
    <d v="1899-12-30T09:43:00"/>
    <d v="1899-12-30T10:57:00"/>
    <n v="74"/>
    <d v="1899-12-30T10:45:00"/>
    <d v="1899-12-30T11:45:00"/>
    <n v="60"/>
    <d v="1899-12-30T09:43:00"/>
    <d v="1899-12-30T10:52:00"/>
    <n v="69"/>
    <d v="1899-12-30T10:05:00"/>
    <d v="1899-12-30T10:44:00"/>
    <d v="1899-12-30T10:52:00"/>
    <n v="69"/>
    <n v="39"/>
    <d v="1899-12-30T10:56:00"/>
    <d v="1899-12-30T11:15:00"/>
    <n v="19"/>
    <m/>
    <m/>
    <m/>
    <s v="SHME OR 02"/>
    <s v="General"/>
    <s v="No"/>
    <s v="Langenberg, Bret James, Do"/>
    <s v="MASTECTOMY, PARTIAL (EG, LUMPECTOMY, TYLECTOMY, QUADRANTECTOMY,SEGMENTECTOMY);_x000a_INTRAOPERATIVE IDENTIFICATION (EG, MAPPING) OF SENTINEL LYMPH NODE(S)INCLUDES INJECTION OF NON-RADIOACTIVE DYE, WHEN PERFORMED (LISTSEPARATELY IN ADDITION TO CODE FOR PRIMARY PROCEDURE)_x000a_BIOPSY OR EXCISION OF LYMPH NODE(S); OPEN, DEEP AXILLARY NODE(S)"/>
    <s v="RIGHT BREAST SIMPLE MASTECTOMY WITH SENTINEL LYMPH NODE BIOPSY - Right"/>
    <s v="Thu"/>
    <m/>
    <m/>
    <m/>
    <s v="LANGENBERG, BRET JAMES"/>
    <m/>
    <s v="Bret James Langenberg, DO"/>
    <m/>
    <s v="Langenberg"/>
  </r>
  <r>
    <d v="2026-08-13T00:00:00"/>
    <s v="6603109"/>
    <s v="St Clair, Patricia E"/>
    <s v="Outpatient"/>
    <x v="1"/>
    <n v="3901442799"/>
    <s v="604298411"/>
    <d v="1957-02-08T00:00:00"/>
    <s v="Fan, Ting-Wei, MD"/>
    <s v="General"/>
    <s v="3"/>
    <d v="1899-12-30T07:28:00"/>
    <d v="1899-12-30T09:03:00"/>
    <n v="95"/>
    <d v="1899-12-30T07:30:00"/>
    <d v="1899-12-30T09:00:00"/>
    <n v="90"/>
    <d v="1899-12-30T07:28:00"/>
    <d v="1899-12-30T08:56:00"/>
    <n v="88"/>
    <d v="1899-12-30T07:49:00"/>
    <d v="1899-12-30T08:50:00"/>
    <d v="1899-12-30T08:56:00"/>
    <n v="88"/>
    <n v="61"/>
    <d v="1899-12-30T08:57:46"/>
    <d v="1899-12-30T10:59:00"/>
    <n v="122"/>
    <d v="1899-12-30T11:00:00"/>
    <d v="1899-12-30T12:00:00"/>
    <n v="60"/>
    <s v="SHME OR 15"/>
    <s v="General"/>
    <s v="No"/>
    <s v="Rivera, Louis, Md"/>
    <s v="EXCISION, MALIGNANT LESION INCLUDING MARGINS, TRUNK, ARMS, OR LEGS;EXCISED DIAMETER OVER 4.0 CM_x000a_REPAIR, INTERMEDIATE, WOUNDS OF SCALP, AXILLAE, TRUNK AND/OR EXTREMITIES(EXCLUDING HANDS AND FEET); 12.6 CM TO 20.0 CM_x000a_INTRAOPERATIVE IDENTIFICATION (EG, MAPPING) OF SENTINEL LYMPH NODE(S)INCLUDES INJECTION OF NON-RADIOACTIVE DYE, WHEN PERFORMED (LISTSEPARATELY IN ADDITION TO CODE FOR PRIMARY PROCEDURE)_x000a_BIOPSY OR EXCISION OF LYMPH NODE(S); OPEN, INGUINOFEMORAL NODE(S)"/>
    <s v="WIDE LOCAL EXCISION OF RIGHT LOWER EXTREMITY MELANOMA, INTERMEDIATE COMPLEXITY CLOSURE RIGHT THIGH WOUND, RIGHT INGUINAL SENTINEL LYMPH NODE MAPPING AND BIOPSY - Right"/>
    <s v="Thu"/>
    <m/>
    <m/>
    <m/>
    <s v="RIVERA, LOUIS"/>
    <m/>
    <s v="Louis Rivera, MD"/>
    <m/>
    <s v="Rivera"/>
  </r>
  <r>
    <d v="2026-08-13T00:00:00"/>
    <s v="6603159"/>
    <s v="Ibarra, Ruth"/>
    <s v="Outpatient"/>
    <x v="1"/>
    <n v="3901442802"/>
    <s v="700953504"/>
    <d v="1951-05-24T00:00:00"/>
    <s v="Julian, Jeric Israel Burguillos, DO"/>
    <s v="Regional"/>
    <s v="3"/>
    <d v="1899-12-30T13:52:00"/>
    <d v="1899-12-30T16:05:00"/>
    <n v="133"/>
    <d v="1899-12-30T14:00:00"/>
    <d v="1899-12-30T16:45:00"/>
    <n v="165"/>
    <d v="1899-12-30T13:52:00"/>
    <d v="1899-12-30T16:00:00"/>
    <n v="128"/>
    <d v="1899-12-30T14:14:00"/>
    <d v="1899-12-30T15:56:00"/>
    <d v="1899-12-30T16:00:00"/>
    <n v="128"/>
    <n v="102"/>
    <d v="1899-12-30T16:00:00"/>
    <d v="1899-12-30T17:15:00"/>
    <n v="75"/>
    <m/>
    <m/>
    <m/>
    <s v="SHME OR 01"/>
    <s v="Orthopedics"/>
    <s v="Yes"/>
    <s v="Schultz, Jeffrey Eugene, Md"/>
    <s v="ARTHROPLASTY, KNEE, CONDYLE AND PLATEAU; MEDIAL AND LATERAL COMPARTMENTSWITH OR WITHOUT PATELLA RESURFACING (TOTAL KNEE ARTHROPLASTY)"/>
    <s v="LEFT TOTAL KNEE REPLACEMENT - Left"/>
    <s v="Thu"/>
    <m/>
    <m/>
    <m/>
    <s v="SCHULTZ, JEFFREY EUGENE"/>
    <m/>
    <s v="Jeffrey Eugene Schultz, MD"/>
    <m/>
    <s v="Schultz"/>
  </r>
  <r>
    <d v="2026-08-13T00:00:00"/>
    <s v="6603332"/>
    <s v="Cole, Kathy M"/>
    <s v="Inpatient"/>
    <x v="0"/>
    <n v="3901442828"/>
    <s v="305110630"/>
    <d v="1945-03-31T00:00:00"/>
    <s v="Narla, Vinod Venkat, MD"/>
    <s v="General"/>
    <s v="2"/>
    <d v="1899-12-30T11:15:00"/>
    <d v="1899-12-30T14:02:00"/>
    <n v="167"/>
    <d v="1899-12-30T10:30:00"/>
    <d v="1899-12-30T13:30:00"/>
    <n v="180"/>
    <d v="1899-12-30T11:15:00"/>
    <d v="1899-12-30T13:55:00"/>
    <n v="160"/>
    <d v="1899-12-30T11:47:00"/>
    <d v="1899-12-30T13:51:00"/>
    <d v="1899-12-30T13:55:00"/>
    <n v="160"/>
    <n v="124"/>
    <d v="1899-12-30T13:56:12"/>
    <d v="1899-12-30T15:15:00"/>
    <n v="79"/>
    <m/>
    <m/>
    <m/>
    <s v="SHME OR 10"/>
    <s v="Urology"/>
    <s v="Yes"/>
    <s v="Salem, Carol Elizabeth, Md"/>
    <s v="REPAIR OF PARASTOMAL HERNIA, ANY APPROACH (IE, OPEN, LAPAROSCOPIC, ROBOTIC), INITIAL OR RECURRENT, INCLUDING IMPLANTATION OF MESH OR OTHER PROSTHESIS, WHEN PERFORMED; INCARCERATED OR STRANGULATED_x000a_INJECTION PROCEDURE FOR VISUALIZATION OF ILEAL CONDUIT AND/ORURETEROPYELOGRAPHY, EXCLUSIVE OF RADIOLOGIC SERVICE_x000a_UROGRAPHY, ANTEGRADE (PYELOSTOGRAM, NEPHROSTOGRAM, LOOPOGRAM),RADIOLOGICAL SUPERVISION AND INTERPRETATION"/>
    <s v="OPEN REPAIR PARASTOMAL HERNIA, LOOPOGRAM IN OR - N/A"/>
    <s v="Thu"/>
    <m/>
    <m/>
    <m/>
    <s v="SALEM, CAROL ELIZABETH"/>
    <m/>
    <s v="Carol Elizabeth Salem, MD"/>
    <m/>
    <s v="Salem"/>
  </r>
  <r>
    <d v="2026-08-13T00:00:00"/>
    <s v="6603582"/>
    <s v="Hilz, Kathleen A"/>
    <s v="Inpatient"/>
    <x v="0"/>
    <n v="3901442882"/>
    <s v="100709660"/>
    <d v="1950-04-07T00:00:00"/>
    <s v="Nelson, Jesse Stuart, DO"/>
    <s v="General"/>
    <s v="3"/>
    <d v="1899-12-30T11:40:00"/>
    <d v="1899-12-30T13:03:00"/>
    <n v="83"/>
    <d v="1899-12-30T11:20:00"/>
    <d v="1899-12-30T13:20:00"/>
    <n v="120"/>
    <d v="1899-12-30T11:40:00"/>
    <d v="1899-12-30T12:54:00"/>
    <n v="74"/>
    <d v="1899-12-30T12:15:00"/>
    <d v="1899-12-30T12:48:00"/>
    <d v="1899-12-30T12:54:00"/>
    <n v="74"/>
    <n v="33"/>
    <d v="1899-12-30T12:57:00"/>
    <d v="1899-12-30T13:59:00"/>
    <n v="62"/>
    <m/>
    <m/>
    <m/>
    <s v="SHME OR 04"/>
    <s v="ENT"/>
    <s v="No"/>
    <s v="Mansfield, Perry Thomas, Md, Frcpc"/>
    <s v="STEREOTACTIC COMPUTER-ASSISTED (NAVIGATIONAL) PROCEDURE; CRANIAL,EXTRADURAL (LIST SEPARATELY IN ADDITION TO CODE FOR PRIMARY PROCEDURE)_x000a_FRACTURE NASAL INFERIOR TURBINATE(S), THERAPEUTIC_x000a_CRANIOFACIAL APPROACH TO ANTERIOR CRANIAL FOSSA; EXTRADURAL, INCLUDINGLATERAL RHINOTOMY, ETHMOIDECTOMY, SPHENOIDECTOMY, WITHOUT MAXILLECTOMYOR ORBITAL EXENTERATION_x000a_RESECTION OR EXCISION OF NEOPLASTIC, VASCULAR OR INFECTIOUS LESION OFPARASELLAR AREA, CAVERNOUS SINUS, CLIVUS OR MIDLINE SKULL BASE;EXTRADURAL"/>
    <s v="USE OF STEREOTACTIC NAVIGATION, TRANSNASAL REMOVAL OF NASOPHARYNX AND CLIVUS NEOPLASM - N/A"/>
    <s v="Thu"/>
    <m/>
    <m/>
    <m/>
    <s v="MANSFIELD, PERRY THOMAS"/>
    <m/>
    <s v="Perry Thomas Mansfield, MD, FRCPC"/>
    <m/>
    <s v="Mansfield"/>
  </r>
  <r>
    <d v="2026-08-13T00:00:00"/>
    <s v="6604297"/>
    <s v="Meganow, Madina"/>
    <s v="Outpatient"/>
    <x v="1"/>
    <n v="3901442969"/>
    <s v="810904886"/>
    <d v="1997-01-01T00:00:00"/>
    <s v="Chitlur, Abhijith Harish, MD"/>
    <s v="General"/>
    <s v="1"/>
    <d v="1899-12-30T09:14:00"/>
    <d v="1899-12-30T11:04:00"/>
    <n v="110"/>
    <d v="1899-12-30T09:00:00"/>
    <d v="1899-12-30T10:00:00"/>
    <n v="60"/>
    <d v="1899-12-30T09:14:00"/>
    <d v="1899-12-30T10:57:00"/>
    <n v="103"/>
    <d v="1899-12-30T09:36:00"/>
    <d v="1899-12-30T10:46:00"/>
    <d v="1899-12-30T10:57:00"/>
    <n v="103"/>
    <n v="70"/>
    <d v="1899-12-30T11:00:00"/>
    <d v="1899-12-30T11:46:00"/>
    <n v="46"/>
    <d v="1899-12-30T11:46:00"/>
    <d v="1899-12-30T12:21:00"/>
    <n v="35"/>
    <s v="SHME OR 16"/>
    <s v="Gynecology"/>
    <s v="No"/>
    <s v="Pham, Truce Duong Thanh, Md"/>
    <s v="HYSTEROSCOPY, SURGICAL; WITH REMOVAL OF IMPACTED FOREIGN BODY_x000a_REMOVAL OF PERITONEAL FOREIGN BODY FROM PERITONEAL CAVITY"/>
    <s v="HYSTEROSCOPY, IUD REMOVAL, POSSIBLE LAPAROSCOPY - N/A"/>
    <s v="Thu"/>
    <m/>
    <m/>
    <m/>
    <s v="PHAM, TRUCE DUONG THANH_x000a_SAPRA, SONIA VIPIN"/>
    <s v="Panel 1: Dr. Pham, Truce Duong Thanh, MD / Sapra, Sonia Vipin, MD"/>
    <s v="Truce Duong Thanh Pham, MD"/>
    <m/>
    <s v="Pham"/>
  </r>
  <r>
    <d v="2026-08-13T00:00:00"/>
    <s v="6604910"/>
    <s v="Hoffman, Joe E"/>
    <s v="Outpatient"/>
    <x v="1"/>
    <n v="3901443050"/>
    <s v="700972101"/>
    <d v="1965-07-03T00:00:00"/>
    <s v="Ngo, Donald Hanh, MD"/>
    <s v="General"/>
    <s v="3"/>
    <d v="1899-12-30T07:31:00"/>
    <d v="1899-12-30T08:55:00"/>
    <n v="84"/>
    <d v="1899-12-30T07:30:00"/>
    <d v="1899-12-30T09:00:00"/>
    <n v="90"/>
    <d v="1899-12-30T07:31:00"/>
    <d v="1899-12-30T08:50:00"/>
    <n v="79"/>
    <d v="1899-12-30T08:07:00"/>
    <d v="1899-12-30T08:45:00"/>
    <d v="1899-12-30T08:50:00"/>
    <n v="79"/>
    <n v="38"/>
    <d v="1899-12-30T08:52:00"/>
    <d v="1899-12-30T09:16:00"/>
    <n v="24"/>
    <m/>
    <m/>
    <m/>
    <s v="SHME OR 14"/>
    <s v="Urology"/>
    <s v="No"/>
    <s v="Unterberg, Stephen Harold, Md"/>
    <s v="TRANSURETHRAL ROBOTIC-ASSISTED WATERJET RESECTION OF PROSTATE, INCLUDING VASECTOMY, MEATOTOMY, CYSTOURETHROSCOPY, URETHRAL CALIBRATION AND/OR DILATION, AND INTERNAL URETHROTOMY, WHEN PERFORMED"/>
    <s v="CYSTOSCOPY, TRANSURETHRAL AQUABLATION OF THE PROSTATE - N/A"/>
    <s v="Thu"/>
    <m/>
    <m/>
    <m/>
    <s v="UNTERBERG, STEPHEN HAROLD"/>
    <m/>
    <s v="Stephen Harold Unterberg, MD"/>
    <m/>
    <s v="Unterberg"/>
  </r>
  <r>
    <d v="2026-08-13T00:00:00"/>
    <s v="6605520"/>
    <s v="Panther, Michael T"/>
    <s v="Outpatient"/>
    <x v="1"/>
    <n v="3901443173"/>
    <s v="701281335"/>
    <d v="1976-08-24T00:00:00"/>
    <s v="Chitlur, Abhijith Harish, MD"/>
    <s v="General"/>
    <s v="3"/>
    <d v="1899-12-30T13:27:00"/>
    <d v="1899-12-30T14:16:00"/>
    <n v="49"/>
    <d v="1899-12-30T12:30:00"/>
    <d v="1899-12-30T13:00:00"/>
    <n v="30"/>
    <d v="1899-12-30T13:27:00"/>
    <d v="1899-12-30T14:12:00"/>
    <n v="45"/>
    <d v="1899-12-30T13:54:00"/>
    <d v="1899-12-30T14:05:00"/>
    <d v="1899-12-30T14:12:00"/>
    <n v="45"/>
    <n v="11"/>
    <d v="1899-12-30T14:12:43"/>
    <d v="1899-12-30T14:46:00"/>
    <n v="34"/>
    <d v="1899-12-30T14:46:00"/>
    <d v="1899-12-30T15:15:00"/>
    <n v="29"/>
    <s v="SHME OR 16"/>
    <s v="Urology"/>
    <s v="No"/>
    <s v="Pe, Mark-Rally Lao, Md"/>
    <s v="CYSTOURETHROSCOPY, WITH INJECTION(S) FOR CHEMODENERVATION OF THE BLADDER"/>
    <s v="CYSTOSCOPY BLADDER BOTOX INJECTION - N/A"/>
    <s v="Thu"/>
    <m/>
    <m/>
    <m/>
    <s v="PE, MARK-RALLY LAO"/>
    <m/>
    <s v="Mark-Rally Lao Pe, MD"/>
    <m/>
    <s v="Pe"/>
  </r>
  <r>
    <d v="2026-08-13T00:00:00"/>
    <s v="6617287"/>
    <s v="Heimer, Steve R"/>
    <s v="Outpatient"/>
    <x v="1"/>
    <n v="3901445753"/>
    <s v="613137891"/>
    <d v="1963-11-19T00:00:00"/>
    <s v="Narla, Vinod Venkat, MD"/>
    <s v="General"/>
    <s v="2"/>
    <d v="1899-12-30T07:30:00"/>
    <d v="1899-12-30T10:24:00"/>
    <n v="174"/>
    <d v="1899-12-30T07:30:00"/>
    <d v="1899-12-30T10:00:00"/>
    <n v="150"/>
    <d v="1899-12-30T07:30:00"/>
    <d v="1899-12-30T10:17:00"/>
    <n v="167"/>
    <d v="1899-12-30T07:58:00"/>
    <d v="1899-12-30T10:14:00"/>
    <d v="1899-12-30T10:17:00"/>
    <n v="167"/>
    <n v="136"/>
    <d v="1899-12-30T10:17:51"/>
    <d v="1899-12-30T10:56:00"/>
    <n v="39"/>
    <m/>
    <m/>
    <m/>
    <s v="SHME OR 10"/>
    <s v="Urology"/>
    <s v="No"/>
    <s v="Salem, Carol Elizabeth, Md"/>
    <s v="LAPAROSCOPY, SURGICAL PROSTATECTOMY, RETROPUBIC RADICAL, INCLUDING NERVESPARING, INCLUDES ROBOTIC ASSISTANCE, WHEN PERFORMED"/>
    <s v="ROBOTIC RADICAL PROSTATECTOMY - N/A"/>
    <s v="Thu"/>
    <m/>
    <m/>
    <m/>
    <s v="SALEM, CAROL ELIZABETH"/>
    <m/>
    <s v="Carol Elizabeth Salem, MD"/>
    <m/>
    <s v="Salem"/>
  </r>
  <r>
    <d v="2026-08-13T00:00:00"/>
    <s v="6619180"/>
    <s v="Bigham, Harry R"/>
    <s v="Outpatient"/>
    <x v="1"/>
    <n v="3901446046"/>
    <s v="611504721"/>
    <d v="1953-04-21T00:00:00"/>
    <s v="Narla, Vinod Venkat, MD"/>
    <s v="General"/>
    <s v="2"/>
    <d v="1899-12-30T14:41:00"/>
    <d v="1899-12-30T16:02:00"/>
    <n v="81"/>
    <d v="1899-12-30T14:00:00"/>
    <d v="1899-12-30T15:00:00"/>
    <n v="60"/>
    <d v="1899-12-30T14:41:00"/>
    <d v="1899-12-30T15:55:00"/>
    <n v="74"/>
    <d v="1899-12-30T15:24:00"/>
    <d v="1899-12-30T15:49:00"/>
    <d v="1899-12-30T15:55:00"/>
    <n v="74"/>
    <n v="25"/>
    <d v="1899-12-30T15:58:00"/>
    <d v="1899-12-30T17:35:00"/>
    <n v="97"/>
    <d v="1899-12-30T17:35:00"/>
    <d v="1899-12-30T18:15:00"/>
    <n v="40"/>
    <s v="SHME OR 10"/>
    <s v="Urology"/>
    <s v="No"/>
    <s v="Salem, Carol Elizabeth, Md"/>
    <s v="CYSTOURETHROSCOPY, WITH BIOPSY(S)_x000a_BLADDER INSTILLATION OF ANTICARCINOGENIC AGENT (INCLUDING RETENTIONTIME)"/>
    <s v="BLUE LIGHT CYSTOSCOPY WITH BLADDER BIOPSY AND GEMCITABINE BLADDER INSTILLATION - N/A"/>
    <s v="Thu"/>
    <m/>
    <m/>
    <m/>
    <s v="SALEM, CAROL ELIZABETH"/>
    <m/>
    <s v="Carol Elizabeth Salem, MD"/>
    <m/>
    <s v="Salem"/>
  </r>
  <r>
    <d v="2026-08-13T00:00:00"/>
    <s v="6619719"/>
    <s v="Palmer, Lynda"/>
    <s v="Outpatient"/>
    <x v="1"/>
    <n v="3901446125"/>
    <s v="811477371"/>
    <d v="1947-07-09T00:00:00"/>
    <s v="Fan, Ting-Wei, MD"/>
    <s v="General"/>
    <s v="2"/>
    <d v="1899-12-30T09:33:00"/>
    <d v="1899-12-30T10:37:00"/>
    <n v="64"/>
    <d v="1899-12-30T09:30:00"/>
    <d v="1899-12-30T10:30:00"/>
    <n v="60"/>
    <d v="1899-12-30T09:33:00"/>
    <d v="1899-12-30T10:28:00"/>
    <n v="55"/>
    <d v="1899-12-30T09:47:00"/>
    <d v="1899-12-30T10:23:00"/>
    <d v="1899-12-30T10:28:00"/>
    <n v="55"/>
    <n v="36"/>
    <d v="1899-12-30T10:32:00"/>
    <d v="1899-12-30T11:34:00"/>
    <n v="62"/>
    <d v="1899-12-30T11:35:00"/>
    <d v="1899-12-30T14:24:00"/>
    <n v="169"/>
    <s v="SHME OR 15"/>
    <s v="General"/>
    <s v="Yes"/>
    <s v="Rivera, Louis, Md"/>
    <s v="EXCISION OF BREAST LESION IDENTIFIED BY PREOPERATIVE PLACEMENT OFRADIOLOGICAL MARKER, OPEN; SINGLE LESION_x000a_ADJACENT TISSUE TRANSFER OR REARRANGEMENT, TRUNK; DEFECT 10.1 SQ CM TO30.0 SQ CM"/>
    <s v="RIGHT LOCALIZED BREAST CONSERVING EXCISION OF BREAST CANCER, LOCAL TISSUE TRANSFER RIGHT BREAST - Right"/>
    <s v="Thu"/>
    <m/>
    <m/>
    <m/>
    <s v="RIVERA, LOUIS"/>
    <m/>
    <s v="Louis Rivera, MD"/>
    <m/>
    <s v="Rivera"/>
  </r>
  <r>
    <d v="2026-08-13T00:00:00"/>
    <s v="6621018"/>
    <s v="Sanchez, Alicia V"/>
    <s v="Outpatient"/>
    <x v="1"/>
    <n v="3901446430"/>
    <s v="701801562"/>
    <d v="1951-08-06T00:00:00"/>
    <s v="Nelson, Jesse Stuart, DO"/>
    <s v="General"/>
    <s v="2"/>
    <d v="1899-12-30T14:01:00"/>
    <d v="1899-12-30T15:26:00"/>
    <n v="85"/>
    <d v="1899-12-30T13:40:00"/>
    <d v="1899-12-30T15:40:00"/>
    <n v="120"/>
    <d v="1899-12-30T14:01:00"/>
    <d v="1899-12-30T15:18:00"/>
    <n v="77"/>
    <d v="1899-12-30T14:29:00"/>
    <d v="1899-12-30T15:04:00"/>
    <d v="1899-12-30T15:18:00"/>
    <n v="77"/>
    <n v="35"/>
    <d v="1899-12-30T15:20:00"/>
    <d v="1899-12-30T16:33:00"/>
    <n v="73"/>
    <m/>
    <m/>
    <m/>
    <s v="SHME OR 04"/>
    <s v="ENT"/>
    <s v="No"/>
    <s v="Mansfield, Perry Thomas, Md, Frcpc"/>
    <s v="STEREOTACTIC COMPUTER-ASSISTED (NAVIGATIONAL) PROCEDURE; CRANIAL,EXTRADURAL (LIST SEPARATELY IN ADDITION TO CODE FOR PRIMARY PROCEDURE)_x000a_EXCISION OF BONE (EG, FOR OSTEOMYELITIS OR BONE ABSCESS); FACIAL BONE(S)_x000a_FRACTURE NASAL INFERIOR TURBINATE(S), THERAPEUTIC_x000a_NASAL/SINUS ENDOSCOPY, SURGICAL WITH FRONTAL SINUS EXPLORATION, WITH ORWITHOUT REMOVAL OF TISSUE FROM FRONTAL SINUS_x000a_NASAL/SINUS ENDOSCOPY, SURGICAL, WITH MAXILLARY ANTROSTOMY; WITH REMOVALOF TISSUE FROM MAXILLARY SINUS_x000a_NASAL/SINUS ENDOSCOPY, SURGICAL WITH ETHMOIDECTOMY; TOTAL (ANTERIOR AND POSTERIOR), INCLUDING SPHENOIDOTOMY, WITH REMOVAL OF TISSUE FROM THE SPHENOID SINUS_x000a_NASAL/SINUS ENDOSCOPY, SURGICAL; WITH MEDIAL ORBITAL WALL AND INFERIORORBITAL WALL DECOMPRESSION_x000a_SINUSOTOMY, MAXILLARY (ANTROTOMY); RADICAL (CALDWELL-LUC) WITHOUTREMOVAL OF ANTROCHOANAL POLYPS"/>
    <s v="USE OF STEREOTACTIC NAVIGATION, BILATERAL TURBINATE OUTFRACTURE, LEFT FRONTAL SINUSOTOMY, LEFT MAXILLARY ANTROSTOMY, LEFT TOTAL ETHMOIDECTOMY AND LEFT SPHENOIDOTOMY, LEFT ORBITAL DECOMPRESSION, LEFT CALDWELL-LUC - N/A"/>
    <s v="Thu"/>
    <m/>
    <m/>
    <m/>
    <s v="MANSFIELD, PERRY THOMAS"/>
    <m/>
    <s v="Perry Thomas Mansfield, MD, FRCPC"/>
    <m/>
    <s v="Mansfield"/>
  </r>
  <r>
    <d v="2026-08-13T00:00:00"/>
    <s v="6625120"/>
    <s v="Murad Agha, Rafea S"/>
    <s v="Outpatient"/>
    <x v="1"/>
    <n v="3901447891"/>
    <s v="701098787"/>
    <d v="1973-06-13T00:00:00"/>
    <s v="Billys, James Brian, MD"/>
    <s v="General"/>
    <s v="2"/>
    <d v="1899-12-30T07:34:00"/>
    <d v="1899-12-30T09:32:00"/>
    <n v="118"/>
    <d v="1899-12-30T07:30:00"/>
    <d v="1899-12-30T09:00:00"/>
    <n v="90"/>
    <d v="1899-12-30T07:34:00"/>
    <d v="1899-12-30T09:24:00"/>
    <n v="110"/>
    <d v="1899-12-30T08:01:00"/>
    <d v="1899-12-30T09:17:00"/>
    <d v="1899-12-30T09:24:00"/>
    <n v="110"/>
    <n v="76"/>
    <d v="1899-12-30T09:29:38"/>
    <d v="1899-12-30T11:00:00"/>
    <n v="91"/>
    <d v="1899-12-30T11:00:00"/>
    <d v="1899-12-30T11:25:00"/>
    <n v="25"/>
    <s v="SHME OR 07"/>
    <s v="General"/>
    <s v="No"/>
    <s v="Fuller, William Daniel, Md"/>
    <s v="LAPAROSCOPY, SURGICAL; REPAIR INITIAL INGUINAL HERNIA"/>
    <s v="ROBOTIC POSSIBLE OPEN LEFT INGUINAL HERNIA REPAIR WITH MESH - Left"/>
    <s v="Thu"/>
    <m/>
    <m/>
    <m/>
    <s v="FULLER, WILLIAM DANIEL"/>
    <m/>
    <s v="William Daniel Fuller, MD"/>
    <m/>
    <s v="Fuller"/>
  </r>
  <r>
    <d v="2026-08-13T00:00:00"/>
    <s v="6627363"/>
    <s v="Shepherd, Susan"/>
    <s v="Outpatient"/>
    <x v="1"/>
    <n v="3901447583"/>
    <s v="612130161"/>
    <d v="1958-03-29T00:00:00"/>
    <s v="Fan, Ting-Wei, MD"/>
    <s v="General"/>
    <s v="2"/>
    <d v="1899-12-30T11:06:00"/>
    <d v="1899-12-30T12:26:00"/>
    <n v="80"/>
    <d v="1899-12-30T11:00:00"/>
    <d v="1899-12-30T12:30:00"/>
    <n v="90"/>
    <d v="1899-12-30T11:06:00"/>
    <d v="1899-12-30T12:17:00"/>
    <n v="71"/>
    <d v="1899-12-30T11:25:00"/>
    <d v="1899-12-30T12:13:00"/>
    <d v="1899-12-30T12:17:00"/>
    <n v="71"/>
    <n v="48"/>
    <d v="1899-12-30T12:19:00"/>
    <d v="1899-12-30T12:46:00"/>
    <n v="27"/>
    <d v="1899-12-30T12:46:00"/>
    <d v="1899-12-30T13:16:00"/>
    <n v="30"/>
    <s v="SHME OR 15"/>
    <s v="General"/>
    <s v="No"/>
    <s v="Rivera, Louis, Md"/>
    <s v="EXCISION, MALIGNANT LESION INCLUDING MARGINS, TRUNK, ARMS, OR LEGS;EXCISED DIAMETER OVER 4.0 CM_x000a_REPAIR, INTERMEDIATE, WOUNDS OF SCALP, AXILLAE, TRUNK AND/OR EXTREMITIES(EXCLUDING HANDS AND FEET); 12.6 CM TO 20.0 CM_x000a_INTRAOPERATIVE IDENTIFICATION (EG, MAPPING) OF SENTINEL LYMPH NODE(S)INCLUDES INJECTION OF NON-RADIOACTIVE DYE, WHEN PERFORMED (LISTSEPARATELY IN ADDITION TO CODE FOR PRIMARY PROCEDURE)_x000a_BIOPSY OR EXCISION OF LYMPH NODE(S); OPEN, DEEP AXILLARY NODE(S)"/>
    <s v="WIDE LOCAL EXCISION LEFT UPPER EXTREMITY MELANOMA, INTERMEDIATE COMPLEXITY CLOSURE LEFT UPPER EXTREMITY WOUND, LEFT AXILLARY SENTINEL LYMPH NODE MAPPING AND BIOPSY - Left"/>
    <s v="Thu"/>
    <m/>
    <m/>
    <m/>
    <s v="RIVERA, LOUIS"/>
    <m/>
    <s v="Louis Rivera, MD"/>
    <m/>
    <s v="Rivera"/>
  </r>
  <r>
    <d v="2026-08-13T00:00:00"/>
    <s v="6627368"/>
    <s v="Zachary, Zaq A"/>
    <s v="Outpatient"/>
    <x v="1"/>
    <n v="3901447584"/>
    <s v="810564064"/>
    <d v="1960-03-05T00:00:00"/>
    <s v="Chung, Michelle Sheryl, MD"/>
    <s v="General"/>
    <s v="2"/>
    <d v="1899-12-30T07:25:00"/>
    <d v="1899-12-30T09:41:00"/>
    <n v="136"/>
    <d v="1899-12-30T07:30:00"/>
    <d v="1899-12-30T09:30:00"/>
    <n v="120"/>
    <d v="1899-12-30T07:25:00"/>
    <d v="1899-12-30T09:36:00"/>
    <n v="131"/>
    <d v="1899-12-30T07:57:00"/>
    <d v="1899-12-30T09:31:00"/>
    <d v="1899-12-30T09:36:00"/>
    <n v="131"/>
    <n v="94"/>
    <d v="1899-12-30T09:40:50"/>
    <d v="1899-12-30T10:40:42"/>
    <n v="60"/>
    <d v="1899-12-30T10:41:00"/>
    <d v="1899-12-30T11:20:00"/>
    <n v="39"/>
    <s v="SHME OR 09"/>
    <s v="General"/>
    <s v="No"/>
    <s v="Giurgiu, Dan I.N., Md"/>
    <s v="LAPAROSCOPY, SURGICAL; REPAIR INITIAL INGUINAL HERNIA"/>
    <s v="ROBOT REPAIR OF RIGHT INGUINAL HERNIA WITH MESH, POSSIBLE BILATERAL, POSSIBLE OPEN. - Right"/>
    <s v="Thu"/>
    <m/>
    <m/>
    <m/>
    <s v="GIURGIU, DAN I.N."/>
    <m/>
    <s v="Dan I.N. Giurgiu, MD (619-330-8330)"/>
    <m/>
    <s v="Giurgiu"/>
  </r>
  <r>
    <d v="2026-08-13T00:00:00"/>
    <s v="6627382"/>
    <s v="Long, Charles A"/>
    <s v="Outpatient"/>
    <x v="1"/>
    <n v="3901447587"/>
    <s v="700663983"/>
    <d v="1950-10-31T00:00:00"/>
    <s v="Chung, Michelle Sheryl, MD"/>
    <s v="General"/>
    <s v="2"/>
    <d v="1899-12-30T10:28:00"/>
    <d v="1899-12-30T12:06:00"/>
    <n v="98"/>
    <d v="1899-12-30T10:00:00"/>
    <d v="1899-12-30T12:00:00"/>
    <n v="120"/>
    <d v="1899-12-30T10:25:00"/>
    <d v="1899-12-30T12:01:00"/>
    <n v="96"/>
    <d v="1899-12-30T10:50:00"/>
    <d v="1899-12-30T11:57:00"/>
    <d v="1899-12-30T12:01:00"/>
    <n v="96"/>
    <n v="67"/>
    <d v="1899-12-30T12:05:00"/>
    <d v="1899-12-30T13:49:00"/>
    <n v="104"/>
    <d v="1899-12-30T13:50:00"/>
    <d v="1899-12-30T15:55:00"/>
    <n v="125"/>
    <s v="SHME OR 09"/>
    <s v="General"/>
    <s v="No"/>
    <s v="Price, Erin Michelle, Md"/>
    <s v="LAPAROSCOPY, SURGICAL; REPAIR INITIAL INGUINAL HERNIA"/>
    <s v="ROBOT REPAIR OF LEFT INGUINAL HERNIA WITH MESH, POSSIBLE BILATERAL, POSSIBLE OPEN. - Left"/>
    <s v="Thu"/>
    <m/>
    <m/>
    <m/>
    <s v="PRICE, ERIN MICHELLE"/>
    <m/>
    <s v="Erin Michelle Price, MD"/>
    <m/>
    <s v="Price"/>
  </r>
  <r>
    <d v="2026-08-13T00:00:00"/>
    <s v="6627390"/>
    <s v="Santos Estrella, Eliane C"/>
    <s v="Outpatient"/>
    <x v="1"/>
    <n v="3901447591"/>
    <s v="811016864"/>
    <d v="1980-10-29T00:00:00"/>
    <s v="Kim, Eung Do, MD"/>
    <s v="General"/>
    <s v="3"/>
    <d v="1899-12-30T13:36:00"/>
    <d v="1899-12-30T15:38:00"/>
    <n v="122"/>
    <d v="1899-12-30T13:30:00"/>
    <d v="1899-12-30T14:30:00"/>
    <n v="60"/>
    <d v="1899-12-30T13:36:00"/>
    <d v="1899-12-30T15:32:00"/>
    <n v="116"/>
    <d v="1899-12-30T14:04:00"/>
    <d v="1899-12-30T15:24:00"/>
    <d v="1899-12-30T15:32:00"/>
    <n v="116"/>
    <n v="80"/>
    <d v="1899-12-30T15:36:11"/>
    <d v="1899-12-30T16:26:27"/>
    <n v="50"/>
    <d v="1899-12-30T16:26:29"/>
    <d v="1899-12-30T17:05:00"/>
    <n v="39"/>
    <s v="SHME OR 15"/>
    <s v="General"/>
    <s v="No"/>
    <s v="Giurgiu, Dan I.N., Md"/>
    <s v="EXCISION, TUMOR, SOFT TISSUE OF PELVIS AND HIP AREA, SUBFASCIAL (EG,INTRAMUSCULAR); 5 CM OR GREATER"/>
    <s v="EXCISION OF RIGHT BUTTOCK MASS - Right"/>
    <s v="Thu"/>
    <m/>
    <m/>
    <m/>
    <s v="GIURGIU, DAN I.N."/>
    <m/>
    <s v="Dan I.N. Giurgiu, MD (619-330-8330)"/>
    <m/>
    <s v="Giurgiu"/>
  </r>
  <r>
    <d v="2026-08-13T00:00:00"/>
    <s v="6634863"/>
    <s v="Bruce, Melani"/>
    <s v="Outpatient"/>
    <x v="1"/>
    <n v="3901448887"/>
    <s v="701937377"/>
    <d v="1982-06-05T00:00:00"/>
    <s v="Ngo, Donald Hanh, MD"/>
    <s v="General"/>
    <s v="2"/>
    <d v="1899-12-30T15:48:00"/>
    <d v="1899-12-30T17:01:00"/>
    <n v="73"/>
    <d v="1899-12-30T16:00:00"/>
    <d v="1899-12-30T16:45:00"/>
    <n v="45"/>
    <d v="1899-12-30T15:48:00"/>
    <d v="1899-12-30T16:56:00"/>
    <n v="68"/>
    <d v="1899-12-30T16:13:00"/>
    <d v="1899-12-30T16:53:00"/>
    <d v="1899-12-30T16:56:00"/>
    <n v="68"/>
    <n v="40"/>
    <d v="1899-12-30T17:02:16"/>
    <d v="1899-12-30T18:01:00"/>
    <n v="59"/>
    <d v="1899-12-30T18:02:00"/>
    <d v="1899-12-30T18:19:00"/>
    <n v="17"/>
    <s v="SHME OR 17"/>
    <s v="Urology"/>
    <s v="No"/>
    <s v="Unterberg, Stephen Harold, Md"/>
    <s v="EXCISION OF VAGINAL CYST OR TUMOR_x000a_CYSTOURETHROSCOPY (SEPARATE PROCEDURE)"/>
    <s v="VAGINAL CYST REMOVAL, CYSTOSCOPY - N/A"/>
    <s v="Thu"/>
    <m/>
    <m/>
    <m/>
    <s v="UNTERBERG, STEPHEN HAROLD"/>
    <m/>
    <s v="Stephen Harold Unterberg, MD"/>
    <m/>
    <s v="Unterberg"/>
  </r>
  <r>
    <d v="2026-08-13T00:00:00"/>
    <s v="6635701"/>
    <s v="Bassett, Carol A"/>
    <s v="Outpatient"/>
    <x v="1"/>
    <n v="3901449078"/>
    <s v="305211179"/>
    <d v="1947-08-20T00:00:00"/>
    <s v="Rayan, Hany A, MD"/>
    <s v="General"/>
    <s v="2"/>
    <d v="1899-12-30T07:37:00"/>
    <d v="1899-12-30T08:34:00"/>
    <n v="57"/>
    <d v="1899-12-30T07:30:00"/>
    <d v="1899-12-30T08:15:00"/>
    <n v="45"/>
    <d v="1899-12-30T07:37:00"/>
    <d v="1899-12-30T08:28:00"/>
    <n v="51"/>
    <d v="1899-12-30T07:59:00"/>
    <d v="1899-12-30T08:17:00"/>
    <d v="1899-12-30T08:28:00"/>
    <n v="51"/>
    <n v="18"/>
    <d v="1899-12-30T08:32:56"/>
    <d v="1899-12-30T10:07:49"/>
    <n v="95"/>
    <d v="1899-12-30T10:07:51"/>
    <d v="1899-12-30T13:52:23"/>
    <n v="225"/>
    <s v="SHME OR 03"/>
    <s v="General"/>
    <s v="No"/>
    <s v="Langenberg, Bret James, Do"/>
    <s v="LAPAROSCOPY, SURGICAL; CHOLECYSTECTOMY"/>
    <s v="LAPAROSCOPIC CHOLECYSTECTOMY - N/A"/>
    <s v="Thu"/>
    <m/>
    <m/>
    <m/>
    <s v="LANGENBERG, BRET JAMES"/>
    <m/>
    <s v="Bret James Langenberg, DO"/>
    <m/>
    <s v="Langenberg"/>
  </r>
  <r>
    <d v="2026-08-13T00:00:00"/>
    <s v="6641301"/>
    <s v="Gonzalez Ripa, Brianna L"/>
    <s v="Inpatient"/>
    <x v="0"/>
    <n v="3901449670"/>
    <s v="810573024"/>
    <d v="1996-08-14T00:00:00"/>
    <s v="Fan, Ting-Wei, MD"/>
    <s v="General"/>
    <s v="3"/>
    <d v="1899-12-30T13:26:00"/>
    <d v="1899-12-30T15:08:00"/>
    <n v="102"/>
    <d v="1899-12-30T13:00:00"/>
    <d v="1899-12-30T17:00:00"/>
    <n v="240"/>
    <d v="1899-12-30T13:26:00"/>
    <d v="1899-12-30T14:59:00"/>
    <n v="93"/>
    <d v="1899-12-30T14:11:00"/>
    <d v="1899-12-30T14:47:00"/>
    <d v="1899-12-30T14:59:00"/>
    <n v="93"/>
    <n v="36"/>
    <d v="1899-12-30T15:01:00"/>
    <d v="1899-12-30T15:10:00"/>
    <n v="9"/>
    <m/>
    <m/>
    <m/>
    <s v="SHME OR 06"/>
    <s v="Oral Surgery"/>
    <s v="No"/>
    <s v="Hammer, Daniel Aloysius, Dds"/>
    <s v="OPEN TREATMENT OF PALATAL OR MAXILLARY FRACTURE (LEFORT I TYPE);"/>
    <s v="OPEN TREATMENT OF PALATAL OR MAXILLARY FRACTURE (LEFORT I TYPE) - Bilateral"/>
    <s v="Thu"/>
    <m/>
    <s v="ED/IP/IC"/>
    <m/>
    <s v="HAMMER, DANIEL ALOYSIUS"/>
    <m/>
    <s v="Daniel Aloysius Hammer, DDS"/>
    <m/>
    <s v="Hammer"/>
  </r>
  <r>
    <d v="2026-08-13T00:00:00"/>
    <s v="6643723"/>
    <s v="Garcia Renteria, Angelica R"/>
    <s v="Outpatient"/>
    <x v="1"/>
    <n v="3901450753"/>
    <s v="811181826"/>
    <d v="1989-12-06T00:00:00"/>
    <s v="Ngo, Donald Hanh, MD"/>
    <s v="General"/>
    <s v="2"/>
    <d v="1899-12-30T10:45:00"/>
    <d v="1899-12-30T11:48:00"/>
    <n v="63"/>
    <d v="1899-12-30T09:30:00"/>
    <d v="1899-12-30T10:30:00"/>
    <n v="60"/>
    <d v="1899-12-30T10:45:00"/>
    <d v="1899-12-30T11:43:00"/>
    <n v="58"/>
    <d v="1899-12-30T11:12:00"/>
    <d v="1899-12-30T11:39:00"/>
    <d v="1899-12-30T11:43:00"/>
    <n v="58"/>
    <n v="27"/>
    <d v="1899-12-30T11:45:00"/>
    <d v="1899-12-30T12:26:38"/>
    <n v="41"/>
    <d v="1899-12-30T12:26:40"/>
    <d v="1899-12-30T13:58:57"/>
    <n v="92"/>
    <s v="SHME OR 14"/>
    <s v="Urology"/>
    <s v="No"/>
    <s v="Unterberg, Stephen Harold, Md"/>
    <s v="CYSTOURETHROSCOPY, WITH URETEROSCOPY AND/OR PYELOSCOPY; WITHLITHOTRIPSY INCLUDING INSERTION OF INDWELLING URETERAL STENT (EG,GIBBONS OR DOUBLE-J TYPE)"/>
    <s v="CYSTOSCOPY, LEFT RETROGRADE PYELOGRAM, LEFT URETEROSCOPY, LEFT LASER LITHOTRIPSY, LEFT URETERAL STENT INSERTION - Left"/>
    <s v="Thu"/>
    <m/>
    <m/>
    <m/>
    <s v="UNTERBERG, STEPHEN HAROLD"/>
    <m/>
    <s v="Stephen Harold Unterberg, MD"/>
    <m/>
    <s v="Unterberg"/>
  </r>
  <r>
    <d v="2026-08-13T00:00:00"/>
    <s v="6645601"/>
    <s v="Avila, Gustavo Torres Jr."/>
    <s v="Inpatient"/>
    <x v="0"/>
    <n v="3400728787"/>
    <s v="810760250"/>
    <d v="1985-03-29T00:00:00"/>
    <s v="Vasant, Kris Kishore, MD"/>
    <s v="Regional"/>
    <s v="4"/>
    <d v="1899-12-30T06:34:00"/>
    <d v="1899-12-30T15:57:00"/>
    <n v="563"/>
    <d v="1899-12-30T06:15:00"/>
    <d v="1899-12-30T12:15:00"/>
    <n v="360"/>
    <d v="1899-12-30T06:34:00"/>
    <d v="1899-12-30T15:42:00"/>
    <n v="548"/>
    <d v="1899-12-30T08:30:00"/>
    <d v="1899-12-30T15:24:00"/>
    <d v="1899-12-30T15:42:00"/>
    <n v="548"/>
    <n v="414"/>
    <m/>
    <m/>
    <m/>
    <m/>
    <m/>
    <m/>
    <s v="SHME OR 08"/>
    <s v="Cardiothoracic"/>
    <s v="Yes"/>
    <s v="Williams, David Mccann, Md"/>
    <s v="CORONARY ARTERY BYPASS, USING ARTERIAL GRAFT(S); 3 CORONARY ARTERIALGRAFTS_x000a_HARVEST OF UPPER EXTREMITY ARTERY, 1 SEGMENT, FOR CORONARY ARTERY BYPASS PROCEDURE, OPEN_x000a_ENDOSCOPY, SURGICAL, INCLUDING VIDEO-ASSISTED HARVEST OF VEIN(S) FORCORONARY ARTERY BYPASS PROCEDURE (LIST SEPARATELY IN ADDITION TO CODEFOR PRIMARY PROCEDURE)"/>
    <s v="CORONARY ARTERY BYPASS GRAFT; LEFT INTERNAL MAMMARY ARTERY; RADIAL ARTERY HARVEST; ENDOSCOPIC VEIN HARVEST. - N/A"/>
    <s v="Thu"/>
    <m/>
    <m/>
    <m/>
    <s v="ISLAMI MANUCHEHRY, MOHAMMAD HOSEIN_x000a_WILLIAMS, DAVID MCCANN"/>
    <s v="Panel 1: Dr. Williams, David McCann, MD / Islami Manuchehry, Mohammad Hosein, MD"/>
    <s v="David McCann Williams, MD"/>
    <m/>
    <s v="Williams"/>
  </r>
  <r>
    <d v="2026-08-13T00:00:00"/>
    <s v="6647790"/>
    <s v="Evans, Gloria"/>
    <s v="Inpatient"/>
    <x v="0"/>
    <n v="3901441220"/>
    <s v="811480083"/>
    <d v="1965-02-23T00:00:00"/>
    <s v="Fan, Ting-Wei, MD"/>
    <s v="General"/>
    <s v="3"/>
    <d v="1899-12-30T16:02:00"/>
    <d v="1899-12-30T17:48:00"/>
    <n v="106"/>
    <d v="1899-12-30T16:00:00"/>
    <d v="1899-12-30T17:30:00"/>
    <n v="90"/>
    <d v="1899-12-30T16:02:00"/>
    <d v="1899-12-30T17:41:00"/>
    <n v="99"/>
    <d v="1899-12-30T16:28:00"/>
    <d v="1899-12-30T17:35:00"/>
    <d v="1899-12-30T17:41:00"/>
    <n v="99"/>
    <n v="67"/>
    <d v="1899-12-30T17:47:21"/>
    <d v="1899-12-30T18:51:00"/>
    <n v="64"/>
    <m/>
    <m/>
    <m/>
    <s v="SHME OR 06"/>
    <s v="Vascular"/>
    <s v="Yes"/>
    <s v="Fernandez, Nathanial, Md"/>
    <s v="REVISION, OPEN, ARTERIOVENOUS FISTULA; WITHOUT THROMBECTOMY, AUTOGENOUSOR NONAUTOGENOUS DIALYSIS GRAFT (SEPARATE PROCEDURE)"/>
    <s v="LEFT UPPER EXTREMITY ARTERIOVENOUS GRAFT - Left"/>
    <s v="Thu"/>
    <m/>
    <m/>
    <m/>
    <s v="FERNANDEZ, NATHANIAL"/>
    <m/>
    <s v="Nathanial Fernandez, MD"/>
    <m/>
    <s v="Fernandez"/>
  </r>
  <r>
    <d v="2026-08-13T00:00:00"/>
    <s v="6649214"/>
    <s v="Arroyos, Richard A"/>
    <s v="Inpatient"/>
    <x v="0"/>
    <n v="3901451268"/>
    <s v="700492293"/>
    <d v="1957-03-22T00:00:00"/>
    <s v="Nwabueze, Onyemaechi, MD"/>
    <s v="General"/>
    <s v="3"/>
    <d v="1899-12-30T15:31:00"/>
    <d v="1899-12-30T16:22:00"/>
    <n v="51"/>
    <d v="1899-12-30T15:00:00"/>
    <d v="1899-12-30T16:10:00"/>
    <n v="100"/>
    <d v="1899-12-30T15:31:00"/>
    <d v="1899-12-30T16:17:00"/>
    <n v="46"/>
    <d v="1899-12-30T15:57:00"/>
    <d v="1899-12-30T16:09:00"/>
    <d v="1899-12-30T16:17:00"/>
    <n v="46"/>
    <n v="12"/>
    <d v="1899-12-30T16:20:00"/>
    <d v="1899-12-30T16:31:00"/>
    <n v="11"/>
    <m/>
    <m/>
    <m/>
    <s v="SHME OR 02"/>
    <s v="Orthopedics"/>
    <s v="Yes"/>
    <s v="Quacinella, Michael Andrew, Do, Mph"/>
    <s v="DRAINAGE OF TENDON SHEATH, DIGIT AND/OR PALM, EACH"/>
    <s v="DRAINAGE OF TENDON SHEATH, DIGIT AND/OR PALM, EACH - Right"/>
    <s v="Thu"/>
    <m/>
    <s v="ED/IP/IC"/>
    <m/>
    <s v="QUACINELLA, MICHAEL ANDREW"/>
    <m/>
    <s v="Michael Andrew Quacinella, DO, MPH"/>
    <m/>
    <s v="Quacinella"/>
  </r>
  <r>
    <d v="2026-08-13T00:00:00"/>
    <s v="6649243"/>
    <s v="Leon, Leobardo C"/>
    <s v="Inpatient"/>
    <x v="0"/>
    <n v="3400726396"/>
    <s v="811482519"/>
    <d v="1946-02-18T00:00:00"/>
    <s v="Rayan, Hany A, MD"/>
    <s v="General"/>
    <s v="4"/>
    <d v="1899-12-30T11:42:00"/>
    <d v="1899-12-30T12:44:00"/>
    <n v="62"/>
    <d v="1899-12-30T11:05:00"/>
    <d v="1899-12-30T12:15:00"/>
    <n v="100"/>
    <d v="1899-12-30T11:42:00"/>
    <d v="1899-12-30T12:38:00"/>
    <n v="56"/>
    <d v="1899-12-30T12:10:00"/>
    <d v="1899-12-30T12:32:00"/>
    <d v="1899-12-30T12:38:00"/>
    <n v="56"/>
    <n v="22"/>
    <d v="1899-12-30T12:40:00"/>
    <d v="1899-12-30T13:50:00"/>
    <n v="70"/>
    <m/>
    <m/>
    <m/>
    <s v="SHME OR 02"/>
    <s v="Orthopedics"/>
    <s v="Yes"/>
    <s v="Quacinella, Michael Andrew, Do, Mph"/>
    <s v="ARTHROTOMY, KNEE, WITH EXPLORATION, DRAINAGE, OR REMOVAL OF FOREIGN BODY(EG, INFECTION)"/>
    <s v="ARTHROTOMY, KNEE, WITH EXPLORATION, DRAINAGE, OR REMOVAL OF FOREIGN BODY(EG, INFECTION) - Left"/>
    <s v="Thu"/>
    <m/>
    <m/>
    <m/>
    <s v="QUACINELLA, MICHAEL ANDREW"/>
    <m/>
    <s v="Michael Andrew Quacinella, DO, MPH"/>
    <m/>
    <s v="Quacinella"/>
  </r>
  <r>
    <d v="2026-08-13T00:00:00"/>
    <s v="6650027"/>
    <s v="Sang, Amphon Ann"/>
    <s v="Inpatient"/>
    <x v="0"/>
    <n v="3901450665"/>
    <s v="811048334"/>
    <d v="1971-01-08T00:00:00"/>
    <s v="Chung, Michelle Sheryl, MD"/>
    <s v="General"/>
    <s v="2"/>
    <d v="1899-12-30T13:10:00"/>
    <d v="1899-12-30T14:39:00"/>
    <n v="89"/>
    <d v="1899-12-30T12:30:00"/>
    <d v="1899-12-30T14:10:00"/>
    <n v="100"/>
    <d v="1899-12-30T13:10:00"/>
    <d v="1899-12-30T14:35:00"/>
    <n v="85"/>
    <d v="1899-12-30T13:41:00"/>
    <d v="1899-12-30T14:30:00"/>
    <d v="1899-12-30T14:35:00"/>
    <n v="85"/>
    <n v="49"/>
    <d v="1899-12-30T14:38:00"/>
    <d v="1899-12-30T15:01:00"/>
    <n v="23"/>
    <m/>
    <m/>
    <m/>
    <s v="SHME OR 09"/>
    <s v="General"/>
    <s v="No"/>
    <s v="Price, Erin Michelle, Md"/>
    <s v="LAPAROSCOPY, SURGICAL; CHOLECYSTECTOMY"/>
    <s v="Robotic cholecystectomy, possible laparoscopy, possible open procedure - N/A"/>
    <s v="Thu"/>
    <m/>
    <m/>
    <m/>
    <s v="PRICE, ERIN MICHELLE"/>
    <m/>
    <s v="Erin Michelle Price, MD"/>
    <m/>
    <s v="Price"/>
  </r>
  <r>
    <d v="2026-08-13T00:00:00"/>
    <s v="6650733"/>
    <s v="Guerrero, Patty"/>
    <s v="Inpatient"/>
    <x v="0"/>
    <n v="3400729583"/>
    <s v="400036778"/>
    <d v="1964-09-09T00:00:00"/>
    <s v="Ngo, Donald Hanh, MD"/>
    <s v="General"/>
    <s v="2"/>
    <d v="1899-12-30T09:17:00"/>
    <d v="1899-12-30T10:10:00"/>
    <n v="53"/>
    <d v="1899-12-30T09:00:00"/>
    <d v="1899-12-30T09:50:00"/>
    <n v="50"/>
    <d v="1899-12-30T09:17:00"/>
    <d v="1899-12-30T10:05:00"/>
    <n v="48"/>
    <d v="1899-12-30T09:53:00"/>
    <d v="1899-12-30T10:03:00"/>
    <d v="1899-12-30T10:05:00"/>
    <n v="48"/>
    <n v="10"/>
    <d v="1899-12-30T10:10:09"/>
    <d v="1899-12-30T10:26:00"/>
    <n v="16"/>
    <m/>
    <m/>
    <m/>
    <s v="SHME OR 17"/>
    <s v="Urology"/>
    <s v="No"/>
    <s v="Unterberg, Stephen Harold, Md"/>
    <s v="CYSTOURETHROSCOPY, WITH INSERTION OF INDWELLING URETERAL STENT (EG,GIBBONS OR DOUBLE-J TYPE)"/>
    <s v="CYSTOURETHROSCOPY, WITH INSERTION OF INDWELLING URETERAL STENT (EG,GIBBONS OR DOUBLE-J TYPE) - Right"/>
    <s v="Thu"/>
    <m/>
    <m/>
    <m/>
    <s v="UNTERBERG, STEPHEN HAROLD"/>
    <m/>
    <s v="Stephen Harold Unterberg, MD"/>
    <m/>
    <s v="Unterberg"/>
  </r>
  <r>
    <d v="2026-08-13T00:00:00"/>
    <s v="6650972"/>
    <s v="Eguina, James"/>
    <s v="Inpatient"/>
    <x v="0"/>
    <n v="3901451944"/>
    <s v="701720521"/>
    <d v="1965-07-02T00:00:00"/>
    <s v="Chung, Michelle Sheryl, MD"/>
    <s v="General"/>
    <s v="3"/>
    <d v="1899-12-30T15:10:00"/>
    <d v="1899-12-30T16:00:00"/>
    <n v="50"/>
    <d v="1899-12-30T14:40:00"/>
    <d v="1899-12-30T16:05:00"/>
    <n v="85"/>
    <d v="1899-12-30T15:10:00"/>
    <d v="1899-12-30T15:56:00"/>
    <n v="46"/>
    <d v="1899-12-30T15:36:00"/>
    <d v="1899-12-30T15:44:00"/>
    <d v="1899-12-30T15:56:00"/>
    <n v="46"/>
    <n v="8"/>
    <d v="1899-12-30T15:58:23"/>
    <d v="1899-12-30T16:25:00"/>
    <n v="27"/>
    <m/>
    <m/>
    <m/>
    <s v="SHME OR 09"/>
    <s v="General"/>
    <s v="No"/>
    <s v="Price, Erin Michelle, Md"/>
    <s v="DEBRIDEMENT, MUSCLE AND/OR FASCIA (INCLUDES EPIDERMIS, DERMIS, ANDSUBCUTANEOUS TISSUE, IF PERFORMED); FIRST 20 SQ CM OR LESS"/>
    <s v="DEBRIDEMENT OF LEFT BUTTOCK - Left"/>
    <s v="Thu"/>
    <m/>
    <m/>
    <m/>
    <s v="PRICE, ERIN MICHELLE"/>
    <m/>
    <s v="Erin Michelle Price, MD"/>
    <m/>
    <s v="Price"/>
  </r>
  <r>
    <d v="2026-08-13T00:00:00"/>
    <s v="6651189"/>
    <s v="Felts, Brandy"/>
    <s v="Inpatient"/>
    <x v="0"/>
    <n v="3901452027"/>
    <s v="811487407"/>
    <d v="1973-01-08T00:00:00"/>
    <s v="Kim, Eung Do, MD"/>
    <s v="General"/>
    <s v="4"/>
    <d v="1899-12-30T11:15:00"/>
    <d v="1899-12-30T13:04:00"/>
    <n v="109"/>
    <d v="1899-12-30T10:45:00"/>
    <d v="1899-12-30T12:40:00"/>
    <n v="115"/>
    <d v="1899-12-30T11:15:00"/>
    <d v="1899-12-30T12:54:00"/>
    <n v="99"/>
    <d v="1899-12-30T11:46:00"/>
    <d v="1899-12-30T12:27:00"/>
    <d v="1899-12-30T12:54:00"/>
    <n v="99"/>
    <n v="41"/>
    <m/>
    <m/>
    <m/>
    <m/>
    <m/>
    <m/>
    <s v="SHME OR 03"/>
    <s v="Neurosurgery"/>
    <s v="No"/>
    <s v="Zauner, Alois, Md"/>
    <s v="CRANIECTOMY OR CRANIOTOMY FOR EVACUATION OF HEMATOMA, INFRATENTORIAL;EXTRADURAL OR SUBDURAL"/>
    <s v="CRANIECTOMY OR CRANIOTOMY FOR EVACUATION OF HEMATOMA, INFRATENTORIAL;EXTRADURAL OR SUBDURAL - Right"/>
    <s v="Thu"/>
    <m/>
    <m/>
    <m/>
    <s v="ZAUNER, ALOIS"/>
    <m/>
    <s v="Alois Zauner, MD"/>
    <m/>
    <s v="Zauner"/>
  </r>
  <r>
    <d v="2026-08-13T00:00:00"/>
    <s v="6651616"/>
    <s v="Jackson, Christopher Joseph Clark"/>
    <s v="Inpatient"/>
    <x v="0"/>
    <n v="3901452138"/>
    <s v="811487477"/>
    <d v="1990-04-18T00:00:00"/>
    <s v="Ramos, Joshua Neftalie, MD"/>
    <s v="General"/>
    <s v="5"/>
    <d v="1899-12-30T09:56:00"/>
    <d v="1899-12-30T12:52:00"/>
    <n v="176"/>
    <d v="1899-12-30T10:00:00"/>
    <d v="1899-12-30T11:05:00"/>
    <n v="80"/>
    <d v="1899-12-30T09:56:00"/>
    <d v="1899-12-30T12:32:00"/>
    <n v="156"/>
    <d v="1899-12-30T10:22:00"/>
    <d v="1899-12-30T12:15:00"/>
    <d v="1899-12-30T12:32:00"/>
    <n v="156"/>
    <n v="113"/>
    <m/>
    <m/>
    <m/>
    <m/>
    <m/>
    <m/>
    <s v="SHME OR 07"/>
    <s v="Trauma"/>
    <s v="No"/>
    <s v="Trauma, Generic Surgeon"/>
    <s v="EMERGENCY TRAUMA"/>
    <s v="EMERGENCY TRAUMA - N/A"/>
    <s v="Thu"/>
    <m/>
    <m/>
    <m/>
    <s v="MANSFIELD, PERRY THOMAS_x000a_DIEFFENBACH, BRYAN VINSON_x000a_PECK, KIMBERLY ANN_x000a_KRZYZANIAK, MICHAEL JOSEPH"/>
    <s v="Panel 1: Dr. Peck, Kimberly Ann, MD / Krzyzaniak, Michael Joseph, MD / Mansfield, Perry Thomas, MD, FRCPC_x000a_Panel 2: Dr. Dieffenbach, Bryan Vinson, MD"/>
    <s v="Kimberly Ann Peck, MD_x000a_Bryan Vinson Dieffenbach, MD"/>
    <m/>
    <s v="Peck, Dieffenbach"/>
  </r>
  <r>
    <d v="2026-08-13T00:00:00"/>
    <s v="6652374"/>
    <s v="De Tomasi, Linda R"/>
    <s v="Inpatient"/>
    <x v="0"/>
    <n v="3901391149"/>
    <s v="305065847"/>
    <d v="1949-08-12T00:00:00"/>
    <s v="Vasant, Kris Kishore, MD"/>
    <s v="General"/>
    <s v="4"/>
    <d v="1899-12-30T16:38:00"/>
    <d v="1899-12-30T19:46:00"/>
    <n v="188"/>
    <d v="1899-12-30T16:00:00"/>
    <d v="1899-12-30T20:30:00"/>
    <n v="270"/>
    <d v="1899-12-30T16:38:00"/>
    <d v="1899-12-30T19:32:00"/>
    <n v="174"/>
    <d v="1899-12-30T17:40:00"/>
    <d v="1899-12-30T19:22:00"/>
    <d v="1899-12-30T19:32:00"/>
    <n v="174"/>
    <n v="102"/>
    <m/>
    <m/>
    <m/>
    <m/>
    <m/>
    <m/>
    <s v="SHME OR 07"/>
    <s v="Cardiothoracic"/>
    <s v="No"/>
    <s v="Hemp, James Robert, Md"/>
    <s v="THORACOSCOPY, SURGICAL; WITH THERAPEUTIC WEDGE RESECTION (EG, MASS,NODULE), INITIAL UNILATERAL_x000a_THORACOTOMY, MAJOR; WITH EXPLORATION AND BIOPSY_x000a_MAMMAPLASTY, AUGMENTATION; WITH PROSTHETIC IMPLANT_x000a_REMOVAL OF INTACT MAMMARY IMPLANT"/>
    <s v="VIDEO ASSIST THORCOSCOPY RIGHT PLEURAL CAVITY EXPLORATION; POSSIBLE THORACOTOMY - Right"/>
    <s v="Thu"/>
    <m/>
    <m/>
    <m/>
    <s v="HEMP, JAMES ROBERT_x000a_HESS, JASON R_x000a_HESS, JASON R"/>
    <s v="Panel 1: Dr. Hemp, James Robert, MD_x000a_Panel 2: Dr. Hess, Jason R, MD"/>
    <s v="James Robert Hemp, MD_x000a_Jason R Hess, MD"/>
    <m/>
    <s v="Hemp, Hess"/>
  </r>
  <r>
    <d v="2026-08-13T00:00:00"/>
    <s v="6652424"/>
    <s v="Williams, Mark"/>
    <s v="Outpatient"/>
    <x v="1"/>
    <n v="3901452194"/>
    <s v="811487508"/>
    <d v="1954-09-06T00:00:00"/>
    <s v="Epps, Michelle Tatum, MD"/>
    <s v="Monitor Anesthesia Care"/>
    <s v="3"/>
    <d v="1899-12-30T13:49:00"/>
    <d v="1899-12-30T15:14:00"/>
    <n v="85"/>
    <d v="1899-12-30T13:30:00"/>
    <d v="1899-12-30T14:30:00"/>
    <n v="60"/>
    <d v="1899-12-30T13:49:00"/>
    <d v="1899-12-30T15:10:00"/>
    <n v="81"/>
    <d v="1899-12-30T14:10:00"/>
    <d v="1899-12-30T15:05:00"/>
    <d v="1899-12-30T15:10:00"/>
    <n v="81"/>
    <n v="55"/>
    <d v="1899-12-30T15:11:20"/>
    <d v="1899-12-30T15:44:00"/>
    <n v="33"/>
    <m/>
    <m/>
    <m/>
    <s v="SHME OR 02"/>
    <s v="Orthopedics"/>
    <s v="No"/>
    <s v="Quacinella, Michael Andrew, Do, Mph"/>
    <s v="DEBRIDEMENT INCLUDING REMOVAL OF FOREIGN MATERIAL AT THE SITE OF AN OPENFRACTURE AND/OR AN OPEN DISLOCATION (EG, EXCISIONAL DEBRIDEMENT); SKIN,SUBCUTANEOUS TISSUE, MUSCLE FASCIA, MUSCLE, AND BONE_x000a_MANUAL APPLICATION OF STRESS PERFORMED BY PHYSICIAN OR OTHER QUALIFIEDHEALTH CARE PROFESSIONAL FOR JOINT RADIOGRAPHY, INCLUDING CONTRALATERALJOINT IF INDICATED"/>
    <s v="OPEN FIXATION RIGHT THUMB PROXIMAL PHALANX AND EXTENSOR TENCON REPAIR,STRESS EXAM - Right"/>
    <s v="Thu"/>
    <m/>
    <m/>
    <m/>
    <s v="QUACINELLA, MICHAEL ANDREW"/>
    <m/>
    <s v="Michael Andrew Quacinella, DO, MPH"/>
    <m/>
    <s v="Quacinella"/>
  </r>
  <r>
    <d v="2026-08-13T00:00:00"/>
    <s v="6654328"/>
    <s v="Rivera-Garcia, Baudelio"/>
    <s v="Inpatient"/>
    <x v="0"/>
    <n v="3901452525"/>
    <s v="701965724"/>
    <d v="1967-12-17T00:00:00"/>
    <s v="Ngo, Donald Hanh, MD"/>
    <s v="General"/>
    <s v="2"/>
    <d v="1899-12-30T19:02:00"/>
    <d v="1899-12-30T01:50:00"/>
    <n v="408"/>
    <d v="1899-12-30T17:30:00"/>
    <d v="1899-12-30T19:35:00"/>
    <n v="125"/>
    <d v="1899-12-30T19:02:00"/>
    <d v="1899-12-30T01:45:00"/>
    <n v="403"/>
    <d v="1899-12-30T19:24:00"/>
    <d v="1899-12-30T01:32:00"/>
    <d v="1899-12-30T01:45:00"/>
    <n v="403"/>
    <n v="368"/>
    <d v="1899-12-30T01:48:00"/>
    <d v="1899-12-30T02:51:42"/>
    <n v="63"/>
    <m/>
    <m/>
    <m/>
    <s v="SHME OR 04"/>
    <s v="Plastics"/>
    <s v="No"/>
    <s v="Hess, Jason R, Md"/>
    <s v="EXPLORATION OF PENETRATING WOUND (SEPARATE PROCEDURE); EXTREMITY_x000a_MICROSURGICAL TECHNIQUES, REQUIRING USE OF OPERATING MICROSCOPE (LISTSEPARATELY IN ADDITION TO CODE FOR PRIMARY PROCEDURE)"/>
    <s v="EXPLORATION OF PENETRATING WOUND (SEPARATE PROCEDURE); EXTREMITY - Left"/>
    <s v="Thu"/>
    <m/>
    <m/>
    <m/>
    <s v="HESS, JASON R"/>
    <m/>
    <s v="Jason R Hess, MD"/>
    <m/>
    <s v="Hess"/>
  </r>
  <r>
    <d v="2026-08-13T00:00:00"/>
    <s v="6499301"/>
    <s v="Espinoza Lopez, Maria Luisa"/>
    <s v="Outpatient"/>
    <x v="1"/>
    <n v="3901423385"/>
    <s v="811362212"/>
    <d v="1963-10-23T00:00:00"/>
    <s v="Ngo, Donald Hanh, MD"/>
    <s v="General"/>
    <s v="2"/>
    <d v="1899-12-30T12:21:00"/>
    <d v="1899-12-30T13:36:00"/>
    <n v="75"/>
    <d v="1899-12-30T12:10:00"/>
    <d v="1899-12-30T13:10:00"/>
    <n v="60"/>
    <d v="1899-12-30T12:18:00"/>
    <d v="1899-12-30T13:31:00"/>
    <n v="73"/>
    <d v="1899-12-30T12:56:00"/>
    <d v="1899-12-30T13:28:00"/>
    <d v="1899-12-30T13:31:00"/>
    <n v="73"/>
    <n v="32"/>
    <d v="1899-12-30T13:31:39"/>
    <d v="1899-12-30T15:20:00"/>
    <n v="109"/>
    <d v="1899-12-30T15:20:00"/>
    <d v="1899-12-30T16:52:41"/>
    <n v="92"/>
    <s v="SHME OR 17"/>
    <s v="Urology"/>
    <s v="No"/>
    <s v="Unterberg, Stephen Harold, Md"/>
    <s v="PERCUTANEOUS IMPLANTATION OF NEUROSTIMULATOR ELECTRODE ARRAY; SACRALNERVE (TRANSFORAMINAL PLACEMENT) INCLUDING IMAGE GUIDANCE, IF PERFORMED_x000a_INSERTION OR REPLACEMENT OF PERIPHERAL, SACRAL, OR GASTRIC NEUROSTIMULATOR PULSE GENERATOR OR RECEIVER, REQUIRING POCKET CREATION AND CONNECTION BETWEEN ELECTRODE ARRAY AND PULSE GENERATOR OR RECEIVER_x000a_FLUOROSCOPY (SEPARATE PROCEDURE), UP TO 1 HOUR PHYSICIAN OR OTHERQUALIFIED HEALTH CARE PROFESSIONAL TIME, OTHER THAN 71023 OR 71034 (EG,CARDIAC FLUOROSCOPY)"/>
    <s v="SACRAL NEUROMODULATION IMPLANTATION, AXONICS - N/A"/>
    <s v="Thu"/>
    <m/>
    <m/>
    <m/>
    <s v="UNTERBERG, STEPHEN HAROLD"/>
    <m/>
    <s v="Stephen Harold Unterberg, MD"/>
    <m/>
    <s v="Unterberg"/>
  </r>
  <r>
    <d v="2026-08-14T00:00:00"/>
    <s v="6536222"/>
    <s v="Uhren, Julie C"/>
    <s v="Outpatient"/>
    <x v="1"/>
    <n v="3901430302"/>
    <s v="700317814"/>
    <d v="1972-10-09T00:00:00"/>
    <s v="Nwabueze, Onyemaechi, MD"/>
    <s v="General"/>
    <s v="3"/>
    <d v="1899-12-30T10:24:00"/>
    <d v="1899-12-30T12:33:00"/>
    <n v="129"/>
    <d v="1899-12-30T10:00:00"/>
    <d v="1899-12-30T13:00:00"/>
    <n v="180"/>
    <d v="1899-12-30T10:24:00"/>
    <d v="1899-12-30T12:24:00"/>
    <n v="120"/>
    <d v="1899-12-30T10:57:00"/>
    <d v="1899-12-30T12:14:00"/>
    <d v="1899-12-30T12:24:00"/>
    <n v="120"/>
    <n v="77"/>
    <d v="1899-12-30T12:27:05"/>
    <d v="1899-12-30T13:00:00"/>
    <n v="33"/>
    <d v="1899-12-30T13:01:00"/>
    <d v="1899-12-30T13:45:00"/>
    <n v="44"/>
    <s v="SHME OR 03"/>
    <s v="Plastics"/>
    <s v="No"/>
    <s v="Hess, Jason R, Md"/>
    <s v="DELAYED INSERTION OF BREAST PROSTHESIS FOLLOWING MASTOPEXY, MASTECTOMYOR IN RECONSTRUCTION_x000a_PERI-IMPLANT CAPSULECTOMY, BREAST, COMPLETE, INCLUDING REMOVAL OF ALL INTRACAPSULAR CONTENTS_x000a_REVISION OF RECONSTRUCTED BREAST"/>
    <s v="RIGHT BREAST IMPLANT REMOVAL, REPLACEMENT, INTERNAL CAPSULORRHAPY AND REVISION OF BREAST RECONSTRUCTION - Right"/>
    <s v="Fri"/>
    <m/>
    <m/>
    <m/>
    <s v="HESS, JASON R"/>
    <m/>
    <s v="Jason R Hess, MD"/>
    <m/>
    <s v="Hess"/>
  </r>
  <r>
    <d v="2026-08-14T00:00:00"/>
    <s v="6541440"/>
    <s v="Hua, Tri"/>
    <s v="Outpatient"/>
    <x v="1"/>
    <n v="3901431006"/>
    <s v="811472855"/>
    <d v="1963-10-10T00:00:00"/>
    <s v="Haidar, Jason, DO"/>
    <s v="General"/>
    <s v="2"/>
    <d v="1899-12-30T12:13:00"/>
    <d v="1899-12-30T13:43:00"/>
    <n v="90"/>
    <d v="1899-12-30T12:00:00"/>
    <d v="1899-12-30T13:15:00"/>
    <n v="75"/>
    <d v="1899-12-30T12:13:00"/>
    <d v="1899-12-30T13:38:00"/>
    <n v="85"/>
    <d v="1899-12-30T12:50:00"/>
    <d v="1899-12-30T13:34:00"/>
    <d v="1899-12-30T13:38:00"/>
    <n v="85"/>
    <n v="44"/>
    <d v="1899-12-30T13:41:00"/>
    <d v="1899-12-30T14:30:00"/>
    <n v="49"/>
    <d v="1899-12-30T14:51:00"/>
    <d v="1899-12-30T15:46:00"/>
    <n v="55"/>
    <s v="SHME OR 07"/>
    <s v="Urology"/>
    <s v="No"/>
    <s v="Pe, Mark-Rally Lao, Md"/>
    <s v="TRANSURETHRAL ELECTROSURGICAL RESECTION OF PROSTATE, INCLUDING CONTROLOF POSTOPERATIVE BLEEDING, COMPLETE (VASECTOMY, MEATOTOMY,CYSTOURETHROSCOPY, URETHRAL CALIBRATION AND/OR DILATION, AND INTERNAL"/>
    <s v="TRANSURETHRAL RESECTION OF THE PROSTATE - N/A"/>
    <s v="Fri"/>
    <m/>
    <m/>
    <m/>
    <s v="PE, MARK-RALLY LAO"/>
    <m/>
    <s v="Mark-Rally Lao Pe, MD"/>
    <m/>
    <s v="Pe"/>
  </r>
  <r>
    <d v="2026-08-14T00:00:00"/>
    <s v="6559743"/>
    <s v="Ostad, Naser"/>
    <s v="Outpatient"/>
    <x v="1"/>
    <n v="3901434165"/>
    <s v="701043241"/>
    <d v="1960-10-27T00:00:00"/>
    <s v="Haidar, Jason, DO"/>
    <s v="General"/>
    <s v="2"/>
    <d v="1899-12-30T10:15:00"/>
    <d v="1899-12-30T11:47:00"/>
    <n v="92"/>
    <d v="1899-12-30T09:30:00"/>
    <d v="1899-12-30T11:30:00"/>
    <n v="120"/>
    <d v="1899-12-30T10:15:00"/>
    <d v="1899-12-30T11:42:00"/>
    <n v="87"/>
    <d v="1899-12-30T10:40:00"/>
    <d v="1899-12-30T11:39:00"/>
    <d v="1899-12-30T11:42:00"/>
    <n v="87"/>
    <n v="59"/>
    <d v="1899-12-30T11:45:00"/>
    <d v="1899-12-30T14:25:00"/>
    <n v="160"/>
    <d v="1899-12-30T14:28:38"/>
    <d v="1899-12-30T15:25:00"/>
    <n v="57"/>
    <s v="SHME OR 07"/>
    <s v="Urology"/>
    <s v="No"/>
    <s v="Pe, Mark-Rally Lao, Md"/>
    <s v="TRANSURETHRAL ROBOTIC-ASSISTED WATERJET RESECTION OF PROSTATE, INCLUDING VASECTOMY, MEATOTOMY, CYSTOURETHROSCOPY, URETHRAL CALIBRATION AND/OR DILATION, AND INTERNAL URETHROTOMY, WHEN PERFORMED"/>
    <s v="TRANSURETHRAL AQUABLATION OF PROSTATE - N/A"/>
    <s v="Fri"/>
    <m/>
    <m/>
    <m/>
    <s v="PE, MARK-RALLY LAO"/>
    <m/>
    <s v="Mark-Rally Lao Pe, MD"/>
    <m/>
    <s v="Pe"/>
  </r>
  <r>
    <d v="2026-08-14T00:00:00"/>
    <s v="6564827"/>
    <s v="Guerrero, Roberto C"/>
    <s v="Outpatient"/>
    <x v="1"/>
    <n v="3901435075"/>
    <s v="700613253"/>
    <d v="1986-10-11T00:00:00"/>
    <s v="Rayan, Hany A, MD"/>
    <s v="General"/>
    <s v="3"/>
    <d v="1899-12-30T12:02:00"/>
    <d v="1899-12-30T12:56:00"/>
    <n v="54"/>
    <d v="1899-12-30T11:30:00"/>
    <d v="1899-12-30T12:15:00"/>
    <n v="45"/>
    <d v="1899-12-30T12:02:00"/>
    <d v="1899-12-30T12:49:00"/>
    <n v="47"/>
    <d v="1899-12-30T12:21:00"/>
    <d v="1899-12-30T12:43:00"/>
    <d v="1899-12-30T12:49:00"/>
    <n v="47"/>
    <n v="22"/>
    <d v="1899-12-30T12:54:00"/>
    <d v="1899-12-30T14:15:00"/>
    <n v="81"/>
    <d v="1899-12-30T14:15:00"/>
    <d v="1899-12-30T17:34:00"/>
    <n v="199"/>
    <s v="SHME OR 14"/>
    <s v="General"/>
    <s v="No"/>
    <s v="Langenberg, Bret James, Do"/>
    <s v="PROCTOPLASTY; FOR PROLAPSE OF MUCOUS MEMBRANE_x000a_HEMORRHOIDECTOMY, INTERNAL, BY LIGATION OTHER THAN RUBBER BAND; 2 ORMORE HEMORRHOID COLUMNS/GROUPS_x000a_ULTRASONIC GUIDANCE, INTRAOPERATIVE_x000a_HEMORRHOIDECTOMY, INTERNAL AND EXTERNAL, SINGLE COLUMN/GROUP;"/>
    <s v="HEMORRHOIDAL TISSUE AND ARTERY LIGATION WITH RECTOANAL REPAIR AND REMOVAL THROMBOSED HEMORRHOID - N/A"/>
    <s v="Fri"/>
    <m/>
    <m/>
    <m/>
    <s v="LANGENBERG, BRET JAMES"/>
    <m/>
    <s v="Bret James Langenberg, DO"/>
    <m/>
    <s v="Langenberg"/>
  </r>
  <r>
    <d v="2026-08-14T00:00:00"/>
    <s v="6565844"/>
    <s v="Valades, Anne J"/>
    <s v="Inpatient"/>
    <x v="0"/>
    <n v="3901435236"/>
    <s v="700092231"/>
    <d v="1945-04-28T00:00:00"/>
    <s v="Patel, Lance Kirit, MD"/>
    <s v="Regional"/>
    <s v="3"/>
    <d v="1899-12-30T07:37:00"/>
    <d v="1899-12-30T10:57:00"/>
    <n v="200"/>
    <d v="1899-12-30T07:30:00"/>
    <d v="1899-12-30T09:45:00"/>
    <n v="135"/>
    <d v="1899-12-30T07:37:00"/>
    <d v="1899-12-30T10:47:00"/>
    <n v="190"/>
    <d v="1899-12-30T08:12:00"/>
    <d v="1899-12-30T10:43:00"/>
    <d v="1899-12-30T10:47:00"/>
    <n v="190"/>
    <n v="151"/>
    <d v="1899-12-30T10:51:34"/>
    <d v="1899-12-30T11:07:00"/>
    <n v="16"/>
    <m/>
    <m/>
    <m/>
    <s v="SHME OR 04"/>
    <s v="Orthopedics"/>
    <s v="No"/>
    <s v="Fabi, David William, Md"/>
    <s v="COMPUTER-ASSISTED SURGICAL NAVIGATIONAL PROCEDURE FOR MUSCULOSKELETALPROCEDURES, IMAGE-LESS (LIST SEPARATELY IN ADDITION TO CODE FOR PRIMARYPROCEDURE)_x000a_ARTHROPLASTY, KNEE, CONDYLE AND PLATEAU; MEDIAL AND LATERAL COMPARTMENTSWITH OR WITHOUT PATELLA RESURFACING (TOTAL KNEE ARTHROPLASTY)"/>
    <s v="ROBOTIC TOTAL RIGHT KNEE ARTHROPLASTY - Right"/>
    <s v="Fri"/>
    <m/>
    <m/>
    <m/>
    <s v="FABI, DAVID WILLIAM"/>
    <m/>
    <s v="David William Fabi, MD"/>
    <m/>
    <s v="Fabi"/>
  </r>
  <r>
    <d v="2026-08-14T00:00:00"/>
    <s v="6565886"/>
    <s v="Hernandez, Lorena A"/>
    <s v="Outpatient"/>
    <x v="1"/>
    <n v="3901435239"/>
    <s v="100760322"/>
    <d v="1965-03-01T00:00:00"/>
    <s v="Patel, Lance Kirit, MD"/>
    <s v="Regional"/>
    <s v="3"/>
    <d v="1899-12-30T11:41:00"/>
    <d v="1899-12-30T14:18:00"/>
    <n v="157"/>
    <d v="1899-12-30T10:15:00"/>
    <d v="1899-12-30T12:15:00"/>
    <n v="120"/>
    <d v="1899-12-30T11:41:00"/>
    <d v="1899-12-30T14:08:00"/>
    <n v="147"/>
    <d v="1899-12-30T12:09:00"/>
    <d v="1899-12-30T14:04:00"/>
    <d v="1899-12-30T14:08:00"/>
    <n v="147"/>
    <n v="115"/>
    <d v="1899-12-30T14:09:59"/>
    <d v="1899-12-30T14:26:00"/>
    <n v="17"/>
    <m/>
    <m/>
    <m/>
    <s v="SHME OR 04"/>
    <s v="Orthopedics"/>
    <s v="Yes"/>
    <s v="Fabi, David William, Md"/>
    <s v="ARTHROPLASTY, KNEE, CONDYLE AND PLATEAU; MEDIAL OR LATERAL COMPARTMENT_x000a_COMPUTER-ASSISTED SURGICAL NAVIGATIONAL PROCEDURE FOR MUSCULOSKELETALPROCEDURES, IMAGE-LESS (LIST SEPARATELY IN ADDITION TO CODE FOR PRIMARYPROCEDURE)"/>
    <s v="ROBOTIC LEFT PARTIAL LATERAL KNEE ARTHROPLASTY - Left"/>
    <s v="Fri"/>
    <m/>
    <m/>
    <m/>
    <s v="FABI, DAVID WILLIAM"/>
    <m/>
    <s v="David William Fabi, MD"/>
    <m/>
    <s v="Fabi"/>
  </r>
  <r>
    <d v="2026-08-14T00:00:00"/>
    <s v="6570160"/>
    <s v="Orozco, Melissa"/>
    <s v="Outpatient"/>
    <x v="1"/>
    <n v="3901435939"/>
    <s v="701275051"/>
    <d v="1980-05-20T00:00:00"/>
    <s v="Rayan, Hany A, MD"/>
    <s v="General"/>
    <s v="2"/>
    <d v="1899-12-30T10:46:00"/>
    <d v="1899-12-30T11:30:00"/>
    <n v="44"/>
    <d v="1899-12-30T09:15:00"/>
    <d v="1899-12-30T09:45:00"/>
    <n v="30"/>
    <d v="1899-12-30T10:46:00"/>
    <d v="1899-12-30T11:24:00"/>
    <n v="38"/>
    <d v="1899-12-30T11:02:00"/>
    <d v="1899-12-30T11:16:00"/>
    <d v="1899-12-30T11:24:00"/>
    <n v="38"/>
    <n v="14"/>
    <d v="1899-12-30T11:25:00"/>
    <d v="1899-12-30T12:35:00"/>
    <n v="70"/>
    <d v="1899-12-30T12:35:00"/>
    <d v="1899-12-30T12:59:57"/>
    <n v="24"/>
    <s v="SHME OR 14"/>
    <s v="General"/>
    <s v="No"/>
    <s v="Langenberg, Bret James, Do"/>
    <s v="EXCISION, TUMOR, SOFT TISSUE OF BACK OR FLANK, SUBCUTANEOUS; LESS THAN 3CM"/>
    <s v="EXCISIONAL BIOPSY SOFT TISSUE MASS FROM THE RIGHT AXILLA - Right"/>
    <s v="Fri"/>
    <m/>
    <m/>
    <m/>
    <s v="LANGENBERG, BRET JAMES"/>
    <m/>
    <s v="Bret James Langenberg, DO"/>
    <m/>
    <s v="Langenberg"/>
  </r>
  <r>
    <d v="2026-08-14T00:00:00"/>
    <s v="6590026"/>
    <s v="Petrov, Stefan"/>
    <s v="Inpatient"/>
    <x v="0"/>
    <n v="3901440129"/>
    <s v="701367495"/>
    <d v="1964-09-29T00:00:00"/>
    <s v="Vasant, Kris Kishore, MD"/>
    <s v="Regional"/>
    <s v="4"/>
    <d v="1899-12-30T06:28:00"/>
    <d v="1899-12-30T13:15:00"/>
    <n v="407"/>
    <d v="1899-12-30T06:15:00"/>
    <d v="1899-12-30T12:15:00"/>
    <n v="360"/>
    <d v="1899-12-30T06:28:00"/>
    <d v="1899-12-30T12:49:00"/>
    <n v="381"/>
    <d v="1899-12-30T08:29:00"/>
    <d v="1899-12-30T12:41:00"/>
    <d v="1899-12-30T12:49:00"/>
    <n v="381"/>
    <n v="252"/>
    <m/>
    <m/>
    <m/>
    <m/>
    <m/>
    <m/>
    <s v="SHME OR 08"/>
    <s v="Cardiothoracic"/>
    <s v="No"/>
    <s v="Hemp, James Robert, Md"/>
    <s v="VALVULOPLASTY, MITRAL VALVE, WITH CARDIOPULMONARY BYPASS; RADICALRECONSTRUCTION, WITH OR WITHOUT RING_x000a_REPLACEMENT, MITRAL VALVE, WITH CARDIOPULMONARY BYPASS_x000a_EXCLUSION OF LEFT ATRIAL APPENDAGE, OPEN, PERFORMED AT THE TIME OF OTHER STERNOTOMY OR THORACOTOMY PROCEDURE(S), ANY METHOD (EXCISION, ISOLATION VIA STAPLING, OVERSEWING, LIGATION, PLICATION, CLIP)_x000a_MEDIASTINOTOMY WITH EXPLORATION, DRAINAGE, REMOVAL OF FOREIGN BODY, ORBIOPSY; TRANSTHORACIC APPROACH, INCLUDING EITHER TRANSTHORACIC OR MEDIANSTERNOTOMY"/>
    <s v="ROBOTIC MITRAL VALVE REPAIR; POSSIBLE BIOPROSTHETIC VALVE REPLACEMENT; EXTERNAL LEFT ATRIAL APPENDAGE CLIP; POSSILBE STERNOTOMY - N/A"/>
    <s v="Fri"/>
    <m/>
    <m/>
    <m/>
    <s v="ISLAMI MANUCHEHRY, MOHAMMAD HOSEIN_x000a_HEMP, JAMES ROBERT"/>
    <s v="Panel 1: Dr. Hemp, James Robert, MD / Islami Manuchehry, Mohammad Hosein, MD"/>
    <s v="James Robert Hemp, MD"/>
    <m/>
    <s v="Hemp"/>
  </r>
  <r>
    <d v="2026-08-14T00:00:00"/>
    <s v="6606099"/>
    <s v="Neustadt, David"/>
    <s v="Outpatient"/>
    <x v="1"/>
    <n v="3901443278"/>
    <s v="811402005"/>
    <d v="1956-08-13T00:00:00"/>
    <s v="Haidar, Jason, DO"/>
    <s v="General"/>
    <s v="2"/>
    <d v="1899-12-30T13:55:00"/>
    <d v="1899-12-30T15:02:00"/>
    <n v="67"/>
    <d v="1899-12-30T13:45:00"/>
    <d v="1899-12-30T14:45:00"/>
    <n v="60"/>
    <d v="1899-12-30T13:55:00"/>
    <d v="1899-12-30T14:57:00"/>
    <n v="62"/>
    <d v="1899-12-30T14:13:00"/>
    <d v="1899-12-30T14:53:00"/>
    <d v="1899-12-30T14:57:00"/>
    <n v="62"/>
    <n v="40"/>
    <d v="1899-12-30T15:04:53"/>
    <d v="1899-12-30T15:30:00"/>
    <n v="26"/>
    <d v="1899-12-30T15:31:00"/>
    <d v="1899-12-30T17:30:00"/>
    <n v="119"/>
    <s v="SHME OR 02"/>
    <s v="Urology"/>
    <s v="No"/>
    <s v="Pe, Mark-Rally Lao, Md"/>
    <s v="EXCISION OF HYDROCELE; UNILATERAL"/>
    <s v="RIGHT HYDROCELE EXCISION - Right"/>
    <s v="Fri"/>
    <m/>
    <m/>
    <m/>
    <s v="PE, MARK-RALLY LAO"/>
    <m/>
    <s v="Mark-Rally Lao Pe, MD"/>
    <m/>
    <s v="Pe"/>
  </r>
  <r>
    <d v="2026-08-14T00:00:00"/>
    <s v="6606138"/>
    <s v="Levin, Kathleen T"/>
    <s v="Outpatient"/>
    <x v="1"/>
    <n v="3901447189"/>
    <s v="608565791"/>
    <d v="1945-10-29T00:00:00"/>
    <s v="Oleske, Alexandra Argyro, DO"/>
    <s v="Monitor Anesthesia Care"/>
    <s v="3"/>
    <d v="1899-12-30T13:48:00"/>
    <d v="1899-12-30T15:05:00"/>
    <n v="77"/>
    <d v="1899-12-30T14:00:00"/>
    <d v="1899-12-30T15:00:00"/>
    <n v="60"/>
    <d v="1899-12-30T13:48:00"/>
    <d v="1899-12-30T15:01:00"/>
    <n v="73"/>
    <d v="1899-12-30T14:13:00"/>
    <d v="1899-12-30T14:57:00"/>
    <d v="1899-12-30T15:01:00"/>
    <n v="73"/>
    <n v="44"/>
    <d v="1899-12-30T15:08:51"/>
    <d v="1899-12-30T16:31:11"/>
    <n v="83"/>
    <d v="1899-12-30T16:31:14"/>
    <d v="1899-12-30T17:29:00"/>
    <n v="58"/>
    <s v="SHME OR 06"/>
    <s v="General"/>
    <s v="No"/>
    <s v="Lim, Lian, Md"/>
    <s v="EXCISION, TUMOR, SOFT TISSUE OF BACK OR FLANK, SUBCUTANEOUS; 3 CM ORGREATER"/>
    <s v="RIGHT BUTTOCK BACK MASS EXCISION - Right"/>
    <s v="Fri"/>
    <m/>
    <m/>
    <m/>
    <s v="LIM, LIAN"/>
    <m/>
    <s v="Lian Lim, MD"/>
    <m/>
    <s v="Lim"/>
  </r>
  <r>
    <d v="2026-08-14T00:00:00"/>
    <s v="6610038"/>
    <s v="Cruz, Ricardo"/>
    <s v="Outpatient"/>
    <x v="1"/>
    <n v="3901444047"/>
    <s v="701156539"/>
    <d v="1958-02-21T00:00:00"/>
    <s v="Oleske, Alexandra Argyro, DO"/>
    <s v="General"/>
    <s v="3"/>
    <d v="1899-12-30T11:54:00"/>
    <d v="1899-12-30T13:33:00"/>
    <n v="99"/>
    <d v="1899-12-30T12:00:00"/>
    <d v="1899-12-30T13:30:00"/>
    <n v="90"/>
    <d v="1899-12-30T11:54:00"/>
    <d v="1899-12-30T13:27:00"/>
    <n v="93"/>
    <d v="1899-12-30T12:21:00"/>
    <d v="1899-12-30T13:11:00"/>
    <d v="1899-12-30T13:27:00"/>
    <n v="93"/>
    <n v="50"/>
    <d v="1899-12-30T13:31:10"/>
    <d v="1899-12-30T14:46:00"/>
    <n v="75"/>
    <d v="1899-12-30T14:46:00"/>
    <d v="1899-12-30T15:08:00"/>
    <n v="22"/>
    <s v="SHME OR 10"/>
    <s v="General"/>
    <s v="No"/>
    <s v="Lim, Lian, Md"/>
    <s v="LAPAROSCOPY, SURGICAL; CHOLECYSTECTOMY"/>
    <s v="ROBOTIC CHOLECYSTECTOMY, POSSIBLE OPEN - N/A"/>
    <s v="Fri"/>
    <m/>
    <m/>
    <m/>
    <s v="LIM, LIAN"/>
    <m/>
    <s v="Lian Lim, MD"/>
    <m/>
    <s v="Lim"/>
  </r>
  <r>
    <d v="2026-08-14T00:00:00"/>
    <s v="6610365"/>
    <s v="Benavides, Victor"/>
    <s v="Inpatient"/>
    <x v="0"/>
    <n v="3901444163"/>
    <s v="701913577"/>
    <d v="1977-03-09T00:00:00"/>
    <s v="Rayan, Hany A, MD"/>
    <s v="General"/>
    <s v="2"/>
    <d v="1899-12-30T07:37:00"/>
    <d v="1899-12-30T10:15:00"/>
    <n v="158"/>
    <d v="1899-12-30T07:30:00"/>
    <d v="1899-12-30T08:45:00"/>
    <n v="75"/>
    <d v="1899-12-30T07:37:00"/>
    <d v="1899-12-30T10:08:00"/>
    <n v="151"/>
    <d v="1899-12-30T08:08:00"/>
    <d v="1899-12-30T09:59:00"/>
    <d v="1899-12-30T10:08:00"/>
    <n v="151"/>
    <n v="111"/>
    <d v="1899-12-30T10:13:31"/>
    <d v="1899-12-30T13:21:00"/>
    <n v="188"/>
    <m/>
    <m/>
    <m/>
    <s v="SHME OR 14"/>
    <s v="General"/>
    <s v="No"/>
    <s v="Langenberg, Bret James, Do"/>
    <s v="INTRAVENOUS INJECTION OF AGENT (EG, FLUORESCEIN) TO TEST VASCULAR FLOWIN FLAP OR GRAFT_x000a_CLOSURE OF ENTEROSTOMY, LARGE OR SMALL INTESTINE; WITH RESECTION ANDCOLORECTAL ANASTOMOSIS (EG, CLOSURE OF HARTMANN TYPE PROCEDURE)"/>
    <s v="COLOSTOMY TAKEDOWN - N/A"/>
    <s v="Fri"/>
    <m/>
    <m/>
    <m/>
    <s v="LANGENBERG, BRET JAMES"/>
    <m/>
    <s v="Bret James Langenberg, DO"/>
    <m/>
    <s v="Langenberg"/>
  </r>
  <r>
    <d v="2026-08-14T00:00:00"/>
    <s v="6614914"/>
    <s v="Al Safar, Fadia AL"/>
    <s v="Outpatient"/>
    <x v="1"/>
    <n v="3901445200"/>
    <s v="810941736"/>
    <d v="1958-04-06T00:00:00"/>
    <s v="Rayan, Hany A, MD"/>
    <s v="General"/>
    <s v="2"/>
    <d v="1899-12-30T13:44:00"/>
    <d v="1899-12-30T14:29:00"/>
    <n v="45"/>
    <d v="1899-12-30T12:45:00"/>
    <d v="1899-12-30T13:30:00"/>
    <n v="45"/>
    <d v="1899-12-30T13:44:00"/>
    <d v="1899-12-30T14:22:00"/>
    <n v="38"/>
    <d v="1899-12-30T13:57:00"/>
    <d v="1899-12-30T14:14:00"/>
    <d v="1899-12-30T14:22:00"/>
    <n v="38"/>
    <n v="17"/>
    <d v="1899-12-30T14:22:47"/>
    <d v="1899-12-30T16:19:00"/>
    <n v="117"/>
    <d v="1899-12-30T16:20:00"/>
    <d v="1899-12-30T19:00:00"/>
    <n v="160"/>
    <s v="SHME OR 14"/>
    <s v="General"/>
    <s v="No"/>
    <s v="Langenberg, Bret James, Do"/>
    <s v="PROCTOPLASTY; FOR PROLAPSE OF MUCOUS MEMBRANE_x000a_HEMORRHOIDECTOMY, INTERNAL, BY LIGATION OTHER THAN RUBBER BAND; 2 ORMORE HEMORRHOID COLUMNS/GROUPS_x000a_ULTRASONIC GUIDANCE, INTRAOPERATIVE_x000a_EXCISION OF MULTIPLE EXTERNAL PAPILLAE OR TAGS, ANUS"/>
    <s v="HEMORRHOIDAL TISSUE AND ARTERY LIGATION WITH RECTOANAL REPAIR AND REMOVAL OF ANAL SKIN TAGS - N/A"/>
    <s v="Fri"/>
    <m/>
    <m/>
    <m/>
    <s v="LANGENBERG, BRET JAMES"/>
    <m/>
    <s v="Bret James Langenberg, DO"/>
    <m/>
    <s v="Langenberg"/>
  </r>
  <r>
    <d v="2026-08-14T00:00:00"/>
    <s v="6441617"/>
    <s v="Farrer, Kristina"/>
    <s v="Outpatient"/>
    <x v="1"/>
    <n v="3901427090"/>
    <s v="810547469"/>
    <d v="1981-02-21T00:00:00"/>
    <s v="Oleske, Alexandra Argyro, DO"/>
    <s v="Monitor Anesthesia Care"/>
    <s v="2"/>
    <d v="1899-12-30T15:33:00"/>
    <d v="1899-12-30T16:35:00"/>
    <n v="62"/>
    <d v="1899-12-30T15:30:00"/>
    <d v="1899-12-30T16:15:00"/>
    <n v="45"/>
    <d v="1899-12-30T15:33:00"/>
    <d v="1899-12-30T16:31:00"/>
    <n v="58"/>
    <d v="1899-12-30T15:47:00"/>
    <d v="1899-12-30T16:27:00"/>
    <d v="1899-12-30T16:31:00"/>
    <n v="58"/>
    <n v="40"/>
    <d v="1899-12-30T16:35:00"/>
    <d v="1899-12-30T17:35:00"/>
    <n v="60"/>
    <d v="1899-12-30T17:35:00"/>
    <d v="1899-12-30T18:00:00"/>
    <n v="25"/>
    <s v="SHME OR 06"/>
    <s v="General"/>
    <s v="No"/>
    <s v="Lim, Lian, Md"/>
    <s v="EXCISION, TUMOR, SOFT TISSUE OF BACK OR FLANK, SUBCUTANEOUS; 3 CM ORGREATER_x000a_EXCISION, TUMOR, SOFT TISSUE OF THIGH OR KNEE AREA, SUBCUTANEOUS; 3 CMOR GREATER"/>
    <s v="RIGHT UPPER BACK MASS AND LEFT THIGH MASS EXCISION - Right"/>
    <s v="Fri"/>
    <m/>
    <m/>
    <m/>
    <s v="LIM, LIAN"/>
    <m/>
    <s v="Lian Lim, MD"/>
    <m/>
    <s v="Lim"/>
  </r>
  <r>
    <d v="2026-08-14T00:00:00"/>
    <s v="6631788"/>
    <s v="Nachtman, Steve"/>
    <s v="Outpatient"/>
    <x v="1"/>
    <n v="3901448372"/>
    <s v="810557378"/>
    <d v="1957-09-04T00:00:00"/>
    <s v="Haidar, Jason, DO"/>
    <s v="General"/>
    <s v="2"/>
    <d v="1899-12-30T15:17:00"/>
    <d v="1899-12-30T16:17:00"/>
    <n v="60"/>
    <d v="1899-12-30T15:15:00"/>
    <d v="1899-12-30T16:15:00"/>
    <n v="60"/>
    <d v="1899-12-30T15:17:00"/>
    <d v="1899-12-30T16:12:00"/>
    <n v="55"/>
    <d v="1899-12-30T15:43:00"/>
    <d v="1899-12-30T16:09:00"/>
    <d v="1899-12-30T16:12:00"/>
    <n v="55"/>
    <n v="26"/>
    <d v="1899-12-30T16:16:18"/>
    <d v="1899-12-30T16:45:00"/>
    <n v="29"/>
    <d v="1899-12-30T16:46:00"/>
    <d v="1899-12-30T18:10:00"/>
    <n v="84"/>
    <s v="SHME OR 01"/>
    <s v="Urology"/>
    <s v="No"/>
    <s v="Pe, Mark-Rally Lao, Md"/>
    <s v="CYSTOURETHROSCOPY, WITH MECHANICAL URETHRAL DILATION AND URETHRAL THERAPEUTIC DRUG DELIVERY BY DRUG-COATED BALLOON CATHETER FOR URETHRAL STRICTURE OR STENOSIS, MALE, INCLUDING FLUOROSCOPY_x000a_UROGRAPHY, RETROGRADE, WITH OR WITHOUT KUB_x000a_CYSTOURETHROSCOPY WITH DIRECT VISION INTERNAL URETHROTOMY"/>
    <s v="CYSTOSCOPY, RETROGRADE URETHROGRAM, OPTILUME URETHRAL STRICTURE DILATION, POSSIBLE DIRECT VISUAL INTERNAL URETHROTOMY (DVIU) - N/A"/>
    <s v="Fri"/>
    <m/>
    <m/>
    <m/>
    <s v="PE, MARK-RALLY LAO"/>
    <m/>
    <s v="Mark-Rally Lao Pe, MD"/>
    <m/>
    <s v="Pe"/>
  </r>
  <r>
    <d v="2026-08-14T00:00:00"/>
    <s v="6445731"/>
    <s v="Wartman, Monica"/>
    <s v="Outpatient"/>
    <x v="1"/>
    <n v="3901413241"/>
    <s v="305281088"/>
    <d v="1971-09-21T00:00:00"/>
    <s v="Nwabueze, Onyemaechi, MD"/>
    <s v="General"/>
    <s v="3"/>
    <d v="1899-12-30T07:18:00"/>
    <d v="1899-12-30T08:14:00"/>
    <n v="56"/>
    <d v="1899-12-30T07:30:00"/>
    <d v="1899-12-30T08:15:00"/>
    <n v="45"/>
    <d v="1899-12-30T07:18:00"/>
    <d v="1899-12-30T08:04:00"/>
    <n v="46"/>
    <d v="1899-12-30T07:49:00"/>
    <d v="1899-12-30T07:57:00"/>
    <d v="1899-12-30T08:04:00"/>
    <n v="46"/>
    <n v="8"/>
    <d v="1899-12-30T08:08:27"/>
    <d v="1899-12-30T09:36:00"/>
    <n v="88"/>
    <d v="1899-12-30T09:37:00"/>
    <d v="1899-12-30T10:18:00"/>
    <n v="41"/>
    <s v="SHME OR 06"/>
    <s v="Gynecology"/>
    <s v="No"/>
    <s v="Hui, Kim, Md"/>
    <s v="HYSTEROSCOPY, SURGICAL; WITH SAMPLING (BIOPSY) OF ENDOMETRIUM AND/ORPOLYPECTOMY, WITH OR WITHOUT D &amp; C"/>
    <s v="HYSTEROSCOPY DILATION AND CURETTAGE - N/A"/>
    <s v="Fri"/>
    <m/>
    <m/>
    <m/>
    <s v="HUI, KIM"/>
    <m/>
    <s v="Kim Hui, MD (619-407-1011)"/>
    <m/>
    <s v="Hui"/>
  </r>
  <r>
    <d v="2026-08-14T00:00:00"/>
    <s v="6638909"/>
    <s v="Ng, Man Sing Sing"/>
    <s v="Inpatient"/>
    <x v="0"/>
    <n v="3901447647"/>
    <s v="701923419"/>
    <d v="1945-06-06T00:00:00"/>
    <s v="Yehushua, Liora, MD"/>
    <s v="General"/>
    <s v="4"/>
    <d v="1899-12-30T07:48:00"/>
    <d v="1899-12-30T13:32:00"/>
    <n v="344"/>
    <d v="1899-12-30T07:30:00"/>
    <d v="1899-12-30T13:30:00"/>
    <n v="360"/>
    <d v="1899-12-30T07:48:00"/>
    <d v="1899-12-30T13:21:00"/>
    <n v="333"/>
    <d v="1899-12-30T09:01:00"/>
    <d v="1899-12-30T12:50:00"/>
    <d v="1899-12-30T13:21:00"/>
    <n v="333"/>
    <n v="229"/>
    <m/>
    <m/>
    <m/>
    <m/>
    <m/>
    <m/>
    <s v="SHME OR 01"/>
    <s v="General"/>
    <s v="Yes"/>
    <s v="Dieffenbach, Bryan Vinson, Md"/>
    <s v="PSEUDOANEURYSM, AND ASSOCIATED OCCLUSIVE DISEASE, ABDOMINAL A"/>
    <s v="OPEN AORTOILIAC ANEURYSM REPAIR, POSSIBLE EXCISION OF INFECTED AORTIC GRAFT - N/A"/>
    <s v="Fri"/>
    <m/>
    <m/>
    <m/>
    <s v="DIEFFENBACH, BRYAN VINSON_x000a_SISE, MICHAEL JOSEPH_x000a_TADLOCK, MATTHEW D_x000a_KRZYZANIAK, MICHAEL JOSEPH_x000a_FERNANDEZ, NATHANIAL_x000a_FERNANDEZ, NATHANIAL"/>
    <s v="Panel 1: Dr. Dieffenbach, Bryan Vinson, MD / Fernandez, Nathanial, MD / Krzyzaniak, Michael Joseph, MD / Sise, Michael Joseph, MD / Tadlock, Matthew D, MD"/>
    <s v="Bryan Vinson Dieffenbach, MD"/>
    <m/>
    <s v="Dieffenbach"/>
  </r>
  <r>
    <d v="2026-08-14T00:00:00"/>
    <s v="6643336"/>
    <s v="Ernst, Debra A"/>
    <s v="Inpatient"/>
    <x v="0"/>
    <n v="3901450353"/>
    <s v="100084299"/>
    <d v="1957-02-04T00:00:00"/>
    <s v="Narla, Vinod Venkat, MD"/>
    <s v="General"/>
    <s v="3"/>
    <d v="1899-12-30T07:30:00"/>
    <d v="1899-12-30T11:00:00"/>
    <n v="210"/>
    <d v="1899-12-30T07:30:00"/>
    <d v="1899-12-30T09:30:00"/>
    <n v="120"/>
    <d v="1899-12-30T07:30:00"/>
    <d v="1899-12-30T10:52:00"/>
    <n v="202"/>
    <d v="1899-12-30T08:19:00"/>
    <d v="1899-12-30T10:47:00"/>
    <d v="1899-12-30T10:52:00"/>
    <n v="202"/>
    <n v="148"/>
    <d v="1899-12-30T10:53:36"/>
    <d v="1899-12-30T11:31:00"/>
    <n v="38"/>
    <m/>
    <m/>
    <m/>
    <s v="SHME OR 05"/>
    <s v="General"/>
    <s v="No"/>
    <s v="Giurgiu, Dan I.N., Md"/>
    <s v="LAPAROSCOPY, SURGICAL; CHOLECYSTECTOMY WITH CHOLANGIOGRAPHY"/>
    <s v="ROBOT-ASSISTED CHOLECYSTECTOMY WITH CHOLANGIOGRAPHY, POSSIBLE LAPAROSCOPIC OR OPEN - N/A"/>
    <s v="Fri"/>
    <m/>
    <m/>
    <m/>
    <s v="GIURGIU, DAN I.N."/>
    <m/>
    <s v="Dan I.N. Giurgiu, MD (619-330-8330)"/>
    <m/>
    <s v="Giurgiu"/>
  </r>
  <r>
    <d v="2026-08-14T00:00:00"/>
    <s v="6644955"/>
    <s v="Arbiter, Carolyn S"/>
    <s v="Inpatient"/>
    <x v="0"/>
    <n v="3901450938"/>
    <s v="811250155"/>
    <d v="1926-10-26T00:00:00"/>
    <s v="Nelson, Jesse Stuart, DO"/>
    <s v="General"/>
    <s v="3"/>
    <d v="1899-12-30T07:28:00"/>
    <d v="1899-12-30T10:19:00"/>
    <n v="171"/>
    <d v="1899-12-30T07:30:00"/>
    <d v="1899-12-30T09:30:00"/>
    <n v="120"/>
    <d v="1899-12-30T07:28:00"/>
    <d v="1899-12-30T10:09:00"/>
    <n v="161"/>
    <d v="1899-12-30T08:09:00"/>
    <d v="1899-12-30T10:02:00"/>
    <d v="1899-12-30T10:09:00"/>
    <n v="161"/>
    <n v="113"/>
    <d v="1899-12-30T10:11:00"/>
    <d v="1899-12-30T11:00:00"/>
    <n v="49"/>
    <m/>
    <m/>
    <m/>
    <s v="SHME OR 09"/>
    <s v="Orthopedics"/>
    <s v="No"/>
    <s v="Quacinella, Michael Andrew, Do, Mph"/>
    <s v="CONVERSION OF PREVIOUS HIP SURGERY TO TOTAL HIP ARTHROPLASTY, WITH ORWITHOUT AUTOGRAFT OR ALLOGRAFT"/>
    <s v="RIGHT HIP HEMIARTHROPLASTY CONVERSION - Right"/>
    <s v="Fri"/>
    <m/>
    <m/>
    <m/>
    <s v="QUACINELLA, MICHAEL ANDREW"/>
    <m/>
    <s v="Michael Andrew Quacinella, DO, MPH"/>
    <m/>
    <s v="Quacinella"/>
  </r>
  <r>
    <d v="2026-08-14T00:00:00"/>
    <s v="6465053"/>
    <s v="Vazquez, Monica T"/>
    <s v="Outpatient"/>
    <x v="1"/>
    <n v="3901434677"/>
    <s v="810018737"/>
    <d v="1978-06-26T00:00:00"/>
    <s v="Oleske, Alexandra Argyro, DO"/>
    <s v="General"/>
    <s v="2"/>
    <d v="1899-12-30T10:19:00"/>
    <d v="1899-12-30T11:34:00"/>
    <n v="75"/>
    <d v="1899-12-30T10:00:00"/>
    <d v="1899-12-30T11:30:00"/>
    <n v="90"/>
    <d v="1899-12-30T10:19:00"/>
    <d v="1899-12-30T11:28:00"/>
    <n v="69"/>
    <d v="1899-12-30T10:43:00"/>
    <d v="1899-12-30T11:18:00"/>
    <d v="1899-12-30T11:28:00"/>
    <n v="69"/>
    <n v="35"/>
    <d v="1899-12-30T11:30:34"/>
    <d v="1899-12-30T12:35:00"/>
    <n v="65"/>
    <d v="1899-12-30T12:35:00"/>
    <d v="1899-12-30T14:44:24"/>
    <n v="129"/>
    <s v="SHME OR 10"/>
    <s v="General"/>
    <s v="No"/>
    <s v="Lim, Lian, Md"/>
    <s v="LAPAROSCOPY, SURGICAL; CHOLECYSTECTOMY"/>
    <s v="ROBOTIC CHOLECYSTECTOMY, POSSIBLE OPEN - N/A"/>
    <s v="Fri"/>
    <m/>
    <m/>
    <m/>
    <s v="LIM, LIAN"/>
    <m/>
    <s v="Lian Lim, MD"/>
    <m/>
    <s v="Lim"/>
  </r>
  <r>
    <d v="2026-08-14T00:00:00"/>
    <s v="6649299"/>
    <s v="Quinn, Taryn"/>
    <s v="Inpatient"/>
    <x v="0"/>
    <n v="3901449155"/>
    <s v="811485482"/>
    <d v="2006-08-17T00:00:00"/>
    <s v="Nelson, Jesse Stuart, DO"/>
    <s v="General"/>
    <s v="3"/>
    <d v="1899-12-30T13:45:00"/>
    <d v="1899-12-30T16:53:00"/>
    <n v="188"/>
    <d v="1899-12-30T12:30:00"/>
    <d v="1899-12-30T14:30:00"/>
    <n v="120"/>
    <d v="1899-12-30T13:45:00"/>
    <d v="1899-12-30T16:43:00"/>
    <n v="178"/>
    <d v="1899-12-30T14:22:00"/>
    <d v="1899-12-30T16:36:00"/>
    <d v="1899-12-30T16:43:00"/>
    <n v="178"/>
    <n v="134"/>
    <m/>
    <m/>
    <m/>
    <m/>
    <m/>
    <m/>
    <s v="SHME OR 09"/>
    <s v="Orthopedics"/>
    <s v="No"/>
    <s v="Quacinella, Michael Andrew, Do, Mph"/>
    <s v="REPAIR LATERAL COLLATERAL LIGAMENT, ELBOW, WITH LOCAL TISSUE_x000a_OPEN TREATMENT OF ULNAR FRACTURE, PROXIMAL END (EG, OLECRANON ORCORONOID PROCESS[ES]), INCLUDES INTERNAL FIXATION, WHEN PERFORMED_x000a_MANUAL APPLICATION OF STRESS PERFORMED BY PHYSICIAN OR OTHER QUALIFIEDHEALTH CARE PROFESSIONAL FOR JOINT RADIOGRAPHY, INCLUDING CONTRALATERALJOINT IF INDICATED"/>
    <s v="LEFT ELBOW COLLATERAL LIGAMENT REPAIR,LEFT OLECRANON OPEN REDUCTION INTERNAL FIXATOR,STRESS EXAM - Left"/>
    <s v="Fri"/>
    <m/>
    <m/>
    <m/>
    <s v="QUACINELLA, MICHAEL ANDREW"/>
    <m/>
    <s v="Michael Andrew Quacinella, DO, MPH"/>
    <m/>
    <s v="Quacinella"/>
  </r>
  <r>
    <d v="2026-08-14T00:00:00"/>
    <s v="6649320"/>
    <s v="Gomez, Elsa"/>
    <s v="Inpatient"/>
    <x v="0"/>
    <n v="3901451350"/>
    <s v="811452019"/>
    <d v="1959-04-06T00:00:00"/>
    <s v="Oleske, Alexandra Argyro, DO"/>
    <s v="General"/>
    <s v="3"/>
    <d v="1899-12-30T17:15:00"/>
    <d v="1899-12-30T19:06:00"/>
    <n v="111"/>
    <d v="1899-12-30T15:00:00"/>
    <d v="1899-12-30T17:00:00"/>
    <n v="120"/>
    <d v="1899-12-30T17:15:00"/>
    <d v="1899-12-30T19:01:00"/>
    <n v="106"/>
    <d v="1899-12-30T17:48:00"/>
    <d v="1899-12-30T18:49:00"/>
    <d v="1899-12-30T19:01:00"/>
    <n v="106"/>
    <n v="61"/>
    <d v="1899-12-30T19:02:45"/>
    <d v="1899-12-30T20:03:00"/>
    <n v="61"/>
    <m/>
    <m/>
    <m/>
    <s v="SHME OR 09"/>
    <s v="Orthopedics"/>
    <s v="Yes"/>
    <s v="Quacinella, Michael Andrew, Do, Mph"/>
    <s v="REPAIR LATERAL COLLATERAL LIGAMENT, ELBOW, WITH LOCAL TISSUE_x000a_OPEN TREATMENT OF ULNAR FRACTURE, PROXIMAL END (EG, OLECRANON ORCORONOID PROCESS[ES]), INCLUDES INTERNAL FIXATION, WHEN PERFORMED_x000a_MANUAL APPLICATION OF STRESS PERFORMED BY PHYSICIAN OR OTHER QUALIFIEDHEALTH CARE PROFESSIONAL FOR JOINT RADIOGRAPHY, INCLUDING CONTRALATERALJOINT IF INDICATED"/>
    <s v="LEFT ELBOW COLLATERAL LIGAMENT REPAIR,LEFT OLECRANON OPEN REDUCTION INTERNAL FIXATOR,STRESS EXAM - Left"/>
    <s v="Fri"/>
    <m/>
    <m/>
    <m/>
    <s v="QUACINELLA, MICHAEL ANDREW"/>
    <m/>
    <s v="Michael Andrew Quacinella, DO, MPH"/>
    <m/>
    <s v="Quacinella"/>
  </r>
  <r>
    <d v="2026-08-14T00:00:00"/>
    <s v="6653102"/>
    <s v="Williams, Vickie L"/>
    <s v="Inpatient"/>
    <x v="0"/>
    <n v="3901450198"/>
    <s v="611516131"/>
    <d v="1958-07-14T00:00:00"/>
    <s v="Nelson, Jesse Stuart, DO"/>
    <s v="Regional"/>
    <s v="3"/>
    <d v="1899-12-30T10:55:00"/>
    <d v="1899-12-30T13:10:00"/>
    <n v="135"/>
    <d v="1899-12-30T10:00:00"/>
    <d v="1899-12-30T12:00:00"/>
    <n v="120"/>
    <d v="1899-12-30T10:55:00"/>
    <d v="1899-12-30T13:02:00"/>
    <n v="127"/>
    <d v="1899-12-30T11:41:00"/>
    <d v="1899-12-30T12:56:00"/>
    <d v="1899-12-30T13:02:00"/>
    <n v="127"/>
    <n v="75"/>
    <d v="1899-12-30T13:03:11"/>
    <d v="1899-12-30T13:31:00"/>
    <n v="28"/>
    <m/>
    <m/>
    <m/>
    <s v="SHME OR 09"/>
    <s v="Orthopedics"/>
    <s v="No"/>
    <s v="Quacinella, Michael Andrew, Do, Mph"/>
    <s v="OPEN TREATMENT OF BIMALLEOLAR ANKLE FRACTURE (EG, LATERAL AND MEDIALMALLEOLI, OR LATERAL AND POSTERIOR MALLEOLI, OR MEDIAL AND POSTERIORMALLEOLI), INCLUDES INTERNAL FIXATION, WHEN PERFORMED_x000a_MANUAL APPLICATION OF STRESS PERFORMED BY PHYSICIAN OR OTHER QUALIFIEDHEALTH CARE PROFESSIONAL FOR JOINT RADIOGRAPHY, INCLUDING CONTRALATERALJOINT IF INDICATED"/>
    <s v="LEFT ANKLE BIMALLEOLAR OPEN REDUCTION INTERNAL FIXATOR,STRESS EXAM - Left"/>
    <s v="Fri"/>
    <m/>
    <m/>
    <m/>
    <s v="QUACINELLA, MICHAEL ANDREW"/>
    <m/>
    <s v="Michael Andrew Quacinella, DO, MPH"/>
    <m/>
    <s v="Quacinella"/>
  </r>
  <r>
    <d v="2026-08-14T00:00:00"/>
    <s v="6653452"/>
    <s v="Young, Robert D"/>
    <s v="Inpatient"/>
    <x v="0"/>
    <n v="3901451588"/>
    <s v="100875340"/>
    <d v="1946-05-23T00:00:00"/>
    <s v="Narla, Vinod Venkat, MD"/>
    <s v="General"/>
    <s v="2"/>
    <d v="1899-12-30T11:54:00"/>
    <d v="1899-12-30T15:53:00"/>
    <n v="239"/>
    <d v="1899-12-30T10:20:00"/>
    <d v="1899-12-30T14:20:00"/>
    <n v="240"/>
    <d v="1899-12-30T11:54:00"/>
    <d v="1899-12-30T15:41:00"/>
    <n v="227"/>
    <d v="1899-12-30T13:06:00"/>
    <d v="1899-12-30T15:24:00"/>
    <d v="1899-12-30T15:41:00"/>
    <n v="227"/>
    <n v="138"/>
    <m/>
    <m/>
    <m/>
    <m/>
    <m/>
    <m/>
    <s v="SHME OR 05"/>
    <s v="Neurosurgery"/>
    <s v="No"/>
    <s v="Zauner, Alois, Md"/>
    <s v="CRANIECTOMY, TREPHINATION, BONE FLAP CRANIOTOMY; FOR EXCISION OF BRAINTUMOR, SUPRATENTORIAL, EXCEPT MENINGIOMA_x000a_MICROSURGICAL TECHNIQUES, REQUIRING USE OF OPERATING MICROSCOPE (LISTSEPARATELY IN ADDITION TO CODE FOR PRIMARY PROCEDURE)_x000a_PATHOLOGY CONSULTATION DURING SURGERY; FIRST TISSUE BLOCK, WITH FROZENSECTION(S), SINGLE SPECIMEN_x000a_STEREOTACTIC COMPUTER-ASSISTED (NAVIGATIONAL) PROCEDURE; CRANIAL,INTRADURAL (LIST SEPARATELY IN ADDITION TO CODE FOR PRIMARY PROCEDURE)_x000a_CONTINUOUS INTRAOPERATIVE NEUROPHYSIOLOGY MONITORING IN THE OPERATINGROOM, ONE ON ONE MONITORING REQUIRING PERSONAL ATTENDANCE, EACH 15MINUTES (LIST SEPARATELY IN ADDITION TO CODE FOR PRIMARY PROCED"/>
    <s v="RIGHT SIDED CRANIOTOMY FOR TUMOR RESECTION - Right"/>
    <s v="Fri"/>
    <m/>
    <m/>
    <m/>
    <s v="ZAUNER, ALOIS"/>
    <m/>
    <s v="Alois Zauner, MD"/>
    <m/>
    <s v="Zauner"/>
  </r>
  <r>
    <d v="2026-08-14T00:00:00"/>
    <s v="6653809"/>
    <s v="Honeysuckle, Katherine B"/>
    <s v="Inpatient"/>
    <x v="0"/>
    <n v="3901450861"/>
    <s v="811486695"/>
    <d v="1955-11-27T00:00:00"/>
    <s v="Epps, Michelle Tatum, MD"/>
    <s v="General"/>
    <s v="4"/>
    <d v="1899-12-30T17:32:00"/>
    <d v="1899-12-30T20:56:00"/>
    <n v="204"/>
    <d v="1899-12-30T16:45:00"/>
    <d v="1899-12-30T19:45:00"/>
    <n v="180"/>
    <d v="1899-12-30T17:32:00"/>
    <d v="1899-12-30T20:47:00"/>
    <n v="195"/>
    <d v="1899-12-30T18:18:00"/>
    <d v="1899-12-30T20:38:00"/>
    <d v="1899-12-30T20:47:00"/>
    <n v="195"/>
    <n v="140"/>
    <m/>
    <m/>
    <m/>
    <m/>
    <m/>
    <m/>
    <s v="SHME OR 04"/>
    <s v="Orthopedics"/>
    <s v="Yes"/>
    <s v="Fabi, David William, Md"/>
    <s v="REVISION OF TOTAL HIP ARTHROPLASTY; FEMORAL COMPONENT ONLY, WITH ORWITHOUT ALLOGRAFT"/>
    <s v="REVISION RIGHT TOTAL HIP ARTHROPLASTY - Right"/>
    <s v="Fri"/>
    <m/>
    <m/>
    <m/>
    <s v="FABI, DAVID WILLIAM"/>
    <m/>
    <s v="David William Fabi, MD"/>
    <m/>
    <s v="Fabi"/>
  </r>
  <r>
    <d v="2026-08-14T00:00:00"/>
    <s v="6467205"/>
    <s v="Aquino, Cristian J"/>
    <s v="Outpatient"/>
    <x v="1"/>
    <n v="3901417361"/>
    <s v="811290522"/>
    <d v="1982-07-31T00:00:00"/>
    <s v="Baja, Diosdado An Jr., MD"/>
    <s v="Monitor Anesthesia Care"/>
    <s v="2"/>
    <d v="1899-12-30T07:27:00"/>
    <d v="1899-12-30T08:03:00"/>
    <n v="36"/>
    <d v="1899-12-30T07:30:00"/>
    <d v="1899-12-30T08:30:00"/>
    <n v="60"/>
    <d v="1899-12-30T07:27:00"/>
    <d v="1899-12-30T07:57:00"/>
    <n v="30"/>
    <d v="1899-12-30T07:38:00"/>
    <d v="1899-12-30T07:54:00"/>
    <d v="1899-12-30T07:57:00"/>
    <n v="30"/>
    <n v="16"/>
    <d v="1899-12-30T08:03:54"/>
    <d v="1899-12-30T08:30:00"/>
    <n v="27"/>
    <d v="1899-12-30T08:31:00"/>
    <d v="1899-12-30T09:05:00"/>
    <n v="34"/>
    <s v="SHME OR 02"/>
    <s v="Podiatry"/>
    <s v="No"/>
    <s v="Brookshier, Trent Rockne, Dpm"/>
    <s v="REMOVAL OF IMPLANT; DEEP (EG, BURIED WIRE, PIN, SCREW, METAL BAND, NAIL,ROD OR PLATE)"/>
    <s v="RIGHT FOOT HARDWARE REMOVAL - Right"/>
    <s v="Fri"/>
    <m/>
    <m/>
    <m/>
    <s v="BROOKSHIER, TRENT ROCKNE"/>
    <m/>
    <s v="Trent Rockne Brookshier, DPM"/>
    <m/>
    <s v="Brookshier"/>
  </r>
  <r>
    <d v="2026-08-14T00:00:00"/>
    <s v="6654442"/>
    <s v="Duarte Hernandez, Aracely"/>
    <s v="Inpatient"/>
    <x v="0"/>
    <n v="3901445453"/>
    <s v="811482932"/>
    <d v="2006-02-13T00:00:00"/>
    <s v="Billys, James Brian, MD"/>
    <s v="General"/>
    <s v="4"/>
    <d v="1899-12-30T08:50:00"/>
    <d v="1899-12-30T10:17:00"/>
    <n v="87"/>
    <d v="1899-12-30T09:00:00"/>
    <d v="1899-12-30T10:05:00"/>
    <n v="65"/>
    <d v="1899-12-30T09:02:00"/>
    <d v="1899-12-30T10:13:00"/>
    <n v="71"/>
    <d v="1899-12-30T09:23:00"/>
    <d v="1899-12-30T09:47:00"/>
    <d v="1899-12-30T10:13:00"/>
    <n v="71"/>
    <n v="24"/>
    <m/>
    <m/>
    <m/>
    <m/>
    <m/>
    <m/>
    <s v="SHME OR 02"/>
    <s v="General"/>
    <s v="No"/>
    <s v="Krzyzaniak, Michael Joseph, Md"/>
    <s v="TRACHEOSTOMY, PLANNED (SEPARATE PROCEDURE);"/>
    <s v="TRACHEOSTOMY, PLANNED (SEPARATE PROCEDURE); - N/A"/>
    <s v="Fri"/>
    <m/>
    <m/>
    <m/>
    <s v="KRZYZANIAK, MICHAEL JOSEPH"/>
    <m/>
    <s v="Michael Joseph Krzyzaniak, MD"/>
    <m/>
    <s v="Krzyzaniak"/>
  </r>
  <r>
    <d v="2026-08-14T00:00:00"/>
    <s v="6654682"/>
    <s v="Trinh, Phuong Quynh"/>
    <s v="Inpatient"/>
    <x v="0"/>
    <n v="3901452514"/>
    <s v="811202043"/>
    <d v="1998-07-19T00:00:00"/>
    <s v="Yehushua, Liora, MD"/>
    <s v="General"/>
    <s v="1"/>
    <d v="1899-12-30T14:15:00"/>
    <d v="1899-12-30T15:46:00"/>
    <n v="91"/>
    <d v="1899-12-30T14:00:00"/>
    <d v="1899-12-30T15:20:00"/>
    <n v="110"/>
    <d v="1899-12-30T14:15:00"/>
    <d v="1899-12-30T15:41:00"/>
    <n v="86"/>
    <d v="1899-12-30T14:41:00"/>
    <d v="1899-12-30T15:31:00"/>
    <d v="1899-12-30T15:41:00"/>
    <n v="86"/>
    <n v="50"/>
    <d v="1899-12-30T15:42:12"/>
    <d v="1899-12-30T16:16:00"/>
    <n v="34"/>
    <m/>
    <m/>
    <m/>
    <s v="SHME OR 10"/>
    <s v="General"/>
    <s v="No"/>
    <s v="Simpson, Amelia Jean, Md"/>
    <s v="LAPAROSCOPY, SURGICAL, APPENDECTOMY"/>
    <s v="Robotic, possible laparoscopic vs open surgical, APPENDECTOMY - N/A"/>
    <s v="Fri"/>
    <m/>
    <m/>
    <m/>
    <s v="SIMPSON, AMELIA JEAN"/>
    <m/>
    <s v="Amelia Jean Simpson, MD"/>
    <m/>
    <s v="Simpson"/>
  </r>
  <r>
    <d v="2026-08-14T00:00:00"/>
    <s v="6654940"/>
    <s v="Denman, Barry"/>
    <s v="Inpatient"/>
    <x v="0"/>
    <n v="3901452684"/>
    <s v="811451846"/>
    <d v="1993-04-16T00:00:00"/>
    <s v="Billys, James Brian, MD"/>
    <s v="General"/>
    <s v="2"/>
    <d v="1899-12-30T10:51:00"/>
    <d v="1899-12-30T12:01:00"/>
    <n v="70"/>
    <d v="1899-12-30T10:30:00"/>
    <d v="1899-12-30T11:20:00"/>
    <n v="80"/>
    <d v="1899-12-30T10:51:00"/>
    <d v="1899-12-30T11:55:00"/>
    <n v="64"/>
    <d v="1899-12-30T11:17:00"/>
    <d v="1899-12-30T11:37:00"/>
    <d v="1899-12-30T11:55:00"/>
    <n v="64"/>
    <n v="20"/>
    <d v="1899-12-30T11:57:00"/>
    <d v="1899-12-30T12:15:00"/>
    <n v="18"/>
    <m/>
    <m/>
    <m/>
    <s v="SHME OR 02"/>
    <s v="General"/>
    <s v="No"/>
    <s v="Krzyzaniak, Michael Joseph, Md"/>
    <s v="INCISION AND DRAINAGE OF ABSCESS (EG, CARBUNCLE, SUPPURATIVEHIDRADENITIS, CUTANEOUS OR SUBCUTANEOUS ABSCESS, CYST, FURUNCLE, ORPARONYCHIA); COMPLICATED OR MULTIPLE"/>
    <s v="INCISION AND DRAINAGE OF ABSCESS (EG, CARBUNCLE, SUPPURATIVEHIDRADENITIS, CUTANEOUS OR SUBCUTANEOUS ABSCESS, CYST, FURUNCLE, ORPARONYCHIA); COMPLICATED OR MULTIPLE - N/A"/>
    <s v="Fri"/>
    <m/>
    <m/>
    <m/>
    <s v="KRZYZANIAK, MICHAEL JOSEPH"/>
    <m/>
    <s v="Michael Joseph Krzyzaniak, MD"/>
    <m/>
    <s v="Krzyzaniak"/>
  </r>
  <r>
    <d v="2026-08-14T00:00:00"/>
    <s v="6655357"/>
    <s v="Morris, Terry"/>
    <s v="Inpatient"/>
    <x v="0"/>
    <n v="3901452358"/>
    <s v="701444960"/>
    <d v="1967-12-16T00:00:00"/>
    <s v="Patel, Lance Kirit, MD"/>
    <s v="General"/>
    <s v="4"/>
    <d v="1899-12-30T19:50:00"/>
    <d v="1899-12-30T20:51:00"/>
    <n v="61"/>
    <d v="1899-12-30T20:00:00"/>
    <d v="1899-12-30T20:30:00"/>
    <n v="60"/>
    <d v="1899-12-30T19:50:00"/>
    <d v="1899-12-30T20:41:00"/>
    <n v="51"/>
    <d v="1899-12-30T20:07:00"/>
    <d v="1899-12-30T20:35:00"/>
    <d v="1899-12-30T20:41:00"/>
    <n v="51"/>
    <n v="28"/>
    <d v="1899-12-30T20:43:00"/>
    <d v="1899-12-30T21:18:58"/>
    <n v="35"/>
    <m/>
    <m/>
    <m/>
    <s v="SHME OR 06"/>
    <s v="ENT"/>
    <s v="No"/>
    <s v="Montes, Carolyn Adele, Md"/>
    <s v="SIALOLITHOTOMY; SUBMANDIBULAR (SUBMAXILLARY), COMPLICATED, INTRAORAL"/>
    <s v="SIALOLITHOTOMY; SUBMANDIBULAR (SUBMAXILLARY), COMPLICATED, INTRAORAL - Right"/>
    <s v="Fri"/>
    <m/>
    <m/>
    <m/>
    <s v="MONTES, CAROLYN ADELE"/>
    <m/>
    <s v="Carolyn Adele Montes, MD"/>
    <m/>
    <s v="Montes"/>
  </r>
  <r>
    <d v="2026-08-14T00:00:00"/>
    <s v="6655803"/>
    <s v="Owen, Paul"/>
    <s v="Inpatient"/>
    <x v="0"/>
    <n v="3901450762"/>
    <s v="811486631"/>
    <d v="1978-03-30T00:00:00"/>
    <s v="Yehushua, Liora, MD"/>
    <s v="General"/>
    <s v="6"/>
    <d v="1899-12-30T16:10:00"/>
    <d v="1899-12-30T18:18:00"/>
    <n v="128"/>
    <d v="1899-12-30T16:00:00"/>
    <d v="1899-12-30T19:35:00"/>
    <n v="245"/>
    <d v="1899-12-30T16:26:00"/>
    <d v="1899-12-30T21:09:00"/>
    <n v="283"/>
    <d v="1899-12-30T16:39:00"/>
    <d v="1899-12-30T18:15:00"/>
    <d v="1899-12-30T21:09:00"/>
    <n v="283"/>
    <n v="96"/>
    <m/>
    <m/>
    <m/>
    <m/>
    <m/>
    <m/>
    <s v="SHME OR 07"/>
    <s v="Anesthesiology"/>
    <s v="Not on file"/>
    <s v="Sh Txp, Organ Procurement Generic Surgeon"/>
    <s v="PHYSIOLOGICAL SUPPORT FOR PROCUREMENT OF ORGAN(S) FROM BRAIN-DEAD PATIENT"/>
    <s v="PHYSIOLOGICAL SUPPORT FOR PROCUREMENT OF ORGAN(S) FROM BRAIN-DEAD PATIENT - N/A"/>
    <s v="Fri"/>
    <m/>
    <m/>
    <m/>
    <s v="SH TXP, ORGAN PROCUREMENT GENERIC SURGEON"/>
    <m/>
    <s v="ORGAN PROCUREMENT GENERIC SURGEON SH TXP"/>
    <m/>
    <s v="SH TXP"/>
  </r>
  <r>
    <d v="2026-08-14T00:00:00"/>
    <s v="6468051"/>
    <s v="Wiseman, Rachel L"/>
    <s v="Outpatient"/>
    <x v="1"/>
    <n v="3901417548"/>
    <s v="810755989"/>
    <d v="1990-10-13T00:00:00"/>
    <s v="Nwabueze, Onyemaechi, MD"/>
    <s v="General"/>
    <s v="2"/>
    <d v="1899-12-30T08:37:00"/>
    <d v="1899-12-30T09:24:00"/>
    <n v="47"/>
    <d v="1899-12-30T08:45:00"/>
    <d v="1899-12-30T09:30:00"/>
    <n v="45"/>
    <d v="1899-12-30T08:37:00"/>
    <d v="1899-12-30T09:16:00"/>
    <n v="39"/>
    <d v="1899-12-30T08:58:00"/>
    <d v="1899-12-30T09:07:00"/>
    <d v="1899-12-30T09:16:00"/>
    <n v="39"/>
    <n v="9"/>
    <d v="1899-12-30T09:20:00"/>
    <d v="1899-12-30T11:29:00"/>
    <n v="129"/>
    <d v="1899-12-30T11:29:24"/>
    <d v="1899-12-30T11:40:46"/>
    <n v="11"/>
    <s v="SHME OR 06"/>
    <s v="Gynecology"/>
    <s v="No"/>
    <s v="Hui, Kim, Md"/>
    <s v="HYSTEROSCOPY, SURGICAL; WITH SAMPLING (BIOPSY) OF ENDOMETRIUM AND/ORPOLYPECTOMY, WITH OR WITHOUT D &amp; C"/>
    <s v="HYSTEROSCOPY DILATION AND CURETTAGE POLYPECTOMY - N/A"/>
    <s v="Fri"/>
    <m/>
    <m/>
    <m/>
    <s v="HUI, KIM"/>
    <m/>
    <s v="Kim Hui, MD (619-407-1011)"/>
    <m/>
    <s v="Hui"/>
  </r>
  <r>
    <d v="2026-08-14T00:00:00"/>
    <s v="6657497"/>
    <s v="Farah, Malyun"/>
    <s v="Inpatient"/>
    <x v="0"/>
    <n v="3901452804"/>
    <s v="110167060"/>
    <d v="1976-06-06T00:00:00"/>
    <s v="Nwabueze, Onyemaechi, MD"/>
    <s v="General"/>
    <s v="3"/>
    <d v="1899-12-30T15:11:00"/>
    <d v="1899-12-30T15:58:00"/>
    <n v="47"/>
    <d v="1899-12-30T15:00:00"/>
    <d v="1899-12-30T15:45:00"/>
    <n v="45"/>
    <d v="1899-12-30T15:11:00"/>
    <d v="1899-12-30T15:52:00"/>
    <n v="41"/>
    <d v="1899-12-30T15:31:00"/>
    <d v="1899-12-30T15:44:00"/>
    <d v="1899-12-30T15:52:00"/>
    <n v="41"/>
    <n v="13"/>
    <d v="1899-12-30T15:55:00"/>
    <d v="1899-12-30T16:30:00"/>
    <n v="35"/>
    <m/>
    <m/>
    <m/>
    <s v="SHME OR 03"/>
    <s v="General"/>
    <s v="Yes"/>
    <s v="Toman, Jeffrey Robert, Md"/>
    <s v="INCISION AND DRAINAGE OF ABSCESS (EG, CARBUNCLE, SUPPURATIVEHIDRADENITIS, CUTANEOUS OR SUBCUTANEOUS ABSCESS, CYST, FURUNCLE, ORPARONYCHIA); SIMPLE OR SINGLE"/>
    <s v="Incision and drainage of abdominal wall abscess - N/A"/>
    <s v="Fri"/>
    <m/>
    <m/>
    <m/>
    <s v="TOMAN, JEFFREY ROBERT"/>
    <m/>
    <s v="Jeffrey Robert Toman, MD"/>
    <m/>
    <s v="Toman"/>
  </r>
  <r>
    <d v="2026-08-14T00:00:00"/>
    <s v="6658039"/>
    <s v="Duarte Martinez, Guillermo A"/>
    <s v="Inpatient"/>
    <x v="0"/>
    <n v="3901451924"/>
    <s v="305198302"/>
    <d v="1980-06-17T00:00:00"/>
    <s v="Epps, Michelle Tatum, MD"/>
    <s v="General"/>
    <s v="3"/>
    <d v="1899-12-30T21:43:00"/>
    <d v="1899-12-30T23:17:00"/>
    <n v="94"/>
    <d v="1899-12-30T21:00:00"/>
    <d v="1899-12-30T22:10:00"/>
    <n v="70"/>
    <d v="1899-12-30T21:43:00"/>
    <d v="1899-12-30T23:14:00"/>
    <n v="91"/>
    <d v="1899-12-30T22:18:00"/>
    <d v="1899-12-30T23:05:00"/>
    <d v="1899-12-30T23:14:00"/>
    <n v="91"/>
    <n v="47"/>
    <d v="1899-12-30T23:16:00"/>
    <d v="1899-12-30T23:53:01"/>
    <n v="37"/>
    <m/>
    <m/>
    <m/>
    <s v="SHME OR 02"/>
    <s v="Plastics"/>
    <s v="No"/>
    <s v="Hess, Jason R, Md"/>
    <s v="DEBRIDEMENT, MUSCLE AND/OR FASCIA (INCLUDES EPIDERMIS, DERMIS, ANDSUBCUTANEOUS TISSUE, IF PERFORMED); FIRST 20 SQ CM OR LESS"/>
    <s v="DEBRIDEMENT OF SACRAL ULCER - N/A"/>
    <s v="Fri"/>
    <m/>
    <m/>
    <m/>
    <s v="HESS, JASON R"/>
    <m/>
    <s v="Jason R Hess, MD"/>
    <m/>
    <s v="Hess"/>
  </r>
  <r>
    <d v="2026-08-14T00:00:00"/>
    <s v="6498299"/>
    <s v="Withey, Melanie J"/>
    <s v="Outpatient"/>
    <x v="1"/>
    <n v="3901423184"/>
    <s v="200477220"/>
    <d v="1949-11-02T00:00:00"/>
    <s v="Haidar, Jason, DO"/>
    <s v="General"/>
    <s v="3"/>
    <d v="1899-12-30T07:39:00"/>
    <d v="1899-12-30T09:39:00"/>
    <n v="120"/>
    <d v="1899-12-30T07:30:00"/>
    <d v="1899-12-30T09:00:00"/>
    <n v="90"/>
    <d v="1899-12-30T07:39:00"/>
    <d v="1899-12-30T09:34:00"/>
    <n v="115"/>
    <d v="1899-12-30T08:18:00"/>
    <d v="1899-12-30T09:30:00"/>
    <d v="1899-12-30T09:34:00"/>
    <n v="115"/>
    <n v="72"/>
    <d v="1899-12-30T09:39:12"/>
    <d v="1899-12-30T12:00:00"/>
    <n v="141"/>
    <m/>
    <m/>
    <m/>
    <s v="SHME OR 07"/>
    <s v="Urology"/>
    <s v="No"/>
    <s v="Pe, Mark-Rally Lao, Md"/>
    <s v="PERCUTANEOUS IMPLANTATION OF NEUROSTIMULATOR ELECTRODE ARRAY; SACRALNERVE (TRANSFORAMINAL PLACEMENT) INCLUDING IMAGE GUIDANCE, IF PERFORMED_x000a_FLUOROSCOPY (SEPARATE PROCEDURE), UP TO 1 HOUR PHYSICIAN OR OTHERQUALIFIED HEALTH CARE PROFESSIONAL TIME, OTHER THAN 71023 OR 71034 (EG,CARDIAC FLUOROSCOPY)"/>
    <s v="STAGE 1 PLACEMENT OF AXONICS SACRAL NEUROSTIMULATOR ELECTRODE UNDER FLOUROSCOPIC GUIDANCE - N/A"/>
    <s v="Fri"/>
    <m/>
    <m/>
    <m/>
    <s v="PE, MARK-RALLY LAO"/>
    <m/>
    <s v="Mark-Rally Lao Pe, MD"/>
    <m/>
    <s v="Pe"/>
  </r>
  <r>
    <d v="2026-08-14T00:00:00"/>
    <s v="6508567"/>
    <s v="Sullivan, Michael B"/>
    <s v="Outpatient"/>
    <x v="1"/>
    <n v="3901430948"/>
    <s v="810846791"/>
    <d v="1967-11-22T00:00:00"/>
    <s v="Oleske, Alexandra Argyro, DO"/>
    <s v="General"/>
    <s v="3"/>
    <d v="1899-12-30T07:36:00"/>
    <d v="1899-12-30T09:40:00"/>
    <n v="124"/>
    <d v="1899-12-30T07:30:00"/>
    <d v="1899-12-30T09:30:00"/>
    <n v="120"/>
    <d v="1899-12-30T07:36:00"/>
    <d v="1899-12-30T09:35:00"/>
    <n v="119"/>
    <d v="1899-12-30T08:02:00"/>
    <d v="1899-12-30T09:28:00"/>
    <d v="1899-12-30T09:35:00"/>
    <n v="119"/>
    <n v="86"/>
    <d v="1899-12-30T09:42:09"/>
    <d v="1899-12-30T10:34:54"/>
    <n v="52"/>
    <d v="1899-12-30T10:34:56"/>
    <d v="1899-12-30T11:15:14"/>
    <n v="41"/>
    <s v="SHME OR 10"/>
    <s v="General"/>
    <s v="No"/>
    <s v="Lim, Lian, Md"/>
    <s v="LAPAROSCOPY, SURGICAL; REPAIR RECURRENT INGUINAL HERNIA"/>
    <s v="ROBOTIC RECURRENT RIGHT INGUINAL HERNIA REPAIR WITH MESH, POSSIBLE OPEN - N/A"/>
    <s v="Fri"/>
    <m/>
    <m/>
    <m/>
    <s v="LIM, LIAN"/>
    <m/>
    <s v="Lian Lim, MD"/>
    <m/>
    <s v="Lim"/>
  </r>
  <r>
    <d v="2026-08-15T00:00:00"/>
    <s v="6656465"/>
    <s v="Martinez Camacho, Carlos Miguel"/>
    <s v="Inpatient"/>
    <x v="0"/>
    <n v="3901452760"/>
    <s v="810892664"/>
    <d v="1969-11-03T00:00:00"/>
    <s v="Oleske, Alexandra Argyro, DO"/>
    <s v="General"/>
    <s v="3"/>
    <d v="1899-12-30T07:28:00"/>
    <d v="1899-12-30T09:30:00"/>
    <n v="122"/>
    <d v="1899-12-30T07:30:00"/>
    <d v="1899-12-30T10:30:00"/>
    <n v="180"/>
    <d v="1899-12-30T07:28:00"/>
    <d v="1899-12-30T09:26:00"/>
    <n v="118"/>
    <d v="1899-12-30T07:56:00"/>
    <d v="1899-12-30T09:16:00"/>
    <d v="1899-12-30T09:26:00"/>
    <n v="118"/>
    <n v="80"/>
    <d v="1899-12-30T09:30:58"/>
    <d v="1899-12-30T10:10:41"/>
    <n v="40"/>
    <m/>
    <m/>
    <m/>
    <s v="SHME OR 06"/>
    <s v="Oral Surgery"/>
    <s v="No"/>
    <s v="Morrell, Patrick Thomas, Dds"/>
    <s v="OPEN TREATMENT OF MANDIBULAR FRACTURE; WITH INTERDENTAL FIXATION"/>
    <s v="OPEN TREATMENT OF MANDIBULAR FRACTURE; WITH INTERDENTAL FIXATION - Bilateral"/>
    <s v="Sat"/>
    <m/>
    <m/>
    <m/>
    <s v="MORRELL, PATRICK THOMAS"/>
    <m/>
    <s v="Patrick Thomas Morrell, DDS"/>
    <m/>
    <s v="Morrell"/>
  </r>
  <r>
    <d v="2026-08-15T00:00:00"/>
    <s v="6657355"/>
    <s v="Wise, Tyrese Anthoni"/>
    <s v="Inpatient"/>
    <x v="0"/>
    <n v="3901451725"/>
    <s v="811482948"/>
    <d v="1999-03-23T00:00:00"/>
    <s v="Nelson, Jesse Stuart, DO"/>
    <s v="General"/>
    <s v="3"/>
    <d v="1899-12-30T07:31:00"/>
    <d v="1899-12-30T09:37:00"/>
    <n v="126"/>
    <d v="1899-12-30T07:30:00"/>
    <d v="1899-12-30T09:45:00"/>
    <n v="135"/>
    <d v="1899-12-30T07:31:00"/>
    <d v="1899-12-30T09:27:00"/>
    <n v="116"/>
    <d v="1899-12-30T08:09:00"/>
    <d v="1899-12-30T09:15:00"/>
    <d v="1899-12-30T09:27:00"/>
    <n v="116"/>
    <n v="66"/>
    <d v="1899-12-30T09:29:26"/>
    <d v="1899-12-30T10:54:27"/>
    <n v="85"/>
    <m/>
    <m/>
    <m/>
    <s v="SHME OR 05"/>
    <s v="Orthopedics"/>
    <s v="No"/>
    <s v="Quacinella, Michael Andrew, Do, Mph"/>
    <s v="OPEN TREATMENT OF FEMORAL SHAFT FRACTURE, WITH OR WITHOUT EXTERNALFIXATION, WITH INSERTION OF INTRAMEDULLARY IMPLANT, WITH OR WITHOUTCERCLAGE AND/OR LOCKING SCREWS_x000a_MANUAL APPLICATION OF STRESS PERFORMED BY PHYSICIAN OR OTHER QUALIFIEDHEALTH CARE PROFESSIONAL FOR JOINT RADIOGRAPHY, INCLUDING CONTRALATERALJOINT IF INDICATED"/>
    <s v="LEFT FEMUR RETROGRADE NAIL,STRESS EXAM - Left"/>
    <s v="Sat"/>
    <m/>
    <s v="ED/IP/IC"/>
    <m/>
    <s v="QUACINELLA, MICHAEL ANDREW"/>
    <m/>
    <s v="Michael Andrew Quacinella, DO, MPH"/>
    <m/>
    <s v="Quacinella"/>
  </r>
  <r>
    <d v="2026-08-15T00:00:00"/>
    <s v="6657391"/>
    <s v="Santiago, Mona J"/>
    <s v="Inpatient"/>
    <x v="0"/>
    <n v="3901452825"/>
    <s v="701399526"/>
    <d v="1933-02-09T00:00:00"/>
    <s v="Nelson, Jesse Stuart, DO"/>
    <s v="General"/>
    <s v="4"/>
    <d v="1899-12-30T10:07:00"/>
    <d v="1899-12-30T12:37:00"/>
    <n v="150"/>
    <d v="1899-12-30T10:15:00"/>
    <d v="1899-12-30T12:30:00"/>
    <n v="135"/>
    <d v="1899-12-30T10:07:00"/>
    <d v="1899-12-30T12:28:00"/>
    <n v="141"/>
    <d v="1899-12-30T10:46:00"/>
    <d v="1899-12-30T12:21:00"/>
    <d v="1899-12-30T12:28:00"/>
    <n v="141"/>
    <n v="95"/>
    <d v="1899-12-30T12:30:00"/>
    <d v="1899-12-30T13:21:26"/>
    <n v="51"/>
    <m/>
    <m/>
    <m/>
    <s v="SHME OR 09"/>
    <s v="Orthopedics"/>
    <s v="No"/>
    <s v="Quacinella, Michael Andrew, Do, Mph"/>
    <s v="OPEN TREATMENT OF FEMORAL FRACTURE, PROXIMAL END, NECK, INTERNALFIXATION OR PROSTHETIC REPLACEMENT"/>
    <s v="LEFT HIP HEMIARTHROPLASTY - Left"/>
    <s v="Sat"/>
    <m/>
    <m/>
    <m/>
    <s v="QUACINELLA, MICHAEL ANDREW"/>
    <m/>
    <s v="Michael Andrew Quacinella, DO, MPH"/>
    <m/>
    <s v="Quacinella"/>
  </r>
  <r>
    <d v="2026-08-15T00:00:00"/>
    <s v="6658778"/>
    <s v="Wilson, James"/>
    <s v="Inpatient"/>
    <x v="0"/>
    <n v="3901453323"/>
    <s v="811488633"/>
    <d v="1962-10-29T00:00:00"/>
    <s v="Nelson, Jesse Stuart, DO"/>
    <s v="General"/>
    <s v="3"/>
    <d v="1899-12-30T12:38:00"/>
    <d v="1899-12-30T15:05:00"/>
    <n v="147"/>
    <d v="1899-12-30T13:00:00"/>
    <d v="1899-12-30T15:10:00"/>
    <n v="160"/>
    <d v="1899-12-30T12:38:00"/>
    <d v="1899-12-30T14:57:00"/>
    <n v="139"/>
    <d v="1899-12-30T13:09:00"/>
    <d v="1899-12-30T14:51:00"/>
    <d v="1899-12-30T14:57:00"/>
    <n v="139"/>
    <n v="102"/>
    <d v="1899-12-30T14:58:29"/>
    <d v="1899-12-30T16:04:54"/>
    <n v="66"/>
    <m/>
    <m/>
    <m/>
    <s v="SHME OR 05"/>
    <s v="Orthopedics"/>
    <s v="No"/>
    <s v="Quacinella, Michael Andrew, Do, Mph"/>
    <s v="TREATMENT OF TIBIAL SHAFT FRACTURE (WITH OR WITHOUT FIBULAR FRACTURE) BYINTRAMEDULLARY IMPLANT, WITH OR WITHOUT INTERLOCKING SCREWS AND/ORCERCLAGE"/>
    <s v="TREATMENT OF TIBIAL SHAFT FRACTURE (WITH OR WITHOUT FIBULAR FRACTURE) BYINTRAMEDULLARY IMPLANT, WITH OR WITHOUT INTERLOCKING SCREWS AND/ORCERCLAGE - Right"/>
    <s v="Sat"/>
    <m/>
    <s v="ED/IP/IC"/>
    <m/>
    <s v="QUACINELLA, MICHAEL ANDREW"/>
    <m/>
    <s v="Michael Andrew Quacinella, DO, MPH"/>
    <m/>
    <s v="Quacinella"/>
  </r>
  <r>
    <d v="2026-08-15T00:00:00"/>
    <s v="6658811"/>
    <s v="Hernandez, Joaquin R"/>
    <s v="Inpatient"/>
    <x v="0"/>
    <n v="3901453354"/>
    <s v="701828812"/>
    <d v="1975-12-10T00:00:00"/>
    <s v="Epps, Michelle Tatum, MD"/>
    <s v="General"/>
    <s v="5"/>
    <d v="1899-12-30T03:00:00"/>
    <d v="1899-12-30T04:35:00"/>
    <n v="95"/>
    <d v="1899-12-30T03:40:00"/>
    <d v="1899-12-30T04:45:00"/>
    <n v="80"/>
    <d v="1899-12-30T03:00:00"/>
    <d v="1899-12-30T04:27:00"/>
    <n v="87"/>
    <d v="1899-12-30T03:10:00"/>
    <d v="1899-12-30T04:18:00"/>
    <d v="1899-12-30T04:27:00"/>
    <n v="87"/>
    <n v="68"/>
    <m/>
    <m/>
    <m/>
    <m/>
    <m/>
    <m/>
    <s v="SHME OR 03"/>
    <s v="Trauma"/>
    <s v="No"/>
    <s v="Trauma, Generic Surgeon"/>
    <s v="EMERGENCY TRAUMA"/>
    <s v="EMERGENCY TRAUMA - N/A"/>
    <s v="Sat"/>
    <m/>
    <m/>
    <m/>
    <s v="TADLOCK, MATTHEW D_x000a_SIMPSON, AMELIA JEAN"/>
    <s v="Panel 1: Dr. Tadlock, Matthew D, MD / Simpson, Amelia Jean, MD"/>
    <s v="Matthew D Tadlock, MD"/>
    <m/>
    <s v="Tadlock"/>
  </r>
  <r>
    <d v="2026-08-16T00:00:00"/>
    <s v="6658893"/>
    <s v="Avila Hernandez, Ariana"/>
    <s v="Inpatient"/>
    <x v="0"/>
    <n v="3901453367"/>
    <s v="700351849"/>
    <d v="2006-06-21T00:00:00"/>
    <s v="Oleske, Alexandra Argyro, DO"/>
    <s v="Regional"/>
    <s v="2"/>
    <d v="1899-12-30T07:25:00"/>
    <d v="1899-12-30T10:15:00"/>
    <n v="170"/>
    <d v="1899-12-30T07:30:00"/>
    <d v="1899-12-30T09:30:00"/>
    <n v="150"/>
    <d v="1899-12-30T07:25:00"/>
    <d v="1899-12-30T10:10:00"/>
    <n v="165"/>
    <d v="1899-12-30T08:00:00"/>
    <d v="1899-12-30T09:50:00"/>
    <d v="1899-12-30T10:10:00"/>
    <n v="165"/>
    <n v="110"/>
    <d v="1899-12-30T10:11:34"/>
    <d v="1899-12-30T12:04:01"/>
    <n v="113"/>
    <m/>
    <m/>
    <m/>
    <s v="SHME OR 05"/>
    <s v="Orthopedics"/>
    <s v="No"/>
    <s v="Quacinella, Michael Andrew, Do, Mph"/>
    <s v="OPEN TREATMENT OF BIMALLEOLAR ANKLE FRACTURE (EG, LATERAL AND MEDIALMALLEOLI, OR LATERAL AND POSTERIOR MALLEOLI, OR MEDIAL AND POSTERIORMALLEOLI), INCLUDES INTERNAL FIXATION, WHEN PERFORMED"/>
    <s v="operative treatment of right ankle fracture - Right"/>
    <s v="Sun"/>
    <m/>
    <m/>
    <m/>
    <s v="QUACINELLA, MICHAEL ANDREW"/>
    <m/>
    <s v="Michael Andrew Quacinella, DO, MPH"/>
    <m/>
    <s v="Quacinella"/>
  </r>
  <r>
    <d v="2026-08-16T00:00:00"/>
    <s v="6659467"/>
    <s v="Hollie, David"/>
    <s v="Inpatient"/>
    <x v="0"/>
    <n v="3901453546"/>
    <s v="810545956"/>
    <d v="1992-09-18T00:00:00"/>
    <s v="Epps, Michelle Tatum, MD"/>
    <s v="General"/>
    <s v="2"/>
    <d v="1899-12-30T07:28:00"/>
    <d v="1899-12-30T10:41:00"/>
    <n v="193"/>
    <d v="1899-12-30T07:30:00"/>
    <d v="1899-12-30T09:55:00"/>
    <n v="175"/>
    <d v="1899-12-30T07:28:00"/>
    <d v="1899-12-30T10:36:00"/>
    <n v="188"/>
    <d v="1899-12-30T08:33:00"/>
    <d v="1899-12-30T10:28:00"/>
    <d v="1899-12-30T10:36:00"/>
    <n v="188"/>
    <n v="115"/>
    <d v="1899-12-30T10:38:19"/>
    <d v="1899-12-30T11:40:00"/>
    <n v="62"/>
    <m/>
    <m/>
    <m/>
    <s v="SHME OR 06"/>
    <s v="Oral Surgery"/>
    <s v="No"/>
    <s v="Morrell, Patrick Thomas, Dds"/>
    <s v="OPEN TREATMENT OF MANDIBULAR FRACTURE; WITH INTERDENTAL FIXATION"/>
    <s v="OPEN TREATMENT OF MANDIBULAR FRACTURE; WITH INTERDENTAL FIXATION - Left"/>
    <s v="Sun"/>
    <m/>
    <m/>
    <m/>
    <s v="MORRELL, PATRICK THOMAS"/>
    <m/>
    <s v="Patrick Thomas Morrell, DDS"/>
    <m/>
    <s v="Morrell"/>
  </r>
  <r>
    <d v="2026-08-16T00:00:00"/>
    <s v="6659489"/>
    <s v="Yang, Va V"/>
    <s v="Inpatient"/>
    <x v="0"/>
    <n v="3901439088"/>
    <s v="810324071"/>
    <d v="1960-02-19T00:00:00"/>
    <s v="Oleske, Alexandra Argyro, DO"/>
    <s v="General"/>
    <s v="3"/>
    <d v="1899-12-30T15:33:00"/>
    <d v="1899-12-30T16:50:00"/>
    <n v="77"/>
    <d v="1899-12-30T15:30:00"/>
    <d v="1899-12-30T16:35:00"/>
    <n v="95"/>
    <d v="1899-12-30T15:33:00"/>
    <d v="1899-12-30T16:45:00"/>
    <n v="72"/>
    <d v="1899-12-30T16:03:00"/>
    <d v="1899-12-30T16:33:00"/>
    <d v="1899-12-30T16:45:00"/>
    <n v="72"/>
    <n v="30"/>
    <d v="1899-12-30T16:46:27"/>
    <d v="1899-12-30T18:13:00"/>
    <n v="87"/>
    <m/>
    <m/>
    <m/>
    <s v="SHME OR 09"/>
    <s v="Orthopedics"/>
    <s v="Not on file"/>
    <s v="Quacinella, Michael Andrew, Do, Mph"/>
    <s v="DRAINAGE OF TENDON SHEATH, DIGIT AND/OR PALM, EACH"/>
    <s v="debridement and irrigation of the right palm - Right"/>
    <s v="Sun"/>
    <m/>
    <m/>
    <m/>
    <s v="QUACINELLA, MICHAEL ANDREW_x000a_BERNSTEIN, ETHAN MENASHA"/>
    <s v="Panel 1: Dr. Quacinella, Michael Andrew, DO, MPH / Bernstein, Ethan Menasha, MD"/>
    <s v="Michael Andrew Quacinella, DO, MPH"/>
    <m/>
    <s v="Quacinella"/>
  </r>
  <r>
    <d v="2026-08-16T00:00:00"/>
    <s v="6659548"/>
    <s v="Pomajevich, Michael D"/>
    <s v="Inpatient"/>
    <x v="0"/>
    <n v="3901443451"/>
    <s v="700000585"/>
    <d v="1963-11-18T00:00:00"/>
    <s v="Oleske, Alexandra Argyro, DO"/>
    <s v="General"/>
    <s v="3"/>
    <d v="1899-12-30T13:06:00"/>
    <d v="1899-12-30T14:17:00"/>
    <n v="71"/>
    <d v="1899-12-30T12:45:00"/>
    <d v="1899-12-30T14:00:00"/>
    <n v="105"/>
    <d v="1899-12-30T13:06:00"/>
    <d v="1899-12-30T14:12:00"/>
    <n v="66"/>
    <d v="1899-12-30T13:31:00"/>
    <d v="1899-12-30T14:06:00"/>
    <d v="1899-12-30T14:12:00"/>
    <n v="66"/>
    <n v="35"/>
    <d v="1899-12-30T14:14:18"/>
    <d v="1899-12-30T15:05:00"/>
    <n v="51"/>
    <m/>
    <m/>
    <m/>
    <s v="SHME OR 05"/>
    <s v="Orthopedics"/>
    <s v="Yes"/>
    <s v="Quacinella, Michael Andrew, Do, Mph"/>
    <s v="DEBRIDEMENT, MUSCLE AND/OR FASCIA (INCLUDES EPIDERMIS, DERMIS, ANDSUBCUTANEOUS TISSUE, IF PERFORMED); FIRST 20 SQ CM OR LESS"/>
    <s v="DEBRIDEMENT, MUSCLE AND/OR FASCIA (INCLUDES EPIDERMIS, DERMIS, ANDSUBCUTANEOUS TISSUE, IF PERFORMED); FIRST 20 SQ CM OR LESS - Left"/>
    <s v="Sun"/>
    <m/>
    <m/>
    <m/>
    <s v="QUACINELLA, MICHAEL ANDREW_x000a_BERNSTEIN, ETHAN MENASHA"/>
    <s v="Panel 1: Dr. Quacinella, Michael Andrew, DO, MPH / Bernstein, Ethan Menasha, MD"/>
    <s v="Michael Andrew Quacinella, DO, MPH"/>
    <m/>
    <s v="Quacinella"/>
  </r>
  <r>
    <d v="2026-08-16T00:00:00"/>
    <s v="6659764"/>
    <s v="Snelson, Barbara"/>
    <s v="Inpatient"/>
    <x v="0"/>
    <n v="3901453583"/>
    <s v="811159330"/>
    <d v="1956-05-13T00:00:00"/>
    <s v="Oleske, Alexandra Argyro, DO"/>
    <s v="General"/>
    <s v="3"/>
    <d v="1899-12-30T10:33:00"/>
    <d v="1899-12-30T12:07:00"/>
    <n v="94"/>
    <d v="1899-12-30T10:00:00"/>
    <d v="1899-12-30T11:25:00"/>
    <n v="115"/>
    <d v="1899-12-30T10:33:00"/>
    <d v="1899-12-30T12:03:00"/>
    <n v="90"/>
    <d v="1899-12-30T11:06:00"/>
    <d v="1899-12-30T11:57:00"/>
    <d v="1899-12-30T12:03:00"/>
    <n v="90"/>
    <n v="51"/>
    <d v="1899-12-30T12:10:35"/>
    <d v="1899-12-30T13:36:26"/>
    <n v="86"/>
    <m/>
    <m/>
    <m/>
    <s v="SHME OR 09"/>
    <s v="Orthopedics"/>
    <s v="No"/>
    <s v="Quacinella, Michael Andrew, Do, Mph"/>
    <s v="TREATMENT OF INTERTROCHANTERIC, PERITROCHANTERIC, OR SUBTROCHANTERICFEMORAL FRACTURE; WITH INTRAMEDULLARY IMPLANT, WITH OR WITHOUTINTERLOCKING SCREWS AND/OR CERCLAGE"/>
    <s v="operative treatment of left hip fracture - Left"/>
    <s v="Sun"/>
    <m/>
    <m/>
    <m/>
    <s v="QUACINELLA, MICHAEL ANDREW_x000a_BERNSTEIN, ETHAN MENASHA"/>
    <s v="Panel 1: Dr. Quacinella, Michael Andrew, DO, MPH / Bernstein, Ethan Menasha, MD"/>
    <s v="Michael Andrew Quacinella, DO, MPH"/>
    <m/>
    <s v="Quacinella"/>
  </r>
  <r>
    <d v="2026-08-16T00:00:00"/>
    <s v="6659775"/>
    <s v="Kanitz, Michlyn D"/>
    <s v="Inpatient"/>
    <x v="0"/>
    <n v="3901453261"/>
    <s v="701077737"/>
    <d v="1974-07-04T00:00:00"/>
    <s v="Epps, Michelle Tatum, MD"/>
    <s v="General"/>
    <s v="3"/>
    <d v="1899-12-30T11:24:00"/>
    <d v="1899-12-30T12:21:00"/>
    <n v="57"/>
    <d v="1899-12-30T11:15:00"/>
    <d v="1899-12-30T12:30:00"/>
    <n v="105"/>
    <d v="1899-12-30T11:24:00"/>
    <d v="1899-12-30T12:18:00"/>
    <n v="54"/>
    <d v="1899-12-30T11:45:00"/>
    <d v="1899-12-30T12:11:00"/>
    <d v="1899-12-30T12:18:00"/>
    <n v="54"/>
    <n v="26"/>
    <d v="1899-12-30T12:19:45"/>
    <d v="1899-12-30T13:22:00"/>
    <n v="63"/>
    <m/>
    <m/>
    <m/>
    <s v="SHME OR 07"/>
    <s v="Orthopedics"/>
    <s v="No"/>
    <s v="Kansara, Devanshu Velji, Md"/>
    <s v="INCISION AND DRAINAGE, DEEP ABSCESS, BURSA, OR HEMATOMA, THIGH OR KNEEREGION"/>
    <s v="INCISION AND DRAINAGE, DEEP ABSCESS, BURSA, OR HEMATOMA, THIGH OR KNEEREGION - Left"/>
    <s v="Sun"/>
    <m/>
    <m/>
    <m/>
    <s v="KANSARA, DEVANSHU VELJI"/>
    <m/>
    <s v="Devanshu Velji Kansara, MD"/>
    <m/>
    <s v="Kansara"/>
  </r>
  <r>
    <d v="2026-08-16T00:00:00"/>
    <s v="6659840"/>
    <s v="Ortiz, Guadalupe"/>
    <s v="Inpatient"/>
    <x v="0"/>
    <n v="3901453594"/>
    <s v="613016091"/>
    <d v="1953-11-05T00:00:00"/>
    <s v="Patel, Lance Kirit, MD"/>
    <s v="General"/>
    <s v="3"/>
    <d v="1899-12-30T10:15:00"/>
    <d v="1899-12-30T10:59:00"/>
    <n v="44"/>
    <d v="1899-12-30T10:25:00"/>
    <d v="1899-12-30T11:10:00"/>
    <n v="75"/>
    <d v="1899-12-30T10:15:00"/>
    <d v="1899-12-30T10:49:00"/>
    <n v="34"/>
    <d v="1899-12-30T10:37:00"/>
    <d v="1899-12-30T10:45:00"/>
    <d v="1899-12-30T10:49:00"/>
    <n v="34"/>
    <n v="8"/>
    <d v="1899-12-30T11:04:29"/>
    <d v="1899-12-30T11:46:00"/>
    <n v="42"/>
    <m/>
    <m/>
    <m/>
    <s v="SHME OR 03"/>
    <s v="Urology"/>
    <s v="Yes"/>
    <s v="Holden, Marc Mccaslin, Md"/>
    <s v="CYSTOURETHROSCOPY, WITH INSERTION OF INDWELLING URETERAL STENT (EG,GIBBONS OR DOUBLE-J TYPE)"/>
    <s v="cystoscopy, left ureteral stent placement - Left"/>
    <s v="Sun"/>
    <m/>
    <m/>
    <m/>
    <s v="HOLDEN, MARC MCCASLIN"/>
    <m/>
    <s v="Marc McCaslin Holden, MD"/>
    <m/>
    <s v="Holden"/>
  </r>
  <r>
    <d v="2026-08-16T00:00:00"/>
    <s v="6659881"/>
    <s v="Verdeflor, Querubin Dayandante Jr."/>
    <s v="Outpatient"/>
    <x v="1"/>
    <n v="3901453629"/>
    <s v="700694614"/>
    <d v="1950-12-30T00:00:00"/>
    <s v="Oleske, Alexandra Argyro, DO"/>
    <s v="General"/>
    <s v="3"/>
    <d v="1899-12-30T14:43:00"/>
    <d v="1899-12-30T15:14:00"/>
    <n v="31"/>
    <d v="1899-12-30T13:00:00"/>
    <d v="1899-12-30T13:35:00"/>
    <n v="65"/>
    <d v="1899-12-30T14:43:00"/>
    <d v="1899-12-30T15:10:00"/>
    <n v="27"/>
    <d v="1899-12-30T14:54:00"/>
    <d v="1899-12-30T15:03:00"/>
    <d v="1899-12-30T15:10:00"/>
    <n v="27"/>
    <n v="9"/>
    <d v="1899-12-30T15:29:04"/>
    <d v="1899-12-30T15:48:50"/>
    <n v="19"/>
    <m/>
    <m/>
    <m/>
    <s v="SHME OR 06"/>
    <s v="Orthopedics"/>
    <s v="Yes"/>
    <s v="Sun, Michael, Md"/>
    <s v="CLOSED TREATMENT OF SHOULDER DISLOCATION, WITH MANIPULATION; REQUIRINGANESTHESIA_x000a_OPEN TREATMENT OF ACUTE SHOULDER DISLOCATION"/>
    <s v="RIGHT closed versus open reduction of shoulder dislocation - Right"/>
    <s v="Sun"/>
    <m/>
    <m/>
    <m/>
    <s v="SUN, MICHAEL"/>
    <m/>
    <s v="Michael Sun, MD"/>
    <m/>
    <s v="Sun"/>
  </r>
  <r>
    <d v="2026-08-16T00:00:00"/>
    <s v="6659958"/>
    <s v="FARAJ, Iris E"/>
    <s v="Inpatient"/>
    <x v="0"/>
    <n v="3901453544"/>
    <s v="400459632"/>
    <d v="2002-01-10T00:00:00"/>
    <s v="Yehushua, Liora, MD"/>
    <s v="General"/>
    <s v="1"/>
    <d v="1899-12-30T00:17:00"/>
    <d v="1899-12-30T01:40:00"/>
    <n v="83"/>
    <d v="1899-12-30T00:15:00"/>
    <d v="1899-12-30T01:35:00"/>
    <n v="110"/>
    <d v="1899-12-30T00:17:00"/>
    <d v="1899-12-30T01:35:00"/>
    <n v="78"/>
    <d v="1899-12-30T00:42:00"/>
    <d v="1899-12-30T01:28:00"/>
    <d v="1899-12-30T01:35:00"/>
    <n v="78"/>
    <n v="46"/>
    <d v="1899-12-30T01:36:10"/>
    <d v="1899-12-30T02:01:00"/>
    <n v="25"/>
    <m/>
    <m/>
    <m/>
    <s v="SHME OR 03"/>
    <s v="General"/>
    <s v="No"/>
    <s v="Peck, Kimberly Ann, Md"/>
    <s v="LAPAROSCOPY, SURGICAL, APPENDECTOMY"/>
    <s v="LAPAROSCOPY, SURGICAL, APPENDECTOMY - N/A"/>
    <s v="Sun"/>
    <m/>
    <m/>
    <m/>
    <s v="PECK, KIMBERLY ANN"/>
    <m/>
    <s v="Kimberly Ann Peck, MD"/>
    <m/>
    <s v="Peck"/>
  </r>
  <r>
    <d v="2026-08-16T00:00:00"/>
    <s v="6660541"/>
    <s v="Halberg, Michele Lynne"/>
    <s v="Inpatient"/>
    <x v="0"/>
    <n v="3901453800"/>
    <s v="305254138"/>
    <d v="1956-06-17T00:00:00"/>
    <s v="Patel, Lance Kirit, MD"/>
    <s v="Regional"/>
    <s v="3"/>
    <d v="1899-12-30T17:02:00"/>
    <d v="1899-12-30T19:21:00"/>
    <n v="139"/>
    <d v="1899-12-30T16:05:00"/>
    <d v="1899-12-30T18:40:00"/>
    <n v="185"/>
    <d v="1899-12-30T17:02:00"/>
    <d v="1899-12-30T19:11:00"/>
    <n v="129"/>
    <d v="1899-12-30T17:43:00"/>
    <d v="1899-12-30T19:05:00"/>
    <d v="1899-12-30T19:11:00"/>
    <n v="129"/>
    <n v="82"/>
    <d v="1899-12-30T19:13:22"/>
    <d v="1899-12-30T19:54:29"/>
    <n v="41"/>
    <m/>
    <m/>
    <m/>
    <s v="SHME OR 07"/>
    <s v="Orthopedics"/>
    <s v="No"/>
    <s v="Sun, Michael, Md"/>
    <s v="TREATMENT OF INTERTROCHANTERIC, PERITROCHANTERIC, OR SUBTROCHANTERICFEMORAL FRACTURE; WITH INTRAMEDULLARY IMPLANT, WITH OR WITHOUTINTERLOCKING SCREWS AND/OR CERCLAGE"/>
    <s v="TREATMENT OF INTERTROCHANTERIC, PERITROCHANTERIC, OR SUBTROCHANTERICFEMORAL FRACTURE; WITH INTRAMEDULLARY IMPLANT, WITH OR WITHOUTINTERLOCKING SCREWS AND/OR CERCLAGE - Left"/>
    <s v="Sun"/>
    <m/>
    <m/>
    <m/>
    <s v="SUN, MICHAEL"/>
    <m/>
    <s v="Michael Sun, MD"/>
    <m/>
    <s v="Sun"/>
  </r>
  <r>
    <d v="2026-08-17T00:00:00"/>
    <s v="6532081"/>
    <s v="Jackson, Yvonne"/>
    <s v="Outpatient"/>
    <x v="1"/>
    <n v="3901429573"/>
    <s v="700194186"/>
    <d v="1961-07-06T00:00:00"/>
    <s v="Kim, Eung Do, MD"/>
    <s v="General"/>
    <s v="2"/>
    <d v="1899-12-30T07:50:00"/>
    <d v="1899-12-30T09:06:00"/>
    <n v="76"/>
    <d v="1899-12-30T08:00:00"/>
    <d v="1899-12-30T10:00:00"/>
    <n v="120"/>
    <d v="1899-12-30T07:50:00"/>
    <d v="1899-12-30T08:59:00"/>
    <n v="69"/>
    <d v="1899-12-30T08:22:00"/>
    <d v="1899-12-30T08:56:00"/>
    <d v="1899-12-30T08:59:00"/>
    <n v="69"/>
    <n v="34"/>
    <d v="1899-12-30T09:01:12"/>
    <d v="1899-12-30T09:16:00"/>
    <n v="15"/>
    <d v="1899-12-30T09:17:00"/>
    <d v="1899-12-30T10:00:00"/>
    <n v="43"/>
    <s v="SHME OR 14"/>
    <s v="Podiatry"/>
    <s v="No"/>
    <s v="Schneider, Sarah Ashley, Dpm"/>
    <s v="REMOVAL OF IMPLANT; DEEP (EG, BURIED WIRE, PIN, SCREW, METAL BAND, NAIL,ROD OR PLATE)_x000a_EXCISION, TUMOR, SOFT TISSUE OF FOOT OR TOE, SUBCUTANEOUS; 1.5 CM ORGREATER_x000a_ASPIRATION AND/OR INJECTION OF GANGLION CYST(S) ANY LOCATION"/>
    <s v="HARDWARE REMOVAL, RIGHT FOOT; SOFT TISSUE MASS EXCISION, RIGHT FOOT; POSSIBLE GANGLION CYST ASPIRATION/INJECTION, RIGHT FOOT - Right"/>
    <s v="Mon"/>
    <m/>
    <m/>
    <m/>
    <s v="SCHNEIDER, SARAH ASHLEY_x000a_DO, RUTH NGUYEN"/>
    <s v="Panel 1: Dr. Schneider, Sarah Ashley, DPM / Do, Ruth Nguyen, DPM"/>
    <s v="Sarah Ashley Schneider, DPM"/>
    <m/>
    <s v="Schneider"/>
  </r>
  <r>
    <d v="2026-08-17T00:00:00"/>
    <s v="6539005"/>
    <s v="Emery, Loretta L"/>
    <s v="Outpatient"/>
    <x v="1"/>
    <n v="3901430716"/>
    <s v="110133106"/>
    <d v="1973-03-03T00:00:00"/>
    <s v="Fan, Ting-Wei, MD"/>
    <s v="General"/>
    <s v="3"/>
    <d v="1899-12-30T08:14:00"/>
    <d v="1899-12-30T10:29:00"/>
    <n v="135"/>
    <d v="1899-12-30T08:00:00"/>
    <d v="1899-12-30T10:30:00"/>
    <n v="150"/>
    <d v="1899-12-30T08:14:00"/>
    <d v="1899-12-30T10:21:00"/>
    <n v="127"/>
    <d v="1899-12-30T08:49:00"/>
    <d v="1899-12-30T10:17:00"/>
    <d v="1899-12-30T10:21:00"/>
    <n v="127"/>
    <n v="88"/>
    <d v="1899-12-30T10:31:52"/>
    <d v="1899-12-30T11:30:00"/>
    <n v="59"/>
    <d v="1899-12-30T11:31:00"/>
    <d v="1899-12-30T11:49:14"/>
    <n v="18"/>
    <s v="SHME OR 03"/>
    <s v="Neurosurgery"/>
    <s v="No"/>
    <s v="Chavakula, Vamsidhar, Md"/>
    <s v="LAMINECTOMY FOR IMPLANTATION OF NEUROSTIMULATOR ELECTRODES,PLATE/PADDLE, EPIDURAL"/>
    <s v="PLACEMENT OF SPINAL CORD STIMULATOR - N/A"/>
    <s v="Mon"/>
    <m/>
    <m/>
    <m/>
    <s v="CHAVAKULA, VAMSIDHAR"/>
    <m/>
    <s v="Vamsidhar Chavakula, MD"/>
    <m/>
    <s v="Chavakula"/>
  </r>
  <r>
    <d v="2026-08-17T00:00:00"/>
    <s v="6539010"/>
    <s v="Stenman, Gary R"/>
    <s v="Outpatient"/>
    <x v="1"/>
    <n v="3901430717"/>
    <s v="400311178"/>
    <d v="1956-04-06T00:00:00"/>
    <s v="Fan, Ting-Wei, MD"/>
    <s v="General"/>
    <s v="3"/>
    <d v="1899-12-30T11:05:00"/>
    <d v="1899-12-30T13:18:00"/>
    <n v="133"/>
    <d v="1899-12-30T11:00:00"/>
    <d v="1899-12-30T13:30:00"/>
    <n v="150"/>
    <d v="1899-12-30T11:05:00"/>
    <d v="1899-12-30T13:11:00"/>
    <n v="126"/>
    <d v="1899-12-30T11:36:00"/>
    <d v="1899-12-30T13:07:00"/>
    <d v="1899-12-30T13:11:00"/>
    <n v="126"/>
    <n v="91"/>
    <d v="1899-12-30T13:15:48"/>
    <d v="1899-12-30T13:39:00"/>
    <n v="24"/>
    <d v="1899-12-30T13:39:00"/>
    <d v="1899-12-30T15:15:00"/>
    <n v="96"/>
    <s v="SHME OR 03"/>
    <s v="Neurosurgery"/>
    <s v="No"/>
    <s v="Chavakula, Vamsidhar, Md"/>
    <s v="PERCUTANEOUS IMPLANTATION OF NEUROSTIMULATOR ELECTRODE ARRAY, EPIDURAL"/>
    <s v="PLACEMENT OF SPINAL CORD STIMULATOR - N/A"/>
    <s v="Mon"/>
    <m/>
    <m/>
    <m/>
    <s v="CHAVAKULA, VAMSIDHAR"/>
    <m/>
    <s v="Vamsidhar Chavakula, MD"/>
    <m/>
    <s v="Chavakula"/>
  </r>
  <r>
    <d v="2026-08-17T00:00:00"/>
    <s v="6564461"/>
    <s v="Hernandez, Alexander"/>
    <s v="Outpatient"/>
    <x v="1"/>
    <n v="3901434972"/>
    <s v="811475745"/>
    <d v="1997-07-01T00:00:00"/>
    <s v="Kim, Eung Do, MD"/>
    <s v="Monitor Anesthesia Care"/>
    <s v="1"/>
    <d v="1899-12-30T09:38:00"/>
    <d v="1899-12-30T10:54:00"/>
    <n v="76"/>
    <d v="1899-12-30T10:00:00"/>
    <d v="1899-12-30T11:30:00"/>
    <n v="90"/>
    <d v="1899-12-30T09:38:00"/>
    <d v="1899-12-30T10:50:00"/>
    <n v="72"/>
    <d v="1899-12-30T10:06:00"/>
    <d v="1899-12-30T10:48:00"/>
    <d v="1899-12-30T10:50:00"/>
    <n v="72"/>
    <n v="42"/>
    <d v="1899-12-30T10:51:00"/>
    <d v="1899-12-30T11:31:00"/>
    <n v="40"/>
    <d v="1899-12-30T11:31:00"/>
    <d v="1899-12-30T11:56:00"/>
    <n v="25"/>
    <s v="SHME OR 14"/>
    <s v="Podiatry"/>
    <s v="No"/>
    <s v="Do, Ruth Nguyen, Dpm"/>
    <s v="OSTECTOMY, COMPLETE EXCISION; OTHER METATARSAL HEAD (SECOND, THIRD ORFOURTH)"/>
    <s v="FIFTH METATARSAL HEAD RESECTION, LEFT FOOT - Left"/>
    <s v="Mon"/>
    <m/>
    <m/>
    <m/>
    <s v="DO, RUTH NGUYEN_x000a_SCHNEIDER, SARAH ASHLEY"/>
    <s v="Panel 1: Dr. Do, Ruth Nguyen, DPM / Schneider, Sarah Ashley, DPM"/>
    <s v="Ruth Nguyen Do, DPM"/>
    <m/>
    <s v="Do"/>
  </r>
  <r>
    <d v="2026-08-17T00:00:00"/>
    <s v="6586694"/>
    <s v="Blanco DeCaballero, Ariadna"/>
    <s v="Outpatient"/>
    <x v="1"/>
    <n v="3901439438"/>
    <s v="700562057"/>
    <d v="1967-10-12T00:00:00"/>
    <s v="Kim, Eung Do, MD"/>
    <s v="General"/>
    <s v="2"/>
    <d v="1899-12-30T11:22:00"/>
    <d v="1899-12-30T13:17:00"/>
    <n v="115"/>
    <d v="1899-12-30T12:00:00"/>
    <d v="1899-12-30T14:30:00"/>
    <n v="150"/>
    <d v="1899-12-30T11:22:00"/>
    <d v="1899-12-30T13:14:00"/>
    <n v="112"/>
    <d v="1899-12-30T11:51:00"/>
    <d v="1899-12-30T13:10:00"/>
    <d v="1899-12-30T13:14:00"/>
    <n v="112"/>
    <n v="79"/>
    <d v="1899-12-30T13:16:33"/>
    <d v="1899-12-30T13:46:00"/>
    <n v="30"/>
    <d v="1899-12-30T13:47:00"/>
    <d v="1899-12-30T14:55:00"/>
    <n v="68"/>
    <s v="SHME OR 14"/>
    <s v="Podiatry"/>
    <s v="No"/>
    <s v="Schneider, Sarah Ashley, Dpm"/>
    <s v="CORRECTION, HAMMERTOE (EG, INTERPHALANGEAL FUSION, PARTIAL OR TOTALPHALANGECTOMY)_x000a_CORRECTION, HALLUX VALGUS WITH BUNIONECTOMY, WITH SESAMOIDECTOMY WHEN PERFORMED; WITH RESECTION OF PROXIMAL PHALANX BASE, WHEN PERFORMED, ANY METHOD_x000a_CORRECTION, HALLUX VALGUS WITH BUNIONECTOMY, WITH SESAMOIDECTOMY WHEN PERFORMED; WITH DISTAL METATARSAL OSTEOTOMY, ANY METHOD"/>
    <s v="BUNIONECTOMY WITH FIRST METATARSAL OSTEOTOMY, LEFT FOOT; SECOND HAMMERTOE CORRECTION, LEFT FOOT;  POSSIBLE KELLER PROCEDURE, LEFT FOOT - Left"/>
    <s v="Mon"/>
    <m/>
    <m/>
    <m/>
    <s v="SCHNEIDER, SARAH ASHLEY"/>
    <m/>
    <s v="Sarah Ashley Schneider, DPM"/>
    <m/>
    <s v="Schneider"/>
  </r>
  <r>
    <d v="2026-08-17T00:00:00"/>
    <s v="6596280"/>
    <s v="Granados, Araceli"/>
    <s v="Inpatient"/>
    <x v="0"/>
    <n v="3901441564"/>
    <s v="810303695"/>
    <d v="1977-04-27T00:00:00"/>
    <s v="Luu, Tiffany, MD"/>
    <s v="General"/>
    <s v="3"/>
    <d v="1899-12-30T07:56:00"/>
    <d v="1899-12-30T11:04:00"/>
    <n v="188"/>
    <d v="1899-12-30T08:00:00"/>
    <d v="1899-12-30T10:15:00"/>
    <n v="135"/>
    <d v="1899-12-30T07:56:00"/>
    <d v="1899-12-30T11:00:00"/>
    <n v="184"/>
    <d v="1899-12-30T08:34:00"/>
    <d v="1899-12-30T10:45:00"/>
    <d v="1899-12-30T11:00:00"/>
    <n v="184"/>
    <n v="131"/>
    <d v="1899-12-30T11:02:00"/>
    <d v="1899-12-30T11:24:16"/>
    <n v="22"/>
    <m/>
    <m/>
    <m/>
    <s v="SHME OR 10"/>
    <s v="Urology"/>
    <s v="No"/>
    <s v="Salem, Carol Elizabeth, Md"/>
    <s v="LAPAROSCOPY, SURGICAL; URETERONEOCYSTOSTOMY WITHOUT CYSTOSCOPY ANDURETERAL STENT PLACEMENT"/>
    <s v="ROBOTIC LEFT URETER REIMPLANT - Left"/>
    <s v="Mon"/>
    <m/>
    <m/>
    <m/>
    <s v="SALEM, CAROL ELIZABETH"/>
    <m/>
    <s v="Carol Elizabeth Salem, MD"/>
    <m/>
    <s v="Salem"/>
  </r>
  <r>
    <d v="2026-08-17T00:00:00"/>
    <s v="6597541"/>
    <s v="Cunningham, Clifton"/>
    <s v="Outpatient"/>
    <x v="1"/>
    <n v="3901441756"/>
    <s v="810256109"/>
    <d v="1951-05-23T00:00:00"/>
    <s v="Haidar, Jason, DO"/>
    <s v="General"/>
    <s v="3"/>
    <d v="1899-12-30T14:27:00"/>
    <d v="1899-12-30T16:49:00"/>
    <n v="142"/>
    <d v="1899-12-30T13:45:00"/>
    <d v="1899-12-30T16:45:00"/>
    <n v="180"/>
    <d v="1899-12-30T14:27:00"/>
    <d v="1899-12-30T16:44:00"/>
    <n v="137"/>
    <d v="1899-12-30T15:17:00"/>
    <d v="1899-12-30T16:39:00"/>
    <d v="1899-12-30T16:44:00"/>
    <n v="137"/>
    <n v="82"/>
    <d v="1899-12-30T16:45:03"/>
    <d v="1899-12-30T17:29:03"/>
    <n v="44"/>
    <m/>
    <m/>
    <m/>
    <s v="SHME OR 01"/>
    <s v="Orthopedics"/>
    <s v="No"/>
    <s v="Fabi, David William, Md"/>
    <s v="REVISION OF TOTAL HIP ARTHROPLASTY; ACETABULAR COMPONENT ONLY, WITH ORWITHOUT AUTOGRAFT OR ALLOGRAFT_x000a_REVISION OF TOTAL HIP ARTHROPLASTY; FEMORAL COMPONENT ONLY, WITH ORWITHOUT ALLOGRAFT_x000a_REVISION OF TOTAL HIP ARTHROPLASTY; BOTH COMPONENTS, WITH OR WITHOUTAUTOGRAFT OR ALLOGRAFT"/>
    <s v="REVISION OF RIGHT TOTAL ANTERIOR HIP ARTHROPLASTY - Right"/>
    <s v="Mon"/>
    <m/>
    <m/>
    <m/>
    <s v="FABI, DAVID WILLIAM"/>
    <m/>
    <s v="David William Fabi, MD"/>
    <m/>
    <s v="Fabi"/>
  </r>
  <r>
    <d v="2026-08-17T00:00:00"/>
    <s v="6604362"/>
    <s v="Olbrich, John H"/>
    <s v="Outpatient"/>
    <x v="1"/>
    <n v="3901442980"/>
    <s v="700168204"/>
    <d v="1962-07-02T00:00:00"/>
    <s v="Haidar, Jason, DO"/>
    <s v="Regional"/>
    <s v="2"/>
    <d v="1899-12-30T09:25:00"/>
    <d v="1899-12-30T12:50:00"/>
    <n v="205"/>
    <d v="1899-12-30T08:00:00"/>
    <d v="1899-12-30T11:00:00"/>
    <n v="180"/>
    <d v="1899-12-30T09:25:00"/>
    <d v="1899-12-30T12:45:00"/>
    <n v="200"/>
    <d v="1899-12-30T09:56:00"/>
    <d v="1899-12-30T12:37:00"/>
    <d v="1899-12-30T12:45:00"/>
    <n v="200"/>
    <n v="161"/>
    <d v="1899-12-30T12:47:00"/>
    <d v="1899-12-30T13:55:45"/>
    <n v="68"/>
    <d v="1899-12-30T14:06:12"/>
    <d v="1899-12-30T18:21:00"/>
    <n v="255"/>
    <s v="SHME OR 01"/>
    <s v="Orthopedics"/>
    <s v="No"/>
    <s v="Fabi, David William, Md"/>
    <s v="COMPUTER-ASSISTED SURGICAL NAVIGATIONAL PROCEDURE FOR MUSCULOSKELETALPROCEDURES, IMAGE-LESS (LIST SEPARATELY IN ADDITION TO CODE FOR PRIMARYPROCEDURE)_x000a_ARTHROPLASTY, KNEE, CONDYLE AND PLATEAU; MEDIAL OR LATERAL COMPARTMENT"/>
    <s v="ROBOTIC BILATERAL MEDIAL UNICONDYLAR ARTHROPLASTY - Bilateral"/>
    <s v="Mon"/>
    <m/>
    <m/>
    <m/>
    <s v="FABI, DAVID WILLIAM"/>
    <m/>
    <s v="David William Fabi, MD"/>
    <m/>
    <s v="Fabi"/>
  </r>
  <r>
    <d v="2026-08-17T00:00:00"/>
    <s v="6619128"/>
    <s v="Mercado de Luna, Maria G"/>
    <s v="Inpatient"/>
    <x v="0"/>
    <n v="3901446035"/>
    <s v="810822386"/>
    <d v="1966-10-19T00:00:00"/>
    <s v="Ngo, Donald Hanh, MD"/>
    <s v="General"/>
    <s v="2"/>
    <d v="1899-12-30T12:24:00"/>
    <d v="1899-12-30T15:26:00"/>
    <n v="182"/>
    <d v="1899-12-30T11:15:00"/>
    <d v="1899-12-30T13:30:00"/>
    <n v="135"/>
    <d v="1899-12-30T12:24:00"/>
    <d v="1899-12-30T15:21:00"/>
    <n v="177"/>
    <d v="1899-12-30T12:58:00"/>
    <d v="1899-12-30T15:16:00"/>
    <d v="1899-12-30T15:21:00"/>
    <n v="177"/>
    <n v="138"/>
    <d v="1899-12-30T15:22:06"/>
    <d v="1899-12-30T16:45:00"/>
    <n v="83"/>
    <m/>
    <m/>
    <m/>
    <s v="SHME OR 10"/>
    <s v="Orthopedics"/>
    <s v="No"/>
    <s v="Fabi, David William, Md"/>
    <s v="ARTHROPLASTY, ACETABULAR AND PROXIMAL FEMORAL PROSTHETIC REPLACEMENT(TOTAL HIP ARTHROPLASTY), WITH OR WITHOUT AUTOGRAFT OR ALLOGRAFT"/>
    <s v="TOTAL ANTERIOR LEFT HIP ARTHROPLASTY - Left"/>
    <s v="Mon"/>
    <m/>
    <m/>
    <m/>
    <s v="FABI, DAVID WILLIAM"/>
    <m/>
    <s v="David William Fabi, MD"/>
    <m/>
    <s v="Fabi"/>
  </r>
  <r>
    <d v="2026-08-17T00:00:00"/>
    <s v="6231571"/>
    <s v="Piel, Mark J"/>
    <s v="Inpatient"/>
    <x v="0"/>
    <n v="3901367943"/>
    <s v="810324454"/>
    <d v="1966-09-10T00:00:00"/>
    <s v="Vasant, Kris Kishore, MD"/>
    <s v="Regional"/>
    <s v="4"/>
    <d v="1899-12-30T06:19:00"/>
    <d v="1899-12-30T12:45:00"/>
    <n v="386"/>
    <d v="1899-12-30T06:15:00"/>
    <d v="1899-12-30T11:15:00"/>
    <n v="300"/>
    <d v="1899-12-30T06:19:00"/>
    <d v="1899-12-30T12:28:00"/>
    <n v="369"/>
    <d v="1899-12-30T08:22:00"/>
    <d v="1899-12-30T12:21:00"/>
    <d v="1899-12-30T12:28:00"/>
    <n v="369"/>
    <n v="239"/>
    <m/>
    <m/>
    <m/>
    <m/>
    <m/>
    <m/>
    <s v="SHME OR 08"/>
    <s v="Cardiothoracic"/>
    <s v="No"/>
    <s v="Hemp, James Robert, Md"/>
    <s v="VALVULOPLASTY, MITRAL VALVE, WITH CARDIOPULMONARY BYPASS; RADICALRECONSTRUCTION, WITH OR WITHOUT RING_x000a_REPLACEMENT, MITRAL VALVE, WITH CARDIOPULMONARY BYPASS_x000a_MEDIASTINOTOMY WITH EXPLORATION, DRAINAGE, REMOVAL OF FOREIGN BODY, ORBIOPSY; TRANSTHORACIC APPROACH, INCLUDING EITHER TRANSTHORACIC OR MEDIANSTERNOTOMY"/>
    <s v="ROBOTIC MITRAL VALVE REPAIR; POSSIBLE BIOPROSTHETIC VALVE REPLACEMENT; POSSIBLE STERNOTOMY - N/A"/>
    <s v="Mon"/>
    <m/>
    <m/>
    <m/>
    <s v="ISLAMI MANUCHEHRY, MOHAMMAD HOSEIN_x000a_HEMP, JAMES ROBERT"/>
    <s v="Panel 1: Dr. Hemp, James Robert, MD / Islami Manuchehry, Mohammad Hosein, MD"/>
    <s v="James Robert Hemp, MD"/>
    <m/>
    <s v="Hemp"/>
  </r>
  <r>
    <d v="2026-08-17T00:00:00"/>
    <s v="6622468"/>
    <s v="Kreutz, Orlo A"/>
    <s v="Outpatient"/>
    <x v="1"/>
    <n v="3901446719"/>
    <s v="100324749"/>
    <d v="1948-08-21T00:00:00"/>
    <s v="Luu, Tiffany, MD"/>
    <s v="General"/>
    <s v="3"/>
    <d v="1899-12-30T11:33:00"/>
    <d v="1899-12-30T12:10:00"/>
    <n v="37"/>
    <d v="1899-12-30T11:10:00"/>
    <d v="1899-12-30T11:55:00"/>
    <n v="45"/>
    <d v="1899-12-30T11:33:00"/>
    <d v="1899-12-30T12:07:00"/>
    <n v="34"/>
    <d v="1899-12-30T11:54:00"/>
    <d v="1899-12-30T12:01:00"/>
    <d v="1899-12-30T12:07:00"/>
    <n v="34"/>
    <n v="7"/>
    <d v="1899-12-30T12:12:23"/>
    <d v="1899-12-30T13:16:00"/>
    <n v="64"/>
    <d v="1899-12-30T13:17:00"/>
    <d v="1899-12-30T14:32:50"/>
    <n v="75"/>
    <s v="SHME OR 17"/>
    <s v="Urology"/>
    <s v="No"/>
    <s v="Salem, Carol Elizabeth, Md"/>
    <s v="CYSTOURETHROSCOPY, WITH BIOPSY(S)"/>
    <s v="CYSTOSCOPY WITH BLADDER BIOPSY - N/A"/>
    <s v="Mon"/>
    <m/>
    <m/>
    <m/>
    <s v="SALEM, CAROL ELIZABETH"/>
    <m/>
    <s v="Carol Elizabeth Salem, MD"/>
    <m/>
    <s v="Salem"/>
  </r>
  <r>
    <d v="2026-08-17T00:00:00"/>
    <s v="6629395"/>
    <s v="Allen, Kyle E"/>
    <s v="Inpatient"/>
    <x v="0"/>
    <n v="3901447918"/>
    <s v="811381671"/>
    <d v="1969-06-11T00:00:00"/>
    <s v="Chitlur, Abhijith Harish, MD"/>
    <s v="General"/>
    <s v="1"/>
    <d v="1899-12-30T07:56:00"/>
    <d v="1899-12-30T10:54:00"/>
    <n v="178"/>
    <d v="1899-12-30T08:00:00"/>
    <d v="1899-12-30T10:00:00"/>
    <n v="120"/>
    <d v="1899-12-30T07:56:00"/>
    <d v="1899-12-30T10:48:00"/>
    <n v="172"/>
    <d v="1899-12-30T08:45:00"/>
    <d v="1899-12-30T10:33:00"/>
    <d v="1899-12-30T10:48:00"/>
    <n v="172"/>
    <n v="108"/>
    <d v="1899-12-30T10:49:33"/>
    <d v="1899-12-30T11:18:14"/>
    <n v="29"/>
    <m/>
    <m/>
    <m/>
    <s v="SHME OR 05"/>
    <s v="Orthopedics"/>
    <s v="No"/>
    <s v="Bawa, Maneesh, Md"/>
    <s v="ARTHRODESIS, ANTERIOR INTERBODY, INCLUDING DISC SPACE PREPARATION,DISCECTOMY, OSTEOPHYTECTOMY AND DECOMPRESSION OF SPINAL CORD AND/ORNERVE ROOTS; CERVICAL BELOW C2_x000a_INSERTION OF INTERBODY BIOMECHANICAL DEVICE(S) (EG, SYNTHETIC CAGE, MESH) WITHINTEGRAL ANTERIOR INSTRUMENTATION FOR DEVICE ANCHORING (EG, SCREWS, FLANGES),WHEN PERFORMED, TO INTERVERTEBRAL DISC SPAC_x000a_ANTERIOR INSTRUMENTATION; 2 TO 3 VERTEBRAL SEGMENTS (LIST SEPARATELY INADDITION TO CODE FOR PRIMARY PROCEDURE)_x000a_AUTOGRAFT FOR SPINE SURGERY ONLY (INCLUDES HARVESTING THE GRAFT); LOCAL(EG, RIBS, SPINOUS PROCESS, OR LAMINAR FRAGMENTS) OBTAINED FROM SAMEINCISION (LIST SEPARATELY IN ADDITION TO CODE FOR PRIMARY P_x000a_MICROSURGICAL TECHNIQUES, REQUIRING USE OF OPERATING MICROSCOPE (LISTSEPARATELY IN ADDITION TO CODE FOR PRIMARY PROCEDURE)_x000a_FLUOROSCOPY (SEPARATE PROCEDURE), UP TO 1 HOUR PHYSICIAN OR OTHERQUALIFIED HEALTH CARE PROFESSIONAL TIME, OTHER THAN 71023 OR 71034 (EG,CARDIAC FLUOROSCOPY)"/>
    <s v="CERVICAL 5-CERVICAL 6 ANTERIOR CERVICAL DISCECTOMY FUSION - N/A"/>
    <s v="Mon"/>
    <m/>
    <m/>
    <m/>
    <s v="BAWA, MANEESH"/>
    <m/>
    <s v="Maneesh Bawa, MD"/>
    <m/>
    <s v="Bawa"/>
  </r>
  <r>
    <d v="2026-08-17T00:00:00"/>
    <s v="6632612"/>
    <s v="Easland, Kre R"/>
    <s v="Inpatient"/>
    <x v="0"/>
    <n v="3901448508"/>
    <s v="700154066"/>
    <d v="1960-03-13T00:00:00"/>
    <s v="Luu, Tiffany, MD"/>
    <s v="General"/>
    <s v="2"/>
    <d v="1899-12-30T12:47:00"/>
    <d v="1899-12-30T13:44:00"/>
    <n v="57"/>
    <d v="1899-12-30T12:00:00"/>
    <d v="1899-12-30T13:00:00"/>
    <n v="60"/>
    <d v="1899-12-30T12:47:00"/>
    <d v="1899-12-30T13:40:00"/>
    <n v="53"/>
    <d v="1899-12-30T13:14:00"/>
    <d v="1899-12-30T13:34:00"/>
    <d v="1899-12-30T13:40:00"/>
    <n v="53"/>
    <n v="20"/>
    <d v="1899-12-30T13:42:00"/>
    <d v="1899-12-30T14:26:36"/>
    <n v="44"/>
    <m/>
    <m/>
    <m/>
    <s v="SHME OR 17"/>
    <s v="Urology"/>
    <s v="No"/>
    <s v="Salem, Carol Elizabeth, Md"/>
    <s v="CYSTOURETHROSCOPY, WITH FULGURATION (INCLUDING CRYOSURGERY OR LASERSURGERY) AND/OR RESECTION OF; LARGE BLADDER TUMOR(S)_x000a_BLADDER INSTILLATION OF ANTICARCINOGENIC AGENT (INCLUDING RETENTIONTIME)"/>
    <s v="TRANSURETHRAL RESECTION OF BLADDER TUMOR WITH GEMCITABINE BLADDER INSTILLATION - N/A"/>
    <s v="Mon"/>
    <m/>
    <m/>
    <m/>
    <s v="SALEM, CAROL ELIZABETH"/>
    <m/>
    <s v="Carol Elizabeth Salem, MD"/>
    <m/>
    <s v="Salem"/>
  </r>
  <r>
    <d v="2026-08-17T00:00:00"/>
    <s v="6636350"/>
    <s v="Parks-Fleming, Alicia M"/>
    <s v="Inpatient"/>
    <x v="0"/>
    <n v="3901451389"/>
    <s v="810676828"/>
    <d v="1973-01-29T00:00:00"/>
    <s v="Feduska, Collin Steven, MD"/>
    <s v="General"/>
    <s v="3"/>
    <d v="1899-12-30T08:05:00"/>
    <d v="1899-12-30T10:08:00"/>
    <n v="123"/>
    <d v="1899-12-30T08:00:00"/>
    <d v="1899-12-30T10:15:00"/>
    <n v="135"/>
    <d v="1899-12-30T08:05:00"/>
    <d v="1899-12-30T09:58:00"/>
    <n v="113"/>
    <d v="1899-12-30T08:30:00"/>
    <d v="1899-12-30T09:50:00"/>
    <d v="1899-12-30T09:58:00"/>
    <n v="113"/>
    <n v="80"/>
    <d v="1899-12-30T10:02:59"/>
    <d v="1899-12-30T10:32:00"/>
    <n v="30"/>
    <m/>
    <m/>
    <m/>
    <s v="SHME OR 15"/>
    <s v="General"/>
    <s v="No"/>
    <s v="Taller, Janos, Md"/>
    <s v="LAPAROSCOPY, SURGICAL, GASTRIC RESTRICTIVE PROCEDURE; WITH GASTRICBYPASS AND ROUX-EN-Y GASTROENTEROSTOMY (ROUX LIMB 150 CM OR LESS)"/>
    <s v="ROBOTIC ROUX-EN-Y GASTRIC BYPASS - N/A"/>
    <s v="Mon"/>
    <m/>
    <m/>
    <m/>
    <s v="TALLER, JANOS_x000a_BERTUCCI, WILLIAM ROBERT"/>
    <s v="Panel 1: Dr. Taller, Janos, MD / Bertucci, William Robert, MD"/>
    <s v="Janos Taller, MD"/>
    <m/>
    <s v="Taller"/>
  </r>
  <r>
    <d v="2026-08-17T00:00:00"/>
    <s v="6636354"/>
    <s v="Cristerna, Katlyn J"/>
    <s v="Inpatient"/>
    <x v="0"/>
    <n v="3901451407"/>
    <s v="811480781"/>
    <d v="1997-11-25T00:00:00"/>
    <s v="Feduska, Collin Steven, MD"/>
    <s v="General"/>
    <s v="3"/>
    <d v="1899-12-30T13:09:00"/>
    <d v="1899-12-30T14:46:00"/>
    <n v="97"/>
    <d v="1899-12-30T13:15:00"/>
    <d v="1899-12-30T15:00:00"/>
    <n v="105"/>
    <d v="1899-12-30T13:09:00"/>
    <d v="1899-12-30T14:36:00"/>
    <n v="87"/>
    <d v="1899-12-30T13:41:00"/>
    <d v="1899-12-30T14:30:00"/>
    <d v="1899-12-30T14:36:00"/>
    <n v="87"/>
    <n v="49"/>
    <d v="1899-12-30T14:42:00"/>
    <d v="1899-12-30T16:13:00"/>
    <n v="91"/>
    <m/>
    <m/>
    <m/>
    <s v="SHME OR 15"/>
    <s v="General"/>
    <s v="No"/>
    <s v="Taller, Janos, Md"/>
    <s v="LAPAROSCOPY, SURGICAL, GASTRIC RESTRICTIVE PROCEDURE; LONGITUDINALGASTRECTOMY (IE, SLEEVE GASTRECTOMY)"/>
    <s v="ROBOTIC SLEEVE GASTRECTOMY - N/A"/>
    <s v="Mon"/>
    <m/>
    <m/>
    <m/>
    <s v="TALLER, JANOS_x000a_BERTUCCI, WILLIAM ROBERT"/>
    <s v="Panel 1: Dr. Taller, Janos, MD / Bertucci, William Robert, MD"/>
    <s v="Janos Taller, MD"/>
    <m/>
    <s v="Taller"/>
  </r>
  <r>
    <d v="2026-08-17T00:00:00"/>
    <s v="6639377"/>
    <s v="Vick, Kathryn M"/>
    <s v="Outpatient"/>
    <x v="1"/>
    <n v="3901449880"/>
    <s v="810886070"/>
    <d v="1990-02-06T00:00:00"/>
    <s v="Ngo, Donald Hanh, MD"/>
    <s v="General"/>
    <s v="2"/>
    <d v="1899-12-30T07:56:00"/>
    <d v="1899-12-30T08:33:00"/>
    <n v="37"/>
    <d v="1899-12-30T08:00:00"/>
    <d v="1899-12-30T09:00:00"/>
    <n v="60"/>
    <d v="1899-12-30T07:56:00"/>
    <d v="1899-12-30T08:28:00"/>
    <n v="32"/>
    <d v="1899-12-30T08:16:00"/>
    <d v="1899-12-30T08:24:00"/>
    <d v="1899-12-30T08:28:00"/>
    <n v="32"/>
    <n v="8"/>
    <d v="1899-12-30T08:29:18"/>
    <d v="1899-12-30T08:50:00"/>
    <n v="21"/>
    <d v="1899-12-30T08:51:00"/>
    <d v="1899-12-30T09:37:00"/>
    <n v="46"/>
    <s v="SHME OR 16"/>
    <s v="Gynecology"/>
    <s v="No"/>
    <s v="Hui, Kim, Md"/>
    <s v="HYSTEROSCOPY, SURGICAL; WITH SAMPLING (BIOPSY) OF ENDOMETRIUM AND/ORPOLYPECTOMY, WITH OR WITHOUT D &amp; C_x000a_REMOVAL OF INTRAUTERINE DEVICE (IUD)"/>
    <s v="HYSTEROSCOPY DILATION AND CURETTAGE, MIRENA IUD REMOVAL - N/A"/>
    <s v="Mon"/>
    <m/>
    <m/>
    <m/>
    <s v="HUI, KIM"/>
    <m/>
    <s v="Kim Hui, MD (619-407-1011)"/>
    <m/>
    <s v="Hui"/>
  </r>
  <r>
    <d v="2026-08-17T00:00:00"/>
    <s v="6639530"/>
    <s v="Lurie, Stephen M"/>
    <s v="Outpatient"/>
    <x v="1"/>
    <n v="3901451399"/>
    <s v="811278974"/>
    <d v="1960-11-08T00:00:00"/>
    <s v="Feduska, Collin Steven, MD"/>
    <s v="General"/>
    <s v="2"/>
    <d v="1899-12-30T10:50:00"/>
    <d v="1899-12-30T12:13:00"/>
    <n v="83"/>
    <d v="1899-12-30T10:45:00"/>
    <d v="1899-12-30T12:45:00"/>
    <n v="120"/>
    <d v="1899-12-30T10:50:00"/>
    <d v="1899-12-30T12:03:00"/>
    <n v="73"/>
    <d v="1899-12-30T11:20:00"/>
    <d v="1899-12-30T11:52:00"/>
    <d v="1899-12-30T12:03:00"/>
    <n v="73"/>
    <n v="32"/>
    <d v="1899-12-30T12:05:05"/>
    <d v="1899-12-30T12:31:00"/>
    <n v="26"/>
    <d v="1899-12-30T13:15:00"/>
    <d v="1899-12-30T14:14:00"/>
    <n v="59"/>
    <s v="SHME OR 15"/>
    <s v="General"/>
    <s v="No"/>
    <s v="Bertucci, William Robert, Md"/>
    <s v="LAPAROSCOPY, ABDOMEN, PERITONEUM, AND OMENTUM, DIAGNOSTIC, WITH ORWITHOUT COLLECTION OF SPECIMEN(S) BY BRUSHING OR WASHING (SEPARATEPROCEDURE)"/>
    <s v="ROBOTIC BARIATRIC DIAGNOSTIC LAPAROSCOPY - N/A"/>
    <s v="Mon"/>
    <m/>
    <m/>
    <m/>
    <s v="BERTUCCI, WILLIAM ROBERT_x000a_TALLER, JANOS"/>
    <s v="Panel 1: Dr. Bertucci, William Robert, MD / Taller, Janos, MD"/>
    <s v="William Robert Bertucci, MD"/>
    <m/>
    <s v="Bertucci"/>
  </r>
  <r>
    <d v="2026-08-17T00:00:00"/>
    <s v="6642792"/>
    <s v="Kalish, Elizabeth I"/>
    <s v="Outpatient"/>
    <x v="1"/>
    <n v="3901450552"/>
    <s v="110002581"/>
    <d v="1940-06-28T00:00:00"/>
    <s v="Chitlur, Abhijith Harish, MD"/>
    <s v="General"/>
    <s v="3"/>
    <d v="1899-12-30T11:31:00"/>
    <d v="1899-12-30T12:55:00"/>
    <n v="84"/>
    <d v="1899-12-30T10:30:00"/>
    <d v="1899-12-30T11:45:00"/>
    <n v="75"/>
    <d v="1899-12-30T11:31:00"/>
    <d v="1899-12-30T12:47:00"/>
    <n v="76"/>
    <d v="1899-12-30T12:00:00"/>
    <d v="1899-12-30T12:41:00"/>
    <d v="1899-12-30T12:47:00"/>
    <n v="76"/>
    <n v="41"/>
    <d v="1899-12-30T12:54:31"/>
    <d v="1899-12-30T13:44:00"/>
    <n v="50"/>
    <d v="1899-12-30T13:45:00"/>
    <d v="1899-12-30T14:07:16"/>
    <n v="22"/>
    <s v="SHME OR 05"/>
    <s v="Orthopedics"/>
    <s v="No"/>
    <s v="Bawa, Maneesh, Md"/>
    <s v="KYPHOPLASTY), 1 VERTEBRAL BODY, UNILATERAL OR BILATERAL CANNULATION,_x000a_FLUOROSCOPY (SEPARATE PROCEDURE), UP TO 1 HOUR PHYSICIAN OR OTHERQUALIFIED HEALTH CARE PROFESSIONAL TIME, OTHER THAN 71023 OR 71034 (EG,CARDIAC FLUOROSCOPY)"/>
    <s v="KYPHOPLASTY THORACIC 7 - N/A"/>
    <s v="Mon"/>
    <m/>
    <m/>
    <m/>
    <s v="BAWA, MANEESH"/>
    <m/>
    <s v="Maneesh Bawa, MD"/>
    <m/>
    <s v="Bawa"/>
  </r>
  <r>
    <d v="2026-08-17T00:00:00"/>
    <s v="6644760"/>
    <s v="Martin, Andrea L"/>
    <s v="Inpatient"/>
    <x v="0"/>
    <n v="3901450903"/>
    <s v="811201533"/>
    <d v="1965-05-26T00:00:00"/>
    <s v="Ngo, Donald Hanh, MD"/>
    <s v="Regional"/>
    <s v="2"/>
    <d v="1899-12-30T16:14:00"/>
    <d v="1899-12-30T18:12:00"/>
    <n v="118"/>
    <d v="1899-12-30T16:00:00"/>
    <d v="1899-12-30T18:00:00"/>
    <n v="120"/>
    <d v="1899-12-30T16:14:00"/>
    <d v="1899-12-30T18:06:00"/>
    <n v="112"/>
    <d v="1899-12-30T16:49:00"/>
    <d v="1899-12-30T18:01:00"/>
    <d v="1899-12-30T18:06:00"/>
    <n v="112"/>
    <n v="72"/>
    <d v="1899-12-30T18:07:31"/>
    <d v="1899-12-30T19:15:00"/>
    <n v="68"/>
    <m/>
    <m/>
    <m/>
    <s v="SHME OR 04"/>
    <s v="Orthopedics"/>
    <s v="No"/>
    <s v="Fabi, David William, Md"/>
    <s v="ARTHROPLASTY, KNEE, CONDYLE AND PLATEAU; MEDIAL AND LATERAL COMPARTMENTSWITH OR WITHOUT PATELLA RESURFACING (TOTAL KNEE ARTHROPLASTY)"/>
    <s v="TOTAL RIGHT KNEE ARTHOPLASTY - Right"/>
    <s v="Mon"/>
    <m/>
    <m/>
    <m/>
    <s v="FABI, DAVID WILLIAM"/>
    <m/>
    <s v="David William Fabi, MD"/>
    <m/>
    <s v="Fabi"/>
  </r>
  <r>
    <d v="2026-08-17T00:00:00"/>
    <s v="6654034"/>
    <s v="Mireles-Hall, Jaycie R"/>
    <s v="Outpatient"/>
    <x v="1"/>
    <n v="3901452577"/>
    <s v="811142072"/>
    <d v="1994-12-31T00:00:00"/>
    <s v="Haidar, Jason, DO"/>
    <s v="General"/>
    <s v="3"/>
    <d v="1899-12-30T13:21:00"/>
    <d v="1899-12-30T14:02:00"/>
    <n v="41"/>
    <d v="1899-12-30T13:30:00"/>
    <d v="1899-12-30T14:15:00"/>
    <n v="45"/>
    <d v="1899-12-30T13:21:00"/>
    <d v="1899-12-30T13:57:00"/>
    <n v="36"/>
    <d v="1899-12-30T13:47:00"/>
    <d v="1899-12-30T13:54:00"/>
    <d v="1899-12-30T13:57:00"/>
    <n v="36"/>
    <n v="7"/>
    <d v="1899-12-30T13:58:50"/>
    <d v="1899-12-30T14:55:00"/>
    <n v="57"/>
    <d v="1899-12-30T14:55:00"/>
    <d v="1899-12-30T15:31:00"/>
    <n v="36"/>
    <s v="SHME OR 16"/>
    <s v="Gynecology"/>
    <s v="No"/>
    <s v="Hui, Kim, Md"/>
    <s v="TREATMENT OF MISSED ABORTION, COMPLETED SURGICALLY; FIRST TRIMESTER"/>
    <s v="SUCTION DILATION AND CURETTAGE - N/A"/>
    <s v="Mon"/>
    <m/>
    <m/>
    <m/>
    <s v="HUI, KIM"/>
    <m/>
    <s v="Kim Hui, MD (619-407-1011)"/>
    <m/>
    <s v="Hui"/>
  </r>
  <r>
    <d v="2026-08-17T00:00:00"/>
    <s v="6657529"/>
    <s v="Orozco Olivares, Bernardo"/>
    <s v="Inpatient"/>
    <x v="0"/>
    <n v="3901451977"/>
    <s v="811000733"/>
    <d v="1958-06-26T00:00:00"/>
    <s v="Stradleigh, Ryan Kellian, DO"/>
    <s v="General"/>
    <s v="4"/>
    <d v="1899-12-30T15:57:00"/>
    <d v="1899-12-30T19:28:00"/>
    <n v="211"/>
    <d v="1899-12-30T12:15:00"/>
    <d v="1899-12-30T15:45:00"/>
    <n v="210"/>
    <d v="1899-12-30T15:57:00"/>
    <d v="1899-12-30T19:20:00"/>
    <n v="203"/>
    <d v="1899-12-30T17:20:00"/>
    <d v="1899-12-30T19:11:00"/>
    <d v="1899-12-30T19:20:00"/>
    <n v="203"/>
    <n v="111"/>
    <m/>
    <m/>
    <m/>
    <m/>
    <m/>
    <m/>
    <s v="SHME OR 05"/>
    <s v="Neurosurgery"/>
    <s v="No"/>
    <s v="Zauner, Alois, Md"/>
    <s v="CRANIECTOMY FOR EXCISION OF BRAIN TUMOR, INFRATENTORIAL OR POSTERIORFOSSA; EXCEPT MENINGIOMA, CEREBELLOPONTINE ANGLE TUMOR, OR MIDLINE TUMORAT BASE OF SKULL_x000a_MICROSURGICAL TECHNIQUES, REQUIRING USE OF OPERATING MICROSCOPE (LISTSEPARATELY IN ADDITION TO CODE FOR PRIMARY PROCEDURE)_x000a_PATHOLOGY CONSULTATION DURING SURGERY; FIRST TISSUE BLOCK, WITH FROZENSECTION(S), SINGLE SPECIMEN_x000a_STEREOTACTIC COMPUTER-ASSISTED (NAVIGATIONAL) PROCEDURE; CRANIAL,INTRADURAL (LIST SEPARATELY IN ADDITION TO CODE FOR PRIMARY PROCEDURE)"/>
    <s v="LEFT SUBOCCIPITAL CRANIOTOMY FOR TUMOR RESECTION - Left"/>
    <s v="Mon"/>
    <m/>
    <m/>
    <m/>
    <s v="ZAUNER, ALOIS"/>
    <m/>
    <s v="Alois Zauner, MD"/>
    <m/>
    <s v="Zauner"/>
  </r>
  <r>
    <d v="2026-08-17T00:00:00"/>
    <s v="6660462"/>
    <s v="Mayon Pardinas, Kristal A"/>
    <s v="Inpatient"/>
    <x v="0"/>
    <n v="3901453734"/>
    <s v="701703192"/>
    <d v="2007-08-20T00:00:00"/>
    <s v="Yehushua, Liora, MD"/>
    <s v="General"/>
    <s v="2"/>
    <d v="1899-12-30T08:08:00"/>
    <d v="1899-12-30T09:27:00"/>
    <n v="79"/>
    <d v="1899-12-30T08:00:00"/>
    <d v="1899-12-30T09:40:00"/>
    <n v="130"/>
    <d v="1899-12-30T08:00:00"/>
    <d v="1899-12-30T09:22:00"/>
    <n v="82"/>
    <d v="1899-12-30T08:32:00"/>
    <d v="1899-12-30T09:08:00"/>
    <d v="1899-12-30T09:22:00"/>
    <n v="82"/>
    <n v="36"/>
    <d v="1899-12-30T09:23:00"/>
    <d v="1899-12-30T10:03:00"/>
    <n v="40"/>
    <m/>
    <m/>
    <m/>
    <s v="SHME OR 07"/>
    <s v="Orthopedics"/>
    <s v="No"/>
    <s v="Quacinella, Michael Andrew, Do, Mph"/>
    <s v="OPEN TREATMENT OF PHALANGEAL SHAFT FRACTURE, PROXIMAL OR MIDDLE PHALANX,FINGER OR THUMB, INCLUDES INTERNAL FIXATION, WHEN PERFORMED, EACH"/>
    <s v="operative treatment of right small finger fracture_x000a__x000a_OPEN TREATMENT OF PHALANGEAL SHAFT FRACTURE, PROXIMAL OR MIDDLE PHALANX,FINGER OR THUMB, INCLUDES INTERNAL FIXATION, WHEN PERFORMED, EACH - Right"/>
    <s v="Mon"/>
    <m/>
    <m/>
    <m/>
    <s v="QUACINELLA, MICHAEL ANDREW"/>
    <m/>
    <s v="Michael Andrew Quacinella, DO, MPH"/>
    <m/>
    <s v="Quacinella"/>
  </r>
  <r>
    <d v="2026-08-17T00:00:00"/>
    <s v="6660524"/>
    <s v="Andrade, Elizabeth"/>
    <s v="Outpatient"/>
    <x v="1"/>
    <n v="3901453721"/>
    <s v="701974829"/>
    <d v="1973-08-16T00:00:00"/>
    <s v="Ngo, Donald Hanh, MD"/>
    <s v="General"/>
    <s v="2"/>
    <d v="1899-12-30T10:27:00"/>
    <d v="1899-12-30T12:08:00"/>
    <n v="101"/>
    <d v="1899-12-30T10:15:00"/>
    <d v="1899-12-30T11:50:00"/>
    <n v="125"/>
    <d v="1899-12-30T10:27:00"/>
    <d v="1899-12-30T12:03:00"/>
    <n v="96"/>
    <d v="1899-12-30T10:47:00"/>
    <d v="1899-12-30T11:56:00"/>
    <d v="1899-12-30T12:03:00"/>
    <n v="96"/>
    <n v="69"/>
    <d v="1899-12-30T12:04:37"/>
    <d v="1899-12-30T12:46:00"/>
    <n v="42"/>
    <m/>
    <m/>
    <m/>
    <s v="SHME OR 16"/>
    <s v="General"/>
    <s v="No"/>
    <s v="Liebig, Jonathan Tyler, Md"/>
    <s v="LAPAROSCOPY, SURGICAL; CHOLECYSTECTOMY"/>
    <s v="LAPAROSCOPY, SURGICAL; CHOLECYSTECTOMY - N/A"/>
    <s v="Mon"/>
    <m/>
    <m/>
    <m/>
    <s v="LIEBIG, JONATHAN TYLER"/>
    <m/>
    <s v="Jonathan Tyler Liebig, MD"/>
    <m/>
    <s v="Liebig"/>
  </r>
  <r>
    <d v="2026-08-17T00:00:00"/>
    <s v="6660586"/>
    <s v="Lopez, Diego"/>
    <s v="Inpatient"/>
    <x v="0"/>
    <n v="3901433787"/>
    <s v="811474932"/>
    <d v="1993-02-11T00:00:00"/>
    <s v="Yehushua, Liora, MD"/>
    <s v="Regional"/>
    <s v="4"/>
    <d v="1899-12-30T09:55:00"/>
    <d v="1899-12-30T14:45:00"/>
    <n v="290"/>
    <d v="1899-12-30T10:00:00"/>
    <d v="1899-12-30T13:15:00"/>
    <n v="225"/>
    <d v="1899-12-30T10:14:00"/>
    <d v="1899-12-30T14:28:00"/>
    <n v="254"/>
    <d v="1899-12-30T11:34:00"/>
    <d v="1899-12-30T13:52:00"/>
    <d v="1899-12-30T14:28:00"/>
    <n v="254"/>
    <n v="138"/>
    <m/>
    <m/>
    <m/>
    <m/>
    <m/>
    <m/>
    <s v="SHME OR 06"/>
    <s v="Cardiothoracic"/>
    <s v="No"/>
    <s v="Williams, David Mccann, Md"/>
    <s v="THORACOSCOPY, SURGICAL; WITH PARTIAL PULMONARY DECORTICATION"/>
    <s v="THORACOSCOPY, SURGICAL; WITH PARTIAL PULMONARY DECORTICATION - Right"/>
    <s v="Mon"/>
    <m/>
    <s v="ED/IP/IC"/>
    <m/>
    <s v="WILLIAMS, DAVID MCCANN"/>
    <m/>
    <s v="David McCann Williams, MD"/>
    <m/>
    <s v="Williams"/>
  </r>
  <r>
    <d v="2026-08-17T00:00:00"/>
    <s v="6660651"/>
    <s v="Lee, Alex M"/>
    <s v="Inpatient"/>
    <x v="0"/>
    <n v="3901424676"/>
    <s v="701073378"/>
    <d v="1961-10-10T00:00:00"/>
    <s v="Luu, Tiffany, MD"/>
    <s v="Monitor Anesthesia Care"/>
    <s v="3"/>
    <d v="1899-12-30T14:29:00"/>
    <d v="1899-12-30T15:44:00"/>
    <n v="75"/>
    <d v="1899-12-30T14:20:00"/>
    <d v="1899-12-30T15:30:00"/>
    <n v="100"/>
    <d v="1899-12-30T14:29:00"/>
    <d v="1899-12-30T15:38:00"/>
    <n v="69"/>
    <d v="1899-12-30T15:05:00"/>
    <d v="1899-12-30T15:32:00"/>
    <d v="1899-12-30T15:38:00"/>
    <n v="69"/>
    <n v="27"/>
    <d v="1899-12-30T15:44:36"/>
    <d v="1899-12-30T16:37:00"/>
    <n v="53"/>
    <m/>
    <m/>
    <m/>
    <s v="SHME OR 17"/>
    <s v="Urology"/>
    <s v="No"/>
    <s v="Salem, Carol Elizabeth, Md"/>
    <s v="CYSTOURETHROSCOPY (SEPARATE PROCEDURE)_x000a_CHANGE OF CYSTOSTOMY TUBE; SIMPLE"/>
    <s v="CYSTOURETHROSCOPY (SEPARATE PROCEDURE) - N/A"/>
    <s v="Mon"/>
    <m/>
    <s v="ED/IP/IC"/>
    <m/>
    <s v="SALEM, CAROL ELIZABETH"/>
    <m/>
    <s v="Carol Elizabeth Salem, MD"/>
    <m/>
    <s v="Salem"/>
  </r>
  <r>
    <d v="2026-08-17T00:00:00"/>
    <s v="6660779"/>
    <s v="Massey, Steven E"/>
    <s v="Inpatient"/>
    <x v="0"/>
    <n v="3901453865"/>
    <s v="700283595"/>
    <d v="1956-08-26T00:00:00"/>
    <s v="Feduska, Collin Steven, MD"/>
    <s v="Regional"/>
    <s v="3"/>
    <d v="1899-12-30T15:04:00"/>
    <d v="1899-12-30T17:23:00"/>
    <n v="139"/>
    <d v="1899-12-30T15:00:00"/>
    <d v="1899-12-30T17:35:00"/>
    <n v="185"/>
    <d v="1899-12-30T15:04:00"/>
    <d v="1899-12-30T17:13:00"/>
    <n v="129"/>
    <d v="1899-12-30T15:48:00"/>
    <d v="1899-12-30T17:10:00"/>
    <d v="1899-12-30T17:13:00"/>
    <n v="129"/>
    <n v="82"/>
    <d v="1899-12-30T17:16:00"/>
    <d v="1899-12-30T20:55:00"/>
    <n v="219"/>
    <m/>
    <m/>
    <m/>
    <s v="SHME OR 07"/>
    <s v="Orthopedics"/>
    <s v="Yes"/>
    <s v="Sun, Michael, Md"/>
    <s v="TREATMENT OF INTERTROCHANTERIC, PERITROCHANTERIC, OR SUBTROCHANTERICFEMORAL FRACTURE; WITH INTRAMEDULLARY IMPLANT, WITH OR WITHOUTINTERLOCKING SCREWS AND/OR CERCLAGE"/>
    <s v="TREATMENT OF INTERTROCHANTERIC, PERITROCHANTERIC, OR SUBTROCHANTERICFEMORAL FRACTURE; WITH INTRAMEDULLARY IMPLANT, WITH OR WITHOUTINTERLOCKING SCREWS AND/OR CERCLAGE - Left"/>
    <s v="Mon"/>
    <m/>
    <m/>
    <m/>
    <s v="SUN, MICHAEL"/>
    <m/>
    <s v="Michael Sun, MD"/>
    <m/>
    <s v="Sun"/>
  </r>
  <r>
    <d v="2026-08-17T00:00:00"/>
    <s v="6661165"/>
    <s v="Arellano Lara, Ismael"/>
    <s v="Inpatient"/>
    <x v="0"/>
    <n v="3901453928"/>
    <s v="811489045"/>
    <d v="1970-06-25T00:00:00"/>
    <s v="Epps, Michelle Tatum, MD"/>
    <s v="General"/>
    <s v="3"/>
    <d v="1899-12-30T10:22:00"/>
    <d v="1899-12-30T12:18:00"/>
    <n v="116"/>
    <d v="1899-12-30T10:45:00"/>
    <d v="1899-12-30T13:05:00"/>
    <n v="170"/>
    <d v="1899-12-30T10:22:00"/>
    <d v="1899-12-30T12:14:00"/>
    <n v="112"/>
    <d v="1899-12-30T10:53:00"/>
    <d v="1899-12-30T12:09:00"/>
    <d v="1899-12-30T12:14:00"/>
    <n v="112"/>
    <n v="76"/>
    <d v="1899-12-30T12:15:15"/>
    <d v="1899-12-30T13:37:00"/>
    <n v="82"/>
    <m/>
    <m/>
    <m/>
    <s v="SHME OR 07"/>
    <s v="Orthopedics"/>
    <s v="No"/>
    <s v="Quacinella, Michael Andrew, Do, Mph"/>
    <s v="OPEN TREATMENT OF ACROMIOCLAVICULAR DISLOCATION, ACUTE OR CHRONIC; WITHFASCIAL GRAFT (INCLUDES OBTAINING GRAFT)"/>
    <s v="OPEN TREATMENT OF ACROMIOCLAVICULAR DISLOCATION, ACUTE OR CHRONIC; WITHFASCIAL GRAFT (INCLUDES OBTAINING GRAFT) - Left"/>
    <s v="Mon"/>
    <m/>
    <m/>
    <m/>
    <s v="QUACINELLA, MICHAEL ANDREW"/>
    <m/>
    <s v="Michael Andrew Quacinella, DO, MPH"/>
    <m/>
    <s v="Quacinella"/>
  </r>
  <r>
    <d v="2026-08-17T00:00:00"/>
    <s v="6661208"/>
    <s v="Gamboa, Guadalupe"/>
    <s v="Inpatient"/>
    <x v="0"/>
    <n v="3901453916"/>
    <s v="100240875"/>
    <d v="1938-12-15T00:00:00"/>
    <s v="Kim, Eung Do, MD"/>
    <s v="Regional"/>
    <s v="3"/>
    <d v="1899-12-30T13:40:00"/>
    <d v="1899-12-30T16:36:00"/>
    <n v="176"/>
    <d v="1899-12-30T12:35:00"/>
    <d v="1899-12-30T15:10:00"/>
    <n v="185"/>
    <d v="1899-12-30T13:40:00"/>
    <d v="1899-12-30T16:31:00"/>
    <n v="171"/>
    <d v="1899-12-30T14:10:00"/>
    <d v="1899-12-30T16:08:00"/>
    <d v="1899-12-30T16:31:00"/>
    <n v="171"/>
    <n v="118"/>
    <d v="1899-12-30T16:32:00"/>
    <d v="1899-12-30T20:00:00"/>
    <n v="208"/>
    <m/>
    <m/>
    <m/>
    <s v="SHME OR 02"/>
    <s v="General"/>
    <s v="No"/>
    <s v="Giurgiu, Dan I.N., Md"/>
    <s v="COLECTOMY, PARTIAL, WITH REMOVAL OF TERMINAL ILEUM WITH ILEOCOLOSTOMY"/>
    <s v="COLECTOMY, PARTIAL, WITH REMOVAL OF TERMINAL ILEUM WITH ILEOCOLOSTOMY, POSSIBLE ILEOSTOMY - N/A"/>
    <s v="Mon"/>
    <m/>
    <s v="ED/IP/IC"/>
    <m/>
    <s v="GIURGIU, DAN I.N._x000a_PRICE, ERIN MICHELLE"/>
    <s v="Panel 1: Dr. Giurgiu, Dan I.N., MD / Price, Erin Michelle, MD"/>
    <s v="Dan I.N. Giurgiu, MD (619-330-8330)"/>
    <m/>
    <s v="Giurgiu"/>
  </r>
  <r>
    <d v="2026-08-17T00:00:00"/>
    <s v="6661324"/>
    <s v="Harrison, Lonnie"/>
    <s v="Inpatient"/>
    <x v="0"/>
    <n v="3901453935"/>
    <s v="810925063"/>
    <d v="1963-09-30T00:00:00"/>
    <s v="Patel, Lance Kirit, MD"/>
    <s v="General"/>
    <s v="3"/>
    <d v="1899-12-30T06:03:00"/>
    <d v="1899-12-30T06:56:00"/>
    <n v="53"/>
    <d v="1899-12-30T06:00:00"/>
    <d v="1899-12-30T07:05:00"/>
    <n v="95"/>
    <d v="1899-12-30T06:03:00"/>
    <d v="1899-12-30T06:46:00"/>
    <n v="43"/>
    <d v="1899-12-30T06:31:00"/>
    <d v="1899-12-30T06:40:00"/>
    <d v="1899-12-30T06:46:00"/>
    <n v="43"/>
    <n v="9"/>
    <d v="1899-12-30T06:55:29"/>
    <d v="1899-12-30T07:15:00"/>
    <n v="20"/>
    <d v="1899-12-30T07:15:00"/>
    <d v="1899-12-30T08:45:37"/>
    <n v="90"/>
    <s v="SHME OR 02"/>
    <s v="Urology"/>
    <s v="No"/>
    <s v="Holden, Marc Mccaslin, Md"/>
    <s v="CYSTOURETHROSCOPY WITH IRRIGATION AND EVACUATION OF MULTIPLE OBSTRUCTINGCLOTS"/>
    <s v="CYSTOURETHROSCOPY WITH IRRIGATION AND EVACUATION OF MULTIPLE OBSTRUCTINGCLOTS - N/A"/>
    <s v="Mon"/>
    <m/>
    <m/>
    <m/>
    <s v="HOLDEN, MARC MCCASLIN"/>
    <m/>
    <s v="Marc McCaslin Holden, MD"/>
    <m/>
    <s v="Holden"/>
  </r>
  <r>
    <d v="2026-08-17T00:00:00"/>
    <s v="6664742"/>
    <s v="Kemp, Nena"/>
    <s v="Inpatient"/>
    <x v="0"/>
    <n v="3901452255"/>
    <s v="611019281"/>
    <d v="1947-10-17T00:00:00"/>
    <s v="Nwabueze, Onyemaechi, MD"/>
    <s v="Regional"/>
    <s v="3"/>
    <d v="1899-12-30T18:07:00"/>
    <d v="1899-12-30T19:59:00"/>
    <n v="112"/>
    <d v="1899-12-30T17:45:00"/>
    <d v="1899-12-30T21:00:00"/>
    <n v="225"/>
    <d v="1899-12-30T18:07:00"/>
    <d v="1899-12-30T19:51:00"/>
    <n v="104"/>
    <d v="1899-12-30T18:43:00"/>
    <d v="1899-12-30T19:34:00"/>
    <d v="1899-12-30T19:51:00"/>
    <n v="104"/>
    <n v="51"/>
    <d v="1899-12-30T19:52:17"/>
    <d v="1899-12-30T21:04:32"/>
    <n v="72"/>
    <m/>
    <m/>
    <m/>
    <s v="SHME OR 06"/>
    <s v="General"/>
    <s v="No"/>
    <s v="Simpson, Amelia Jean, Md"/>
    <s v="EXPLORATORY LAPAROTOMY, EXPLORATORY CELIOTOMY WITH OR WITHOUT BIOPSY(S)(SEPARATE PROCEDURE)_x000a_GASTROSTOMY, OPEN; WITHOUT CONSTRUCTION OF GASTRIC TUBE (EG, STAMMPROCEDURE) (SEPARATE PROCEDURE)"/>
    <s v="EXPLORATORY LAPAROTOMY, EXPLORATORY CELIOTOMY WITH OR WITHOUT BIOPSY(S)(SEPARATE PROCEDURE) - N/A"/>
    <s v="Mon"/>
    <m/>
    <m/>
    <m/>
    <s v="SIMPSON, AMELIA JEAN"/>
    <m/>
    <s v="Amelia Jean Simpson, MD"/>
    <m/>
    <s v="Simpson"/>
  </r>
  <r>
    <d v="2026-08-17T00:00:00"/>
    <s v="6297725"/>
    <s v="Teng, Hong Wei"/>
    <s v="Outpatient"/>
    <x v="1"/>
    <n v="3901385525"/>
    <s v="811437437"/>
    <d v="2006-01-03T00:00:00"/>
    <s v="Baja, Diosdado An Jr., MD"/>
    <s v="General"/>
    <s v="3"/>
    <d v="1899-12-30T11:08:00"/>
    <d v="1899-12-30T15:20:00"/>
    <n v="252"/>
    <d v="1899-12-30T11:45:00"/>
    <d v="1899-12-30T17:45:00"/>
    <n v="360"/>
    <d v="1899-12-30T11:08:00"/>
    <d v="1899-12-30T15:13:00"/>
    <n v="245"/>
    <d v="1899-12-30T11:40:00"/>
    <d v="1899-12-30T15:03:00"/>
    <d v="1899-12-30T15:13:00"/>
    <n v="245"/>
    <n v="203"/>
    <d v="1899-12-30T15:14:58"/>
    <d v="1899-12-30T16:25:02"/>
    <n v="71"/>
    <m/>
    <m/>
    <m/>
    <s v="SHME OR 09"/>
    <s v="Plastics"/>
    <s v="Yes"/>
    <s v="Garg, Ravi, Md"/>
    <s v="RECONSTRUCTION MIDFACE, LEFORT I; SINGLE PIECE, SEGMENT MOVEMENT IN ANYDIRECTION, REQUIRING BONE GRAFTS (INCLUDES OBTAINING AUTOGRAFTS)_x000a_RECONSTRUCTION MIDFACE, LEFORT I; 2 PIECES, SEGMENT MOVEMENT IN ANYDIRECTION, REQUIRING BONE GRAFTS (INCLUDES OBTAINING AUTOGRAFTS) (EG,UNGRAFTED UNILATERAL ALVEOLAR CLEFT)_x000a_RECONSTRUCTION MIDFACE, LEFORT I; 3 OR MORE PIECES, SEGMENT MOVEMENT INANY DIRECTION, REQUIRING BONE GRAFTS (INCLUDES OBTAINING AUTOGRAFTS)(EG, UNGRAFTED BILATERAL ALVEOLAR CLEFT OR MULTIPLE OSTEOTO_x000a_RECONSTRUCTION OF MANDIBULAR RAMI AND/OR BODY, SAGITTAL SPLIT; WITHINTERNAL RIGID FIXATION_x000a_GENIOPLASTY; SLIDING OSTEOTOMY, SINGLE PIECE_x000a_IMPRESSION AND CUSTOM PREPARATION; ORAL SURGICAL SPLINT"/>
    <s v="LEFORT 1 MAXILLARY OSTEOTOMY WITH POSSIBLE INTERDENTAL OSTEOTOMIES, BILATERAL SAGITTAL SPLIT MANDIBULAR OSTEOTOMIES, POSSIBLE GENIOPLASTY - N/A"/>
    <s v="Mon"/>
    <m/>
    <m/>
    <m/>
    <s v="GARG, RAVI"/>
    <m/>
    <s v="Ravi Garg, MD"/>
    <m/>
    <s v="Garg"/>
  </r>
  <r>
    <d v="2026-08-17T00:00:00"/>
    <s v="6488106"/>
    <s v="Medel, Shay M"/>
    <s v="Outpatient"/>
    <x v="1"/>
    <n v="3901421480"/>
    <s v="811109873"/>
    <d v="1995-03-27T00:00:00"/>
    <s v="Ngo, Donald Hanh, MD"/>
    <s v="General"/>
    <s v="3"/>
    <d v="1899-12-30T09:02:00"/>
    <d v="1899-12-30T09:47:00"/>
    <n v="45"/>
    <d v="1899-12-30T09:30:00"/>
    <d v="1899-12-30T10:15:00"/>
    <n v="45"/>
    <d v="1899-12-30T09:02:00"/>
    <d v="1899-12-30T09:43:00"/>
    <n v="41"/>
    <d v="1899-12-30T09:28:00"/>
    <d v="1899-12-30T09:40:00"/>
    <d v="1899-12-30T09:43:00"/>
    <n v="41"/>
    <n v="12"/>
    <d v="1899-12-30T09:43:00"/>
    <d v="1899-12-30T10:25:00"/>
    <n v="42"/>
    <d v="1899-12-30T10:25:00"/>
    <d v="1899-12-30T10:38:00"/>
    <n v="13"/>
    <s v="SHME OR 16"/>
    <s v="Gynecology"/>
    <s v="No"/>
    <s v="Hui, Kim, Md"/>
    <s v="HYSTEROSCOPY, SURGICAL; WITH SAMPLING (BIOPSY) OF ENDOMETRIUM AND/ORPOLYPECTOMY, WITH OR WITHOUT D &amp; C"/>
    <s v="HYSTEROSCOPY, DILATION AND CURETTAGE - N/A"/>
    <s v="Mon"/>
    <m/>
    <m/>
    <m/>
    <s v="HUI, KIM"/>
    <m/>
    <s v="Kim Hui, MD (619-407-1011)"/>
    <m/>
    <s v="Hui"/>
  </r>
  <r>
    <d v="2026-08-17T00:00:00"/>
    <s v="6488673"/>
    <s v="Hill, Howard C"/>
    <s v="Inpatient"/>
    <x v="0"/>
    <n v="3901421490"/>
    <s v="608434115"/>
    <d v="1965-01-01T00:00:00"/>
    <s v="Rayan, Hany A, MD"/>
    <s v="General"/>
    <s v="2"/>
    <d v="1899-12-30T08:00:00"/>
    <d v="1899-12-30T12:32:00"/>
    <n v="272"/>
    <d v="1899-12-30T08:00:00"/>
    <d v="1899-12-30T12:00:00"/>
    <n v="240"/>
    <d v="1899-12-30T08:00:00"/>
    <d v="1899-12-30T12:24:00"/>
    <n v="264"/>
    <d v="1899-12-30T08:30:00"/>
    <d v="1899-12-30T12:13:00"/>
    <d v="1899-12-30T12:24:00"/>
    <n v="264"/>
    <n v="223"/>
    <d v="1899-12-30T12:25:00"/>
    <d v="1899-12-30T13:08:00"/>
    <n v="43"/>
    <m/>
    <m/>
    <m/>
    <s v="SHME OR 04"/>
    <s v="Orthopedics"/>
    <s v="No"/>
    <s v="Abitbol, Jean-Jacques, Md"/>
    <s v="REMOVAL OF POSTERIOR SEGMENTAL INSTRUMENTATION_x000a_ARTHRODESIS, POSTERIOR OR POSTEROLATERAL TECHNIQUE, SINGLE INTERSPACE; LUMBAR (WITH LATERAL TRANSVERSE TECHNIQUE, WHEN PERFORMED)_x000a_SPINAL OR LATERAL RECESS STENOSIS]), SINGLE VERTEBRAL S_x000a_LAMINECTOMY, FACETECTOMY AND FORAMINOTOMY (UNILATERAL OR BILATERAL WITH DECOMPRESSION OF SPINAL CORD, CAUDA EQUINA AND/OR NERVE ROOT(S), EG, SPINAL OR LATERAL RECESS STENOSIS), SINGLE VERTEBRAL SEGMEN_x000a_RADIOLOGIC EXAMINATION, SPINE, LUMBOSACRAL; MINIMUM OF 4 VIEWS_x000a_CONTINUOUS INTRAOPERATIVE NEUROPHYSIOLOGY MONITORING IN THE OPERATINGROOM, ONE ON ONE MONITORING REQUIRING PERSONAL ATTENDANCE, EACH 15MINUTES (LIST SEPARATELY IN ADDITION TO CODE FOR PRIMARY PROCED_x000a_CTR MOTR EP STD TRANSCRNL MOTR STIM UPR&amp;LOW LIMB_x000a_NEEDLE ELECTROMYOGRAPHY, EACH EXTREMITY, WITH RELATED PARASPINAL AREAS,WHEN PERFORMED, DONE WITH NERVE CONDUCTION, AMPLITUDE ANDLATENCY/VELOCITY STUDY; LIMITED (LIST SEPARATELY IN ADDITION TO CODEF_x000a_SHORT-LATENCY SOMATOSENSORY EVOKED POTENTIAL STUDY, STIMULATION OFANY/ALL PERIPHERAL NERVES OR SKIN SITES, RECORDING FROM THE CENTRALNERVOUS SYSTEM; IN UPPER AND LOWER LIMBS_x000a_STEREOTACTIC COMPUTER-ASSISTED (NAVIGATIONAL) PROCEDURE; SPINAL (LISTSEPARATELY IN ADDITION TO CODE FOR PRIMARY PROCEDURE)_x000a_FLUOROSCOPY (SEPARATE PROCEDURE), UP TO 1 HOUR PHYSICIAN OR OTHERQUALIFIED HEALTH CARE PROFESSIONAL TIME, OTHER THAN 71023 OR 71034 (EG,CARDIAC FLUOROSCOPY)"/>
    <s v="POSTERIOR LUMBAR INTERBODY FUSION LUMBAR 1 TO LUMBAR 5 - Bilateral"/>
    <s v="Mon"/>
    <m/>
    <m/>
    <m/>
    <s v="ZAUNER, ALOIS_x000a_ABITBOL, JEAN-JACQUES"/>
    <s v="Panel 1: Dr. Abitbol, Jean-Jacques, MD / Zauner, Alois, MD"/>
    <s v="Jean-Jacques Abitbol, MD"/>
    <m/>
    <s v="Abitbol"/>
  </r>
  <r>
    <d v="2026-08-17T00:00:00"/>
    <s v="6498097"/>
    <s v="Ptacek, Tessa E"/>
    <s v="Outpatient"/>
    <x v="1"/>
    <n v="3901423147"/>
    <s v="810052792"/>
    <d v="1989-05-11T00:00:00"/>
    <s v="Baja, Diosdado An Jr., MD"/>
    <s v="General"/>
    <s v="2"/>
    <d v="1899-12-30T07:55:00"/>
    <d v="1899-12-30T10:27:00"/>
    <n v="152"/>
    <d v="1899-12-30T08:00:00"/>
    <d v="1899-12-30T11:15:00"/>
    <n v="195"/>
    <d v="1899-12-30T07:55:00"/>
    <d v="1899-12-30T10:22:00"/>
    <n v="147"/>
    <d v="1899-12-30T08:22:00"/>
    <d v="1899-12-30T10:19:00"/>
    <d v="1899-12-30T10:22:00"/>
    <n v="147"/>
    <n v="117"/>
    <d v="1899-12-30T10:25:03"/>
    <d v="1899-12-30T11:31:00"/>
    <n v="66"/>
    <d v="1899-12-30T11:32:00"/>
    <d v="1899-12-30T12:35:00"/>
    <n v="63"/>
    <s v="SHME OR 09"/>
    <s v="Plastics"/>
    <s v="No"/>
    <s v="Garg, Ravi, Md"/>
    <s v="RHINOPLASTY, PRIMARY; INCLUDING MAJOR SEPTAL REPAIR_x000a_SUBMUCOUS RESECTION INFERIOR TURBINATE, PARTIAL OR COMPLETE, ANY METHOD_x000a_NASAL ENDOSCOPY, DIAGNOSTIC, UNILATERAL OR BILATERAL (SEPARATEPROCEDURE)"/>
    <s v="OPEN SEPTORHINOPLASTY WITH OSTEOTOMIES AND SPREADER GRAFTS, INFERIOR TURBINATE REDUCTION - N/A"/>
    <s v="Mon"/>
    <m/>
    <m/>
    <m/>
    <s v="GARG, RAVI"/>
    <m/>
    <s v="Ravi Garg, MD"/>
    <m/>
    <s v="Garg"/>
  </r>
  <r>
    <d v="2026-08-18T00:00:00"/>
    <s v="6539752"/>
    <s v="Romero, Tanya A"/>
    <s v="Outpatient"/>
    <x v="1"/>
    <n v="3901430792"/>
    <s v="400127387"/>
    <d v="1972-01-31T00:00:00"/>
    <s v="Ramos, Joshua Neftalie, MD"/>
    <s v="General"/>
    <s v="2"/>
    <d v="1899-12-30T07:41:00"/>
    <d v="1899-12-30T09:11:00"/>
    <n v="90"/>
    <d v="1899-12-30T07:30:00"/>
    <d v="1899-12-30T09:00:00"/>
    <n v="90"/>
    <d v="1899-12-30T07:41:00"/>
    <d v="1899-12-30T09:02:00"/>
    <n v="81"/>
    <d v="1899-12-30T08:11:00"/>
    <d v="1899-12-30T08:55:00"/>
    <d v="1899-12-30T09:02:00"/>
    <n v="81"/>
    <n v="44"/>
    <d v="1899-12-30T09:04:00"/>
    <d v="1899-12-30T09:39:00"/>
    <n v="35"/>
    <d v="1899-12-30T09:39:00"/>
    <d v="1899-12-30T11:01:48"/>
    <n v="82"/>
    <s v="SHME OR 17"/>
    <s v="Gynecology"/>
    <s v="No"/>
    <s v="Sandoval, Rebeca, Md"/>
    <s v="LAPAROSCOPY, SURGICAL; WITH REMOVAL OF ADNEXAL STRUCTURES (PARTIAL ORTOTAL OOPHORECTOMY AND/OR SALPINGECTOMY)"/>
    <s v="LAPAROSCOPIC BILATERAL SALPINGO-OOPHORECTOMY - Bilateral"/>
    <s v="Tue"/>
    <m/>
    <m/>
    <m/>
    <s v="SANDOVAL, REBECA"/>
    <m/>
    <s v="Rebeca Sandoval, MD"/>
    <m/>
    <s v="Sandoval"/>
  </r>
  <r>
    <d v="2026-08-18T00:00:00"/>
    <s v="6542812"/>
    <s v="Molina Cruz, Jose"/>
    <s v="Inpatient"/>
    <x v="0"/>
    <n v="3901431257"/>
    <s v="110007615"/>
    <d v="1957-03-19T00:00:00"/>
    <s v="Baja, Diosdado An Jr., MD"/>
    <s v="General"/>
    <s v="3"/>
    <d v="1899-12-30T12:45:00"/>
    <d v="1899-12-30T14:59:00"/>
    <n v="134"/>
    <d v="1899-12-30T12:00:00"/>
    <d v="1899-12-30T14:15:00"/>
    <n v="135"/>
    <d v="1899-12-30T12:45:00"/>
    <d v="1899-12-30T14:55:00"/>
    <n v="130"/>
    <d v="1899-12-30T13:19:00"/>
    <d v="1899-12-30T14:51:00"/>
    <d v="1899-12-30T14:55:00"/>
    <n v="130"/>
    <n v="92"/>
    <d v="1899-12-30T14:56:19"/>
    <d v="1899-12-30T15:22:00"/>
    <n v="26"/>
    <m/>
    <m/>
    <m/>
    <s v="SHME OR 03"/>
    <s v="Orthopedics"/>
    <s v="No"/>
    <s v="Kansara, Devanshu Velji, Md"/>
    <s v="ARTHROPLASTY, KNEE, CONDYLE AND PLATEAU; MEDIAL AND LATERAL COMPARTMENTSWITH OR WITHOUT PATELLA RESURFACING (TOTAL KNEE ARTHROPLASTY)"/>
    <s v="LEFT TOAL KNEE ARTHROPLASTY - Left"/>
    <s v="Tue"/>
    <m/>
    <m/>
    <m/>
    <s v="KANSARA, DEVANSHU VELJI"/>
    <m/>
    <s v="Devanshu Velji Kansara, MD"/>
    <m/>
    <s v="Kansara"/>
  </r>
  <r>
    <d v="2026-08-18T00:00:00"/>
    <s v="6542938"/>
    <s v="Rogers-Bea, Naomi"/>
    <s v="Outpatient"/>
    <x v="1"/>
    <n v="3901431336"/>
    <s v="608619662"/>
    <d v="1949-04-24T00:00:00"/>
    <s v="Ramos, Joshua Neftalie, MD"/>
    <s v="General"/>
    <s v="3"/>
    <d v="1899-12-30T09:31:00"/>
    <d v="1899-12-30T10:44:00"/>
    <n v="73"/>
    <d v="1899-12-30T09:30:00"/>
    <d v="1899-12-30T10:15:00"/>
    <n v="45"/>
    <d v="1899-12-30T09:31:00"/>
    <d v="1899-12-30T10:35:00"/>
    <n v="64"/>
    <d v="1899-12-30T09:56:00"/>
    <d v="1899-12-30T10:25:00"/>
    <d v="1899-12-30T10:35:00"/>
    <n v="64"/>
    <n v="29"/>
    <d v="1899-12-30T10:42:54"/>
    <d v="1899-12-30T11:00:00"/>
    <n v="18"/>
    <d v="1899-12-30T11:01:00"/>
    <d v="1899-12-30T11:22:00"/>
    <n v="21"/>
    <s v="SHME OR 17"/>
    <s v="Gynecology"/>
    <s v="Yes"/>
    <s v="Sandoval, Rebeca, Md"/>
    <s v="HYSTEROSCOPY, SURGICAL; WITH SAMPLING (BIOPSY) OF ENDOMETRIUM AND/ORPOLYPECTOMY, WITH OR WITHOUT D &amp; C"/>
    <s v="HYSTEROSCOPY DILATION AND CURETTAGE - N/A"/>
    <s v="Tue"/>
    <m/>
    <m/>
    <m/>
    <s v="SANDOVAL, REBECA"/>
    <m/>
    <s v="Rebeca Sandoval, MD"/>
    <m/>
    <s v="Sandoval"/>
  </r>
  <r>
    <d v="2026-08-18T00:00:00"/>
    <s v="6341717"/>
    <s v="Quistad, Kathleen"/>
    <s v="Inpatient"/>
    <x v="0"/>
    <n v="3901393568"/>
    <s v="811415971"/>
    <d v="1953-09-03T00:00:00"/>
    <s v="Sherer, Edward Harding, MD"/>
    <s v="Regional"/>
    <s v="4"/>
    <d v="1899-12-30T06:25:00"/>
    <d v="1899-12-30T13:30:00"/>
    <n v="425"/>
    <d v="1899-12-30T06:15:00"/>
    <d v="1899-12-30T12:15:00"/>
    <n v="360"/>
    <d v="1899-12-30T06:25:00"/>
    <d v="1899-12-30T13:20:00"/>
    <n v="415"/>
    <d v="1899-12-30T08:30:00"/>
    <d v="1899-12-30T12:35:00"/>
    <d v="1899-12-30T13:20:00"/>
    <n v="415"/>
    <n v="245"/>
    <m/>
    <m/>
    <m/>
    <m/>
    <m/>
    <m/>
    <s v="SHME OR 08"/>
    <s v="Cardiothoracic"/>
    <s v="No"/>
    <s v="Hemp, James Robert, Md"/>
    <s v="VALVULOPLASTY, MITRAL VALVE, WITH CARDIOPULMONARY BYPASS; RADICALRECONSTRUCTION, WITH OR WITHOUT RING_x000a_REPLACEMENT, MITRAL VALVE, WITH CARDIOPULMONARY BYPASS_x000a_MEDIASTINOTOMY WITH EXPLORATION, DRAINAGE, REMOVAL OF FOREIGN BODY, ORBIOPSY; TRANSTHORACIC APPROACH, INCLUDING EITHER TRANSTHORACIC OR MEDIANSTERNOTOMY"/>
    <s v="ROBOTIC MITRAL VALVE REPAIR; POSSIBLE BIOPROSTHETIC VALVE REPLACEMENT; POSSIBLE STERNOTOMY    ENDO BALLOON - N/A"/>
    <s v="Tue"/>
    <m/>
    <m/>
    <m/>
    <s v="ISLAMI MANUCHEHRY, MOHAMMAD HOSEIN_x000a_HEMP, JAMES ROBERT"/>
    <s v="Panel 1: Dr. Hemp, James Robert, MD / Islami Manuchehry, Mohammad Hosein, MD"/>
    <s v="James Robert Hemp, MD"/>
    <m/>
    <s v="Hemp"/>
  </r>
  <r>
    <d v="2026-08-18T00:00:00"/>
    <s v="6554600"/>
    <s v="Collins, Grace"/>
    <s v="Outpatient"/>
    <x v="1"/>
    <n v="3901433312"/>
    <s v="811446533"/>
    <d v="1990-04-16T00:00:00"/>
    <s v="Ramos, Joshua Neftalie, MD"/>
    <s v="General"/>
    <s v="3"/>
    <d v="1899-12-30T11:06:00"/>
    <d v="1899-12-30T12:56:00"/>
    <n v="110"/>
    <d v="1899-12-30T10:45:00"/>
    <d v="1899-12-30T12:15:00"/>
    <n v="90"/>
    <d v="1899-12-30T11:06:00"/>
    <d v="1899-12-30T12:47:00"/>
    <n v="101"/>
    <d v="1899-12-30T11:36:00"/>
    <d v="1899-12-30T12:34:00"/>
    <d v="1899-12-30T12:47:00"/>
    <n v="101"/>
    <n v="58"/>
    <d v="1899-12-30T12:48:13"/>
    <d v="1899-12-30T13:36:20"/>
    <n v="48"/>
    <d v="1899-12-30T13:36:00"/>
    <d v="1899-12-30T15:22:34"/>
    <n v="106"/>
    <s v="SHME OR 17"/>
    <s v="Gynecology"/>
    <s v="No"/>
    <s v="Sandoval, Rebeca, Md"/>
    <s v="LAPAROSCOPY, SURGICAL; WITH FULGURATION OR EXCISION OF LESIONS OF THEOVARY, PELVIC VISCERA, OR PERITONEAL SURFACE BY ANY METHOD_x000a_LAPAROSCOPY, SURGICAL; WITH REMOVAL OF ADNEXAL STRUCTURES (PARTIAL ORTOTAL OOPHORECTOMY AND/OR SALPINGECTOMY)"/>
    <s v="LAPAROSCOPIC RIGHT OVARIAN CYSTECTOMY, POSSIBLE SALPINGO-OOPHORECTOMY - Right"/>
    <s v="Tue"/>
    <m/>
    <m/>
    <m/>
    <s v="SANDOVAL, REBECA"/>
    <m/>
    <s v="Rebeca Sandoval, MD"/>
    <m/>
    <s v="Sandoval"/>
  </r>
  <r>
    <d v="2026-08-18T00:00:00"/>
    <s v="6556634"/>
    <s v="Venegas, Jackie"/>
    <s v="Inpatient"/>
    <x v="0"/>
    <n v="3901439016"/>
    <s v="701611308"/>
    <d v="1996-10-31T00:00:00"/>
    <s v="Fan, Ting-Wei, MD"/>
    <s v="General"/>
    <s v="3"/>
    <d v="1899-12-30T07:34:00"/>
    <d v="1899-12-30T10:48:00"/>
    <n v="194"/>
    <d v="1899-12-30T07:30:00"/>
    <d v="1899-12-30T11:00:00"/>
    <n v="210"/>
    <d v="1899-12-30T07:34:00"/>
    <d v="1899-12-30T10:39:00"/>
    <n v="185"/>
    <d v="1899-12-30T07:53:00"/>
    <d v="1899-12-30T10:35:00"/>
    <d v="1899-12-30T10:39:00"/>
    <n v="185"/>
    <n v="162"/>
    <d v="1899-12-30T10:43:01"/>
    <d v="1899-12-30T11:16:00"/>
    <n v="33"/>
    <m/>
    <m/>
    <m/>
    <s v="SHME OR 14"/>
    <s v="General"/>
    <s v="No"/>
    <s v="Lim, Lian, Md"/>
    <s v="LAPAROSCOPY, SURGICAL, GASTRIC RESTRICTIVE PROCEDURE; WITH GASTRICBYPASS AND ROUX-EN-Y GASTROENTEROSTOMY (ROUX LIMB 150 CM OR LESS)"/>
    <s v="ROBOTIC ROUX-EN-Y GASTRIC BYPASS, POSSIBLE OPEN - N/A"/>
    <s v="Tue"/>
    <m/>
    <m/>
    <m/>
    <s v="LIM, LIAN"/>
    <m/>
    <s v="Lian Lim, MD"/>
    <m/>
    <s v="Lim"/>
  </r>
  <r>
    <d v="2026-08-18T00:00:00"/>
    <s v="6563289"/>
    <s v="Liebermensch, Larry J"/>
    <s v="Outpatient"/>
    <x v="1"/>
    <n v="3901434815"/>
    <s v="811023058"/>
    <d v="1968-01-28T00:00:00"/>
    <s v="Vasant, Kris Kishore, MD"/>
    <s v="General"/>
    <s v="2"/>
    <d v="1899-12-30T07:30:00"/>
    <d v="1899-12-30T11:15:00"/>
    <n v="225"/>
    <d v="1899-12-30T07:30:00"/>
    <d v="1899-12-30T10:00:00"/>
    <n v="150"/>
    <d v="1899-12-30T07:30:00"/>
    <d v="1899-12-30T11:05:00"/>
    <n v="215"/>
    <d v="1899-12-30T08:00:00"/>
    <d v="1899-12-30T10:58:00"/>
    <d v="1899-12-30T11:05:00"/>
    <n v="215"/>
    <n v="178"/>
    <d v="1899-12-30T11:06:44"/>
    <d v="1899-12-30T12:49:05"/>
    <n v="103"/>
    <m/>
    <m/>
    <m/>
    <s v="SHME OR 10"/>
    <s v="Urology"/>
    <s v="No"/>
    <s v="Salem, Carol Elizabeth, Md"/>
    <s v="LAPAROSCOPY, SURGICAL PROSTATECTOMY, RETROPUBIC RADICAL, INCLUDING NERVESPARING, INCLUDES ROBOTIC ASSISTANCE, WHEN PERFORMED"/>
    <s v="ROBOTIC RADICAL PROSTATECTOMY - N/A"/>
    <s v="Tue"/>
    <m/>
    <m/>
    <m/>
    <s v="SALEM, CAROL ELIZABETH"/>
    <m/>
    <s v="Carol Elizabeth Salem, MD"/>
    <m/>
    <s v="Salem"/>
  </r>
  <r>
    <d v="2026-08-18T00:00:00"/>
    <s v="6578387"/>
    <s v="Cole, Renea G"/>
    <s v="Outpatient"/>
    <x v="1"/>
    <n v="3901437703"/>
    <s v="701003863"/>
    <d v="1969-11-26T00:00:00"/>
    <s v="Luu, Tiffany, MD"/>
    <s v="General"/>
    <s v="3"/>
    <d v="1899-12-30T07:36:00"/>
    <d v="1899-12-30T08:31:00"/>
    <n v="55"/>
    <d v="1899-12-30T07:30:00"/>
    <d v="1899-12-30T08:30:00"/>
    <n v="60"/>
    <d v="1899-12-30T07:36:00"/>
    <d v="1899-12-30T08:27:00"/>
    <n v="51"/>
    <d v="1899-12-30T08:01:00"/>
    <d v="1899-12-30T08:18:00"/>
    <d v="1899-12-30T08:27:00"/>
    <n v="51"/>
    <n v="17"/>
    <d v="1899-12-30T08:28:00"/>
    <d v="1899-12-30T08:59:22"/>
    <n v="31"/>
    <d v="1899-12-30T08:59:24"/>
    <d v="1899-12-30T09:50:00"/>
    <n v="51"/>
    <s v="SHME OR 16"/>
    <s v="Gynecology"/>
    <s v="No"/>
    <s v="Deforest Sjahrial, Alison Lyn, Md"/>
    <s v="HYSTEROSCOPY, SURGICAL; WITH SAMPLING (BIOPSY) OF ENDOMETRIUM AND/ORPOLYPECTOMY, WITH OR WITHOUT D &amp; C"/>
    <s v="HYSTEROSCOPY, MYOSURE TISSUE REMOVAL, DILATION AND CURETTAGE, ALL OTHER INDICATED PROCEDURES - N/A"/>
    <s v="Tue"/>
    <m/>
    <m/>
    <m/>
    <s v="DEFOREST SJAHRIAL, ALISON LYN"/>
    <m/>
    <s v="Alison Lyn Deforest Sjahrial, MD"/>
    <m/>
    <s v="Deforest Sjahrial"/>
  </r>
  <r>
    <d v="2026-08-18T00:00:00"/>
    <s v="6585999"/>
    <s v="Calderon, Julio C"/>
    <s v="Outpatient"/>
    <x v="1"/>
    <n v="3901439316"/>
    <s v="810325514"/>
    <d v="1954-09-06T00:00:00"/>
    <s v="Baja, Diosdado An Jr., MD"/>
    <s v="Regional"/>
    <s v="2"/>
    <d v="1899-12-30T15:23:00"/>
    <d v="1899-12-30T18:08:00"/>
    <n v="165"/>
    <d v="1899-12-30T14:50:00"/>
    <d v="1899-12-30T17:35:00"/>
    <n v="165"/>
    <d v="1899-12-30T15:23:00"/>
    <d v="1899-12-30T18:03:00"/>
    <n v="160"/>
    <d v="1899-12-30T16:04:00"/>
    <d v="1899-12-30T17:59:00"/>
    <d v="1899-12-30T18:03:00"/>
    <n v="160"/>
    <n v="115"/>
    <d v="1899-12-30T18:06:08"/>
    <d v="1899-12-30T19:08:40"/>
    <n v="62"/>
    <d v="1899-12-30T19:25:47"/>
    <d v="1899-12-30T20:10:00"/>
    <n v="45"/>
    <s v="SHME OR 01"/>
    <s v="Orthopedics"/>
    <s v="No"/>
    <s v="Kansara, Devanshu Velji, Md"/>
    <s v="ARTHROPLASTY, GLENOHUMERAL JOINT; TOTAL SHOULDER (GLENOID AND PROXIMALHUMERAL REPLACEMENT (EG, TOTAL SHOULDER))"/>
    <s v="LEFT TOTAL SHOULDER ARTHROPLASTY - Left"/>
    <s v="Tue"/>
    <m/>
    <m/>
    <m/>
    <s v="KANSARA, DEVANSHU VELJI"/>
    <m/>
    <s v="Devanshu Velji Kansara, MD"/>
    <m/>
    <s v="Kansara"/>
  </r>
  <r>
    <d v="2026-08-18T00:00:00"/>
    <s v="6597823"/>
    <s v="Palmer, Christina M"/>
    <s v="Outpatient"/>
    <x v="1"/>
    <n v="3901442094"/>
    <s v="100818513"/>
    <d v="1974-03-04T00:00:00"/>
    <s v="Fan, Ting-Wei, MD"/>
    <s v="General"/>
    <s v="3"/>
    <d v="1899-12-30T11:47:00"/>
    <d v="1899-12-30T13:38:00"/>
    <n v="111"/>
    <d v="1899-12-30T11:30:00"/>
    <d v="1899-12-30T13:00:00"/>
    <n v="90"/>
    <d v="1899-12-30T11:47:00"/>
    <d v="1899-12-30T13:31:00"/>
    <n v="104"/>
    <d v="1899-12-30T12:09:00"/>
    <d v="1899-12-30T13:26:00"/>
    <d v="1899-12-30T13:31:00"/>
    <n v="104"/>
    <n v="77"/>
    <d v="1899-12-30T13:36:17"/>
    <d v="1899-12-30T14:15:00"/>
    <n v="39"/>
    <d v="1899-12-30T14:16:00"/>
    <d v="1899-12-30T15:23:00"/>
    <n v="67"/>
    <s v="SHME OR 14"/>
    <s v="General"/>
    <s v="No"/>
    <s v="Lim, Lian, Md"/>
    <s v="LAPAROSCOPY, SURGICAL; CHOLECYSTECTOMY"/>
    <s v="ROBOTIC CHOLECYSTECTOMY, POSSIBLE OPEN - N/A"/>
    <s v="Tue"/>
    <m/>
    <m/>
    <m/>
    <s v="LIM, LIAN"/>
    <m/>
    <s v="Lian Lim, MD"/>
    <m/>
    <s v="Lim"/>
  </r>
  <r>
    <d v="2026-08-18T00:00:00"/>
    <s v="6388601"/>
    <s v="Bethea, Sabrana"/>
    <s v="Outpatient"/>
    <x v="1"/>
    <n v="3901402121"/>
    <s v="810067389"/>
    <d v="1987-10-09T00:00:00"/>
    <s v="Ngo, Donald Hanh, MD"/>
    <s v="General"/>
    <s v="2"/>
    <d v="1899-12-30T09:32:00"/>
    <d v="1899-12-30T10:32:00"/>
    <n v="60"/>
    <d v="1899-12-30T09:00:00"/>
    <d v="1899-12-30T10:00:00"/>
    <n v="60"/>
    <d v="1899-12-30T09:32:00"/>
    <d v="1899-12-30T10:27:00"/>
    <n v="55"/>
    <d v="1899-12-30T09:54:00"/>
    <d v="1899-12-30T10:24:00"/>
    <d v="1899-12-30T10:27:00"/>
    <n v="55"/>
    <n v="30"/>
    <d v="1899-12-30T10:29:09"/>
    <d v="1899-12-30T11:25:00"/>
    <n v="56"/>
    <d v="1899-12-30T11:25:00"/>
    <d v="1899-12-30T12:35:00"/>
    <n v="70"/>
    <s v="SHME OR 16"/>
    <s v="Gynecology"/>
    <s v="Yes"/>
    <s v="Brahmbhatt, Bhoomi Manoj, Md"/>
    <s v="HYSTEROSCOPY, SURGICAL; WITH SAMPLING (BIOPSY) OF ENDOMETRIUM AND/ORPOLYPECTOMY, WITH OR WITHOUT D &amp; C_x000a_INSERTION OF INTRAUTERINE DEVICE (IUD)"/>
    <s v="HYSTEROSCOPY DILATION AND CURETTAGE INSERTION OF MIRENA IUD - N/A"/>
    <s v="Tue"/>
    <m/>
    <m/>
    <m/>
    <s v="BRAHMBHATT, BHOOMI MANOJ"/>
    <m/>
    <s v="Bhoomi Manoj Brahmbhatt, MD (858-493-1833)"/>
    <m/>
    <s v="Brahmbhatt"/>
  </r>
  <r>
    <d v="2026-08-18T00:00:00"/>
    <s v="6607981"/>
    <s v="Ryder, Marleen Elizabeth"/>
    <s v="Inpatient"/>
    <x v="0"/>
    <n v="3901443765"/>
    <s v="700344237"/>
    <d v="1947-07-23T00:00:00"/>
    <s v="Oleske, Alexandra Argyro, DO"/>
    <s v="General"/>
    <s v="3"/>
    <d v="1899-12-30T07:32:00"/>
    <d v="1899-12-30T12:04:00"/>
    <n v="272"/>
    <d v="1899-12-30T07:30:00"/>
    <d v="1899-12-30T10:30:00"/>
    <n v="180"/>
    <d v="1899-12-30T07:32:00"/>
    <d v="1899-12-30T12:01:00"/>
    <n v="269"/>
    <d v="1899-12-30T08:22:00"/>
    <d v="1899-12-30T11:45:00"/>
    <d v="1899-12-30T12:01:00"/>
    <n v="269"/>
    <n v="203"/>
    <d v="1899-12-30T12:02:00"/>
    <d v="1899-12-30T12:15:00"/>
    <n v="13"/>
    <m/>
    <m/>
    <m/>
    <s v="SHME OR 01"/>
    <s v="Orthopedics"/>
    <s v="No"/>
    <s v="Tanaka, Scott Kiyoshi, Md"/>
    <s v="REMOVAL OF IMPLANT; DEEP (EG, BURIED WIRE, PIN, SCREW, METAL BAND, NAIL,ROD OR PLATE)_x000a_INSERTION, DRUG-DELIVERY IMPLANT (IE, BIORESORBABLE, BIODEGRADABLE, NON-BIODEGRADABLE)_x000a_REVISION OF TOTAL ELBOW ARTHROPLASTY, INCLUDING ALLOGRAFT WHENPERFORMED; HUMERAL AND ULNAR COMPONENT"/>
    <s v="LEFT ELBOW HARDWARE REMOVAL, POSSIBLE SPACER REPLACEMENT POSSIBLE REVISION ARTHROPLASTY - Left"/>
    <s v="Tue"/>
    <m/>
    <m/>
    <m/>
    <s v="TANAKA, SCOTT KIYOSHI_x000a_SUN, MICHAEL"/>
    <s v="Panel 1: Dr. Tanaka, Scott Kiyoshi, MD / Sun, Michael, MD"/>
    <s v="Scott Kiyoshi Tanaka, MD"/>
    <m/>
    <s v="Tanaka"/>
  </r>
  <r>
    <d v="2026-08-18T00:00:00"/>
    <s v="6623160"/>
    <s v="Vargas, Rodolfo"/>
    <s v="Inpatient"/>
    <x v="0"/>
    <n v="3901446880"/>
    <s v="811483857"/>
    <d v="1983-04-27T00:00:00"/>
    <s v="Vasant, Kris Kishore, MD"/>
    <s v="General"/>
    <s v="2"/>
    <d v="1899-12-30T11:50:00"/>
    <d v="1899-12-30T14:17:00"/>
    <n v="147"/>
    <d v="1899-12-30T10:30:00"/>
    <d v="1899-12-30T13:00:00"/>
    <n v="150"/>
    <d v="1899-12-30T11:50:00"/>
    <d v="1899-12-30T14:14:00"/>
    <n v="144"/>
    <d v="1899-12-30T12:17:00"/>
    <d v="1899-12-30T14:10:00"/>
    <d v="1899-12-30T14:14:00"/>
    <n v="144"/>
    <n v="113"/>
    <d v="1899-12-30T14:14:43"/>
    <d v="1899-12-30T15:14:00"/>
    <n v="60"/>
    <m/>
    <m/>
    <m/>
    <s v="SHME OR 10"/>
    <s v="Urology"/>
    <s v="No"/>
    <s v="Salem, Carol Elizabeth, Md"/>
    <s v="LAPAROSCOPY, SURGICAL PROSTATECTOMY, RETROPUBIC RADICAL, INCLUDING NERVESPARING, INCLUDES ROBOTIC ASSISTANCE, WHEN PERFORMED"/>
    <s v="ROBOTIC RADICAL PROSTATECTOMY - N/A"/>
    <s v="Tue"/>
    <m/>
    <m/>
    <m/>
    <s v="SALEM, CAROL ELIZABETH"/>
    <m/>
    <s v="Carol Elizabeth Salem, MD"/>
    <m/>
    <s v="Salem"/>
  </r>
  <r>
    <d v="2026-08-18T00:00:00"/>
    <s v="6444637"/>
    <s v="Miller, Maria Elena"/>
    <s v="Outpatient"/>
    <x v="1"/>
    <n v="3901412911"/>
    <s v="701864883"/>
    <d v="1973-05-06T00:00:00"/>
    <s v="Baja, Diosdado An Jr., MD"/>
    <s v="General"/>
    <s v="2"/>
    <d v="1899-12-30T07:30:00"/>
    <d v="1899-12-30T08:29:00"/>
    <n v="59"/>
    <d v="1899-12-30T07:30:00"/>
    <d v="1899-12-30T08:30:00"/>
    <n v="60"/>
    <d v="1899-12-30T07:30:00"/>
    <d v="1899-12-30T08:23:00"/>
    <n v="53"/>
    <d v="1899-12-30T08:01:00"/>
    <d v="1899-12-30T08:17:00"/>
    <d v="1899-12-30T08:23:00"/>
    <n v="53"/>
    <n v="16"/>
    <d v="1899-12-30T08:24:34"/>
    <m/>
    <m/>
    <d v="1899-12-30T09:10:00"/>
    <d v="1899-12-30T09:30:00"/>
    <n v="20"/>
    <s v="SHME OR 03"/>
    <s v="Orthopedics"/>
    <s v="No"/>
    <s v="Kansara, Devanshu Velji, Md"/>
    <s v="ARTHROSCOPY, KNEE, SURGICAL; WITH MENISCECTOMY (MEDIAL AND LATERAL,INCLUDING ANY MENISCAL SHAVING)_x000a_ARTHROSCOPY, KNEE, SURGICAL; WITH MENISCECTOMY (MEDIAL OR LATERAL,INCLUDING ANY MENISCAL SHAVING)_x000a_ARTHROSCOPY, KNEE, SURGICAL; WITH MENISCUS REPAIR (MEDIAL OR LATERAL)"/>
    <s v="LEFT KNEE ARTHROSCOPIC PARTIAL MEDIAL MENISECTOMY WITH POSSIBLE WITH POSSIBLE MENISCAL REPAIR - Left"/>
    <s v="Tue"/>
    <m/>
    <m/>
    <m/>
    <s v="KANSARA, DEVANSHU VELJI"/>
    <m/>
    <s v="Devanshu Velji Kansara, MD"/>
    <m/>
    <s v="Kansara"/>
  </r>
  <r>
    <d v="2026-08-18T00:00:00"/>
    <s v="6636358"/>
    <s v="Corona, Viviana"/>
    <s v="Inpatient"/>
    <x v="0"/>
    <n v="3901451417"/>
    <s v="811485078"/>
    <d v="1987-09-17T00:00:00"/>
    <s v="Kim, Eung Do, MD"/>
    <s v="General"/>
    <s v="3"/>
    <d v="1899-12-30T07:33:00"/>
    <d v="1899-12-30T09:40:00"/>
    <n v="127"/>
    <d v="1899-12-30T07:30:00"/>
    <d v="1899-12-30T09:45:00"/>
    <n v="135"/>
    <d v="1899-12-30T07:33:00"/>
    <d v="1899-12-30T09:36:00"/>
    <n v="123"/>
    <d v="1899-12-30T07:55:00"/>
    <d v="1899-12-30T09:30:00"/>
    <d v="1899-12-30T09:36:00"/>
    <n v="123"/>
    <n v="95"/>
    <d v="1899-12-30T09:38:58"/>
    <d v="1899-12-30T10:07:00"/>
    <n v="29"/>
    <m/>
    <m/>
    <m/>
    <s v="SHME OR 15"/>
    <s v="General"/>
    <s v="No"/>
    <s v="Taller, Janos, Md"/>
    <s v="LAPAROSCOPY, SURGICAL, GASTRIC RESTRICTIVE PROCEDURE; WITH GASTRICBYPASS AND ROUX-EN-Y GASTROENTEROSTOMY (ROUX LIMB 150 CM OR LESS)"/>
    <s v="ROBOTIC ROUX-EN-Y GASTRIC BYPASS - N/A"/>
    <s v="Tue"/>
    <m/>
    <m/>
    <m/>
    <s v="TALLER, JANOS_x000a_BERTUCCI, WILLIAM ROBERT"/>
    <s v="Panel 1: Dr. Taller, Janos, MD / Bertucci, William Robert, MD"/>
    <s v="Janos Taller, MD"/>
    <m/>
    <s v="Taller"/>
  </r>
  <r>
    <d v="2026-08-18T00:00:00"/>
    <s v="6636361"/>
    <s v="Blackledge, Larisha"/>
    <s v="Inpatient"/>
    <x v="0"/>
    <n v="3901451431"/>
    <s v="610809931"/>
    <d v="1989-02-24T00:00:00"/>
    <s v="Kim, Eung Do, MD"/>
    <s v="General"/>
    <s v="3"/>
    <d v="1899-12-30T12:35:00"/>
    <d v="1899-12-30T14:11:00"/>
    <n v="96"/>
    <d v="1899-12-30T12:30:00"/>
    <d v="1899-12-30T14:15:00"/>
    <n v="105"/>
    <d v="1899-12-30T12:35:00"/>
    <d v="1899-12-30T14:06:00"/>
    <n v="91"/>
    <d v="1899-12-30T13:01:00"/>
    <d v="1899-12-30T14:02:00"/>
    <d v="1899-12-30T14:06:00"/>
    <n v="91"/>
    <n v="61"/>
    <d v="1899-12-30T14:08:17"/>
    <d v="1899-12-30T14:37:00"/>
    <n v="29"/>
    <m/>
    <m/>
    <m/>
    <s v="SHME OR 15"/>
    <s v="General"/>
    <s v="No"/>
    <s v="Taller, Janos, Md"/>
    <s v="LAPAROSCOPY, SURGICAL, GASTRIC RESTRICTIVE PROCEDURE; LONGITUDINALGASTRECTOMY (IE, SLEEVE GASTRECTOMY)"/>
    <s v="ROBOTIC SLEEVE GASTRECTOMY - N/A"/>
    <s v="Tue"/>
    <m/>
    <m/>
    <m/>
    <s v="TALLER, JANOS_x000a_BERTUCCI, WILLIAM ROBERT"/>
    <s v="Panel 1: Dr. Taller, Janos, MD / Bertucci, William Robert, MD"/>
    <s v="Janos Taller, MD"/>
    <m/>
    <s v="Taller"/>
  </r>
  <r>
    <d v="2026-08-18T00:00:00"/>
    <s v="6639537"/>
    <s v="Hempstead, Shalleece"/>
    <s v="Inpatient"/>
    <x v="0"/>
    <n v="3901451424"/>
    <s v="811485082"/>
    <d v="1993-12-23T00:00:00"/>
    <s v="Kim, Eung Do, MD"/>
    <s v="General"/>
    <s v="3"/>
    <d v="1899-12-30T10:12:00"/>
    <d v="1899-12-30T11:50:00"/>
    <n v="98"/>
    <d v="1899-12-30T10:15:00"/>
    <d v="1899-12-30T12:00:00"/>
    <n v="105"/>
    <d v="1899-12-30T10:12:00"/>
    <d v="1899-12-30T11:43:00"/>
    <n v="91"/>
    <d v="1899-12-30T10:45:00"/>
    <d v="1899-12-30T11:33:00"/>
    <d v="1899-12-30T11:43:00"/>
    <n v="91"/>
    <n v="48"/>
    <d v="1899-12-30T11:45:32"/>
    <d v="1899-12-30T12:49:00"/>
    <n v="64"/>
    <m/>
    <m/>
    <m/>
    <s v="SHME OR 15"/>
    <s v="General"/>
    <s v="No"/>
    <s v="Bertucci, William Robert, Md"/>
    <s v="LAPAROSCOPY, SURGICAL, GASTRIC RESTRICTIVE PROCEDURE; LONGITUDINALGASTRECTOMY (IE, SLEEVE GASTRECTOMY)"/>
    <s v="ROBOTIC GASTRIC SLEEVE - N/A"/>
    <s v="Tue"/>
    <m/>
    <m/>
    <m/>
    <s v="BERTUCCI, WILLIAM ROBERT_x000a_TALLER, JANOS"/>
    <s v="Panel 1: Dr. Bertucci, William Robert, MD / Taller, Janos, MD"/>
    <s v="William Robert Bertucci, MD"/>
    <m/>
    <s v="Bertucci"/>
  </r>
  <r>
    <d v="2026-08-18T00:00:00"/>
    <s v="6653118"/>
    <s v="Hurt, Bradley R"/>
    <s v="Inpatient"/>
    <x v="0"/>
    <n v="3901452449"/>
    <s v="200627414"/>
    <d v="1943-08-26T00:00:00"/>
    <s v="Epps, Michelle Tatum, MD"/>
    <s v="General"/>
    <s v="3"/>
    <d v="1899-12-30T07:34:00"/>
    <d v="1899-12-30T14:35:00"/>
    <n v="421"/>
    <d v="1899-12-30T07:30:00"/>
    <d v="1899-12-30T15:30:00"/>
    <n v="480"/>
    <d v="1899-12-30T07:34:00"/>
    <d v="1899-12-30T14:25:00"/>
    <n v="411"/>
    <d v="1899-12-30T08:30:00"/>
    <d v="1899-12-30T14:14:00"/>
    <d v="1899-12-30T14:25:00"/>
    <n v="411"/>
    <n v="344"/>
    <m/>
    <m/>
    <m/>
    <m/>
    <m/>
    <m/>
    <s v="SHME OR 05"/>
    <s v="ENT"/>
    <s v="No"/>
    <s v="Brumund, Kevin Thomas, Md"/>
    <s v="GLOSSECTOMY; HEMIGLOSSECTOMY_x000a_EXCISION, LESION OF FLOOR OF MOUTH_x000a_CERVICAL LYMPHADENECTOMY (MODIFIED RADICAL NECK DISSECTION)_x000a_TRACHEOSTOMY, PLANNED (SEPARATE PROCEDURE);_x000a_FREE SKIN FLAP WITH MICROVASCULAR ANASTOMOSIS_x000a_VESTIBULOPLASTY; ANTERIOR_x000a_SPLIT-THICKNESS AUTOGRAFT, TRUNK, ARMS, LEGS; FIRST 100 SQ CM OR LESS,OR 1% OF BODY AREA OF INFANTS AND CHILDREN (EXCEPT 15050)_x000a_NERVE GRAFT (INCLUDES OBTAINING GRAFT), HEAD OR NECK; MORE THAN 4 CMLENGTH_x000a_MUSCLE, MYOCUTANEOUS, OR FASCIOCUTANEOUS FLAP; HEAD AND NECK WITH NAMED VASCULAR PEDICLE (IE, BUCCINATORS, GENIOGLOSSUS, TEMPORALIS, MASSETER, STERNOCLEIDOMASTOID, LEVATOR SCAPULAE)_x000a_MUSCLE, MYOCUTANEOUS, OR FASCIOCUTANEOUS FLAP; TRUNK_x000a_ADJACENT TISSUE TRANSFER OR REARRANGEMENT, FOREHEAD, CHEEKS, CHIN,MOUTH, NECK, AXILLAE, GENITALIA, HANDS AND/OR FEET; DEFECT 10.1 SQ CM TO30.0 SQ CM"/>
    <s v="REVISION LEFT HEMIGLOSSECTOMY AND FLOOR OF MOUTH TUMOR RESECTION, BILATERAL NECK DISSECTION, TRACHEOSTOMY - N/A"/>
    <s v="Tue"/>
    <m/>
    <m/>
    <m/>
    <s v="GARG, RAVI_x000a_GARG, RAVI_x000a_BRUMUND, KEVIN THOMAS_x000a_BRUMUND, KEVIN THOMAS"/>
    <s v="Panel 1: Dr. Brumund, Kevin Thomas, MD_x000a_Panel 2: Dr. Garg, Ravi, MD"/>
    <s v="Kevin Thomas Brumund, MD_x000a_Ravi Garg, MD"/>
    <m/>
    <s v="Brumund, Garg"/>
  </r>
  <r>
    <d v="2026-08-18T00:00:00"/>
    <s v="6654535"/>
    <s v="Aleman, Anna M"/>
    <s v="Inpatient"/>
    <x v="0"/>
    <n v="3901452667"/>
    <s v="612883861"/>
    <d v="1959-08-19T00:00:00"/>
    <s v="Haidar, Jason, DO"/>
    <s v="General"/>
    <s v="3"/>
    <d v="1899-12-30T08:05:00"/>
    <d v="1899-12-30T12:21:00"/>
    <n v="256"/>
    <d v="1899-12-30T07:30:00"/>
    <d v="1899-12-30T10:30:00"/>
    <n v="180"/>
    <d v="1899-12-30T08:05:00"/>
    <d v="1899-12-30T12:17:00"/>
    <n v="252"/>
    <d v="1899-12-30T08:59:00"/>
    <d v="1899-12-30T11:59:00"/>
    <d v="1899-12-30T12:17:00"/>
    <n v="252"/>
    <n v="180"/>
    <m/>
    <m/>
    <m/>
    <m/>
    <m/>
    <m/>
    <s v="SHME OR 04"/>
    <s v="Neurosurgery"/>
    <s v="No"/>
    <s v="Zauner, Alois, Md"/>
    <s v="SURGERY OF INTRACRANIAL ARTERIOVENOUS MALFORMATION; SUPRATENTORIAL,COMPLEX"/>
    <s v="LEFT CRANIOTOMY AND RESECTION OF ANTERIOR VENOUS MALFORMATION - Left"/>
    <s v="Tue"/>
    <m/>
    <m/>
    <m/>
    <s v="ZAUNER, ALOIS"/>
    <m/>
    <s v="Alois Zauner, MD"/>
    <m/>
    <s v="Zauner"/>
  </r>
  <r>
    <d v="2026-08-18T00:00:00"/>
    <s v="6656026"/>
    <s v="Bravo, Mike"/>
    <s v="Inpatient"/>
    <x v="0"/>
    <n v="3901449307"/>
    <s v="810755994"/>
    <d v="1956-05-03T00:00:00"/>
    <s v="Nelson, Jesse Stuart, DO"/>
    <s v="General"/>
    <s v="3"/>
    <d v="1899-12-30T19:19:00"/>
    <d v="1899-12-30T20:47:00"/>
    <n v="88"/>
    <d v="1899-12-30T18:30:00"/>
    <d v="1899-12-30T20:00:00"/>
    <n v="90"/>
    <d v="1899-12-30T19:19:00"/>
    <d v="1899-12-30T20:38:00"/>
    <n v="79"/>
    <d v="1899-12-30T19:52:00"/>
    <d v="1899-12-30T20:32:00"/>
    <d v="1899-12-30T20:38:00"/>
    <n v="79"/>
    <n v="40"/>
    <d v="1899-12-30T20:38:49"/>
    <d v="1899-12-30T21:53:12"/>
    <n v="75"/>
    <m/>
    <m/>
    <m/>
    <s v="SHME OR 09"/>
    <s v="Podiatry"/>
    <s v="Yes"/>
    <s v="Cullen, Benjamin Dennis, Dpm"/>
    <s v="AMPUTATION, FOOT; TRANSMETATARSAL"/>
    <s v="RIGHT TRANSMETATARSAL AMPUTATION WITH REMOVAL OF ALL NON-VIABLE SOFT TISSUE AND BONE - Right"/>
    <s v="Tue"/>
    <m/>
    <s v="ED/IP/IC"/>
    <m/>
    <s v="CULLEN, BENJAMIN DENNIS"/>
    <m/>
    <s v="Benjamin Dennis Cullen, DPM"/>
    <m/>
    <s v="Cullen"/>
  </r>
  <r>
    <d v="2026-08-18T00:00:00"/>
    <s v="6657191"/>
    <s v="Rodriguez Se, Ramon"/>
    <s v="Inpatient"/>
    <x v="0"/>
    <n v="3400729440"/>
    <s v="620006401"/>
    <d v="1953-10-18T00:00:00"/>
    <s v="Fan, Ting-Wei, MD"/>
    <s v="General"/>
    <s v="3"/>
    <d v="1899-12-30T14:49:00"/>
    <d v="1899-12-30T19:17:00"/>
    <n v="268"/>
    <d v="1899-12-30T14:00:00"/>
    <d v="1899-12-30T17:30:00"/>
    <n v="210"/>
    <d v="1899-12-30T14:49:00"/>
    <d v="1899-12-30T19:08:00"/>
    <n v="259"/>
    <d v="1899-12-30T15:51:00"/>
    <d v="1899-12-30T18:59:00"/>
    <d v="1899-12-30T19:08:00"/>
    <n v="259"/>
    <n v="188"/>
    <m/>
    <m/>
    <m/>
    <m/>
    <m/>
    <m/>
    <s v="SHME OR 04"/>
    <s v="Neurosurgery"/>
    <s v="Yes"/>
    <s v="Zauner, Alois, Md"/>
    <s v="LAMINECTOMY FOR BIOPSY/EXCISION OF INTRASPINAL NEOPLASM; EXTRADURAL,CERVICAL_x000a_FLUOROSCOPY (SEPARATE PROCEDURE), UP TO 1 HOUR PHYSICIAN OR OTHERQUALIFIED HEALTH CARE PROFESSIONAL TIME, OTHER THAN 71023 OR 71034 (EG,CARDIAC FLUOROSCOPY)_x000a_LEVEL V - SURGICAL PATHOLOGY, GROSS AND MICROSCOPIC EXAMINATION ADRENAL,RESECTION, BONE - BIOPSY/CURETTINGS, BONE FRAGMENT(S), PATHOLOGICFRACTURE, BRAIN, BIOPSY, BRAIN/MENINGES, TUMOR RESECTION, BRE_x000a_CONTINUOUS INTRAOPERATIVE NEUROPHYSIOLOGY MONITORING IN THE OPERATINGROOM, ONE ON ONE MONITORING REQUIRING PERSONAL ATTENDANCE, EACH 15MINUTES (LIST SEPARATELY IN ADDITION TO CODE FOR PRIMARY PROCED"/>
    <s v="BILATERAL LAMINECTOMY OF CERVICAL 3 AND CERVICAL 4 WITH TUMOR RESECTION - N/A"/>
    <s v="Tue"/>
    <m/>
    <s v="ED/IP/IC"/>
    <m/>
    <s v="ZAUNER, ALOIS"/>
    <m/>
    <s v="Alois Zauner, MD"/>
    <m/>
    <s v="Zauner"/>
  </r>
  <r>
    <d v="2026-08-18T00:00:00"/>
    <s v="6661590"/>
    <s v="Pena, Rafael"/>
    <s v="Inpatient"/>
    <x v="0"/>
    <n v="3901452990"/>
    <s v="100819978"/>
    <d v="1957-09-07T00:00:00"/>
    <s v="Nelson, Jesse Stuart, DO"/>
    <s v="General"/>
    <s v="3"/>
    <d v="1899-12-30T17:25:00"/>
    <d v="1899-12-30T18:42:00"/>
    <n v="77"/>
    <d v="1899-12-30T17:00:00"/>
    <d v="1899-12-30T18:00:00"/>
    <n v="60"/>
    <d v="1899-12-30T17:25:00"/>
    <d v="1899-12-30T18:33:00"/>
    <n v="68"/>
    <d v="1899-12-30T17:51:00"/>
    <d v="1899-12-30T18:27:00"/>
    <d v="1899-12-30T18:33:00"/>
    <n v="68"/>
    <n v="36"/>
    <d v="1899-12-30T18:34:33"/>
    <d v="1899-12-30T18:57:00"/>
    <n v="23"/>
    <m/>
    <m/>
    <m/>
    <s v="SHME OR 02"/>
    <s v="Podiatry"/>
    <s v="Yes"/>
    <s v="Cullen, Benjamin Dennis, Dpm"/>
    <s v="AMPUTATION, METATARSAL, WITH TOE, SINGLE"/>
    <s v="AMPUTATION, METATARSAL, WITH TOE, SINGLE - Left"/>
    <s v="Tue"/>
    <m/>
    <m/>
    <m/>
    <s v="CULLEN, BENJAMIN DENNIS"/>
    <m/>
    <s v="Benjamin Dennis Cullen, DPM"/>
    <m/>
    <s v="Cullen"/>
  </r>
  <r>
    <d v="2026-08-18T00:00:00"/>
    <s v="6661607"/>
    <s v="Rios, Victor M"/>
    <s v="Inpatient"/>
    <x v="0"/>
    <n v="3901452501"/>
    <s v="700060213"/>
    <d v="1969-01-09T00:00:00"/>
    <s v="Nelson, Jesse Stuart, DO"/>
    <s v="General"/>
    <s v="3"/>
    <d v="1899-12-30T20:49:00"/>
    <d v="1899-12-30T21:50:00"/>
    <n v="61"/>
    <d v="1899-12-30T19:45:00"/>
    <d v="1899-12-30T20:45:00"/>
    <n v="60"/>
    <d v="1899-12-30T20:49:00"/>
    <d v="1899-12-30T21:42:00"/>
    <n v="53"/>
    <d v="1899-12-30T21:09:00"/>
    <d v="1899-12-30T21:40:00"/>
    <d v="1899-12-30T21:42:00"/>
    <n v="53"/>
    <n v="31"/>
    <d v="1899-12-30T21:43:27"/>
    <d v="1899-12-30T22:01:00"/>
    <n v="18"/>
    <m/>
    <m/>
    <m/>
    <s v="SHME OR 02"/>
    <s v="Podiatry"/>
    <s v="Yes"/>
    <s v="Cullen, Benjamin Dennis, Dpm"/>
    <s v="DEBRIDEMENT, BONE (INCLUDES EPIDERMIS, DERMIS, SUBCUTANEOUS TISSUE,MUSCLE AND/OR FASCIA, IF PERFORMED); FIRST 20 SQ CM OR LESS"/>
    <s v="DEBRIDEMENT, BONE (INCLUDES EPIDERMIS, DERMIS, SUBCUTANEOUS TISSUE,MUSCLE AND/OR FASCIA, IF PERFORMED); FIRST 20 SQ CM OR LESS - Left"/>
    <s v="Tue"/>
    <m/>
    <m/>
    <m/>
    <s v="CULLEN, BENJAMIN DENNIS"/>
    <m/>
    <s v="Benjamin Dennis Cullen, DPM"/>
    <m/>
    <s v="Cullen"/>
  </r>
  <r>
    <d v="2026-08-18T00:00:00"/>
    <s v="6664955"/>
    <s v="Didlake, Nicki"/>
    <s v="Inpatient"/>
    <x v="0"/>
    <n v="3901454378"/>
    <s v="811489317"/>
    <d v="1943-02-08T00:00:00"/>
    <s v="Luu, Tiffany, MD"/>
    <s v="Regional"/>
    <s v="2"/>
    <d v="1899-12-30T11:41:00"/>
    <d v="1899-12-30T13:01:00"/>
    <n v="80"/>
    <d v="1899-12-30T11:00:00"/>
    <d v="1899-12-30T12:00:00"/>
    <n v="60"/>
    <d v="1899-12-30T11:41:00"/>
    <d v="1899-12-30T12:56:00"/>
    <n v="75"/>
    <d v="1899-12-30T12:12:00"/>
    <d v="1899-12-30T12:50:00"/>
    <d v="1899-12-30T12:56:00"/>
    <n v="75"/>
    <n v="38"/>
    <d v="1899-12-30T13:01:32"/>
    <d v="1899-12-30T13:45:00"/>
    <n v="44"/>
    <m/>
    <m/>
    <m/>
    <s v="SHME OR 07"/>
    <s v="Orthopedics"/>
    <s v="Yes"/>
    <s v="Dromsky, David Michael, Md"/>
    <s v="TREATMENT OF INTERTROCHANTERIC, PERITROCHANTERIC, OR SUBTROCHANTERICFEMORAL FRACTURE; WITH INTRAMEDULLARY IMPLANT, WITH OR WITHOUTINTERLOCKING SCREWS AND/OR CERCLAGE"/>
    <s v="Open treatment right intertrochanteric femur fracture_x000a__x000a_TREATMENT OF INTERTROCHANTERIC, PERITROCHANTERIC, OR SUBTROCHANTERICFEMORAL FRACTURE; WITH INTRAMEDULLARY IMPLANT, WITH OR WITHOUTINTERLOCKING SCREWS AND/OR CERCLAGE - Right"/>
    <s v="Tue"/>
    <m/>
    <m/>
    <m/>
    <s v="DROMSKY, DAVID MICHAEL"/>
    <m/>
    <s v="David Michael Dromsky, MD"/>
    <m/>
    <s v="Dromsky"/>
  </r>
  <r>
    <d v="2026-08-18T00:00:00"/>
    <s v="6664963"/>
    <s v="Erickson, CAMERON M"/>
    <s v="Inpatient"/>
    <x v="0"/>
    <n v="3901453257"/>
    <s v="811218665"/>
    <d v="1964-11-03T00:00:00"/>
    <s v="Ramos, Joshua Neftalie, MD"/>
    <s v="Regional"/>
    <s v="3"/>
    <d v="1899-12-30T17:00:00"/>
    <d v="1899-12-30T19:50:00"/>
    <n v="170"/>
    <d v="1899-12-30T16:30:00"/>
    <d v="1899-12-30T18:30:00"/>
    <n v="120"/>
    <d v="1899-12-30T17:00:00"/>
    <d v="1899-12-30T19:39:00"/>
    <n v="159"/>
    <d v="1899-12-30T17:36:00"/>
    <d v="1899-12-30T19:31:00"/>
    <d v="1899-12-30T19:39:00"/>
    <n v="159"/>
    <n v="115"/>
    <d v="1899-12-30T19:41:26"/>
    <d v="1899-12-30T21:01:00"/>
    <n v="80"/>
    <m/>
    <m/>
    <m/>
    <s v="SHME OR 05"/>
    <s v="Orthopedics"/>
    <s v="No"/>
    <s v="Fabi, David William, Md"/>
    <s v="REMOVAL OF PROSTHESIS, INCLUDING TOTAL KNEE PROSTHESIS,METHYLMETHACRYLATE WITH OR WITHOUT INSERTION OF SPACER, KNEE"/>
    <s v="REMOVAL OF PROSTHESIS, INCLUDING TOTAL KNEE PROSTHESIS,METHYLMETHACRYLATE WITH OR WITHOUT INSERTION OF SPACER, KNEE - Right"/>
    <s v="Tue"/>
    <m/>
    <s v="ED/IP/IC"/>
    <m/>
    <s v="FABI, DAVID WILLIAM"/>
    <m/>
    <s v="David William Fabi, MD"/>
    <m/>
    <s v="Fabi"/>
  </r>
  <r>
    <d v="2026-08-18T00:00:00"/>
    <s v="6665386"/>
    <s v="Blodgett, Paul S"/>
    <s v="Outpatient"/>
    <x v="1"/>
    <n v="3901454652"/>
    <s v="811489519"/>
    <d v="1948-01-17T00:00:00"/>
    <s v="Luu, Tiffany, MD"/>
    <s v="Regional"/>
    <s v="2"/>
    <d v="1899-12-30T14:15:00"/>
    <d v="1899-12-30T16:00:00"/>
    <n v="105"/>
    <d v="1899-12-30T13:25:00"/>
    <d v="1899-12-30T14:55:00"/>
    <n v="90"/>
    <d v="1899-12-30T14:15:00"/>
    <d v="1899-12-30T15:55:00"/>
    <n v="100"/>
    <d v="1899-12-30T14:36:00"/>
    <d v="1899-12-30T15:49:00"/>
    <d v="1899-12-30T15:55:00"/>
    <n v="100"/>
    <n v="73"/>
    <d v="1899-12-30T15:55:39"/>
    <d v="1899-12-30T17:04:43"/>
    <n v="69"/>
    <m/>
    <m/>
    <m/>
    <s v="SHME OR 09"/>
    <s v="Orthopedics"/>
    <s v="No"/>
    <s v="Dromsky, David Michael, Md"/>
    <s v="OPEN TREATMENT OF BIMALLEOLAR ANKLE FRACTURE (EG, LATERAL AND MEDIALMALLEOLI, OR LATERAL AND POSTERIOR MALLEOLI, OR MEDIAL AND POSTERIORMALLEOLI), INCLUDES INTERNAL FIXATION, WHEN PERFORMED"/>
    <s v="OPEN TREATMENT OF BIMALLEOLAR ANKLE FRACTURE (EG, LATERAL AND MEDIALMALLEOLI, OR LATERAL AND POSTERIOR MALLEOLI, OR MEDIAL AND POSTERIORMALLEOLI), INCLUDES INTERNAL FIXATION, WHEN PERFORMED - Right"/>
    <s v="Tue"/>
    <m/>
    <m/>
    <m/>
    <s v="DROMSKY, DAVID MICHAEL"/>
    <m/>
    <s v="David Michael Dromsky, MD"/>
    <m/>
    <s v="Dromsky"/>
  </r>
  <r>
    <d v="2026-08-18T00:00:00"/>
    <s v="6666261"/>
    <s v="Gaddis, Benjamin"/>
    <s v="Inpatient"/>
    <x v="0"/>
    <n v="3901454588"/>
    <s v="701934362"/>
    <d v="1985-02-26T00:00:00"/>
    <s v="Oleske, Alexandra Argyro, DO"/>
    <s v="General"/>
    <s v="3"/>
    <d v="1899-12-30T12:30:00"/>
    <d v="1899-12-30T15:37:00"/>
    <n v="187"/>
    <d v="1899-12-30T12:00:00"/>
    <d v="1899-12-30T15:00:00"/>
    <n v="180"/>
    <d v="1899-12-30T12:30:00"/>
    <d v="1899-12-30T15:29:00"/>
    <n v="179"/>
    <d v="1899-12-30T13:05:00"/>
    <d v="1899-12-30T15:21:00"/>
    <d v="1899-12-30T15:29:00"/>
    <n v="179"/>
    <n v="136"/>
    <d v="1899-12-30T15:32:28"/>
    <d v="1899-12-30T16:40:00"/>
    <n v="68"/>
    <m/>
    <m/>
    <m/>
    <s v="SHME OR 06"/>
    <s v="General"/>
    <s v="No"/>
    <s v="Toman, Jeffrey Robert, Md"/>
    <s v="COLECTOMY, PARTIAL; WITH END COLOSTOMY AND CLOSURE OF DISTAL SEGMENT(HARTMANN TYPE PROCEDURE)"/>
    <s v="Exploratory laparotomy, possible bowel resection, possible ostomy, drainage of intra-abdominal and abdominal wall abscesses - N/A"/>
    <s v="Tue"/>
    <m/>
    <m/>
    <m/>
    <s v="TOMAN, JEFFREY ROBERT"/>
    <m/>
    <s v="Jeffrey Robert Toman, MD"/>
    <m/>
    <s v="Toman"/>
  </r>
  <r>
    <d v="2026-08-18T00:00:00"/>
    <s v="6666699"/>
    <s v="Duarte, Marco"/>
    <s v="Inpatient"/>
    <x v="0"/>
    <n v="3901454746"/>
    <s v="400063645"/>
    <d v="1967-11-14T00:00:00"/>
    <s v="Sherer, Edward Harding, MD"/>
    <s v="General"/>
    <s v="5"/>
    <d v="1899-12-30T13:32:00"/>
    <d v="1899-12-30T14:26:00"/>
    <n v="54"/>
    <d v="1899-12-30T13:30:00"/>
    <d v="1899-12-30T14:15:00"/>
    <n v="75"/>
    <d v="1899-12-30T13:31:00"/>
    <d v="1899-12-30T14:16:00"/>
    <n v="45"/>
    <d v="1899-12-30T13:59:00"/>
    <d v="1899-12-30T14:03:00"/>
    <d v="1899-12-30T14:16:00"/>
    <n v="45"/>
    <n v="4"/>
    <m/>
    <m/>
    <m/>
    <m/>
    <m/>
    <m/>
    <s v="SHME OR 02"/>
    <s v="Urology"/>
    <s v="Yes"/>
    <s v="Holden, Marc Mccaslin, Md"/>
    <s v="CYSTOURETHROSCOPY, WITH INSERTION OF INDWELLING URETERAL STENT (EG,GIBBONS OR DOUBLE-J TYPE)"/>
    <s v="CYSTOURETHROSCOPY, WITH INSERTION OF INDWELLING URETERAL STENT (EG,GIBBONS OR DOUBLE-J TYPE) - Right"/>
    <s v="Tue"/>
    <m/>
    <m/>
    <m/>
    <s v="HOLDEN, MARC MCCASLIN"/>
    <m/>
    <s v="Marc McCaslin Holden, MD"/>
    <m/>
    <s v="Holden"/>
  </r>
  <r>
    <d v="2026-08-18T00:00:00"/>
    <s v="6666978"/>
    <s v="Fillis, Stephen"/>
    <s v="Inpatient"/>
    <x v="0"/>
    <n v="3901454684"/>
    <s v="811489562"/>
    <d v="1988-04-11T00:00:00"/>
    <s v="Baja, Diosdado An Jr., MD"/>
    <s v="General"/>
    <s v="3"/>
    <d v="1899-12-30T18:25:00"/>
    <d v="1899-12-30T19:41:00"/>
    <n v="76"/>
    <d v="1899-12-30T17:30:00"/>
    <d v="1899-12-30T19:20:00"/>
    <n v="110"/>
    <d v="1899-12-30T18:25:00"/>
    <d v="1899-12-30T19:37:00"/>
    <n v="72"/>
    <d v="1899-12-30T18:54:00"/>
    <d v="1899-12-30T19:31:00"/>
    <d v="1899-12-30T19:37:00"/>
    <n v="72"/>
    <n v="37"/>
    <d v="1899-12-30T19:40:00"/>
    <d v="1899-12-30T21:00:00"/>
    <n v="80"/>
    <m/>
    <m/>
    <m/>
    <s v="SHME OR 03"/>
    <s v="Plastics"/>
    <s v="No"/>
    <s v="Hess, Jason R, Md"/>
    <s v="EXPLORATION FOR POSTOPERATIVE HEMORRHAGE, THROMBOSIS OR INFECTION;ABDOMEN"/>
    <s v="Exploration of abdominoplasty wound, complex closure_x000a__x000a__x000a_EXPLORATION FOR POSTOPERATIVE HEMORRHAGE, THROMBOSIS OR INFECTION;ABDOMEN - N/A"/>
    <s v="Tue"/>
    <m/>
    <m/>
    <m/>
    <s v="HESS, JASON R"/>
    <m/>
    <s v="Jason R Hess, MD"/>
    <m/>
    <s v="Hess"/>
  </r>
  <r>
    <d v="2026-08-18T00:00:00"/>
    <s v="6668069"/>
    <s v="Olsen, David"/>
    <s v="Inpatient"/>
    <x v="0"/>
    <n v="3901452863"/>
    <s v="305900233"/>
    <d v="1955-05-17T00:00:00"/>
    <s v="Kim, Eung Do, MD"/>
    <s v="Regional"/>
    <s v="4"/>
    <d v="1899-12-30T16:40:00"/>
    <d v="1899-12-30T21:31:00"/>
    <n v="291"/>
    <d v="1899-12-30T16:30:00"/>
    <d v="1899-12-30T18:30:00"/>
    <n v="120"/>
    <d v="1899-12-30T16:40:00"/>
    <d v="1899-12-30T21:24:00"/>
    <n v="284"/>
    <d v="1899-12-30T17:51:00"/>
    <d v="1899-12-30T21:21:00"/>
    <d v="1899-12-30T21:24:00"/>
    <n v="284"/>
    <n v="210"/>
    <m/>
    <m/>
    <m/>
    <m/>
    <m/>
    <m/>
    <s v="SHME OR 07"/>
    <s v="General"/>
    <s v="Not on file"/>
    <s v="Giurgiu, Dan I.N., Md"/>
    <s v="COLECTOMY, PARTIAL; WITH END COLOSTOMY AND CLOSURE OF DISTAL SEGMENT(HARTMANN TYPE PROCEDURE)"/>
    <s v="COLECTOMY, PARTIAL; WITH END COLOSTOMY AND CLOSURE OF DISTAL SEGMENT(HARTMANN TYPE PROCEDURE) - N/A"/>
    <s v="Tue"/>
    <m/>
    <m/>
    <m/>
    <s v="GIURGIU, DAN I.N."/>
    <m/>
    <s v="Dan I.N. Giurgiu, MD (619-330-8330)"/>
    <m/>
    <s v="Giurgiu"/>
  </r>
  <r>
    <d v="2026-08-18T00:00:00"/>
    <s v="6488319"/>
    <s v="Johnston, Patricia J"/>
    <s v="Outpatient"/>
    <x v="1"/>
    <n v="3901425984"/>
    <s v="701406646"/>
    <d v="1942-11-23T00:00:00"/>
    <s v="Ramos, Joshua Neftalie, MD"/>
    <s v="General"/>
    <s v="3"/>
    <d v="1899-12-30T13:24:00"/>
    <d v="1899-12-30T14:29:00"/>
    <n v="65"/>
    <d v="1899-12-30T12:45:00"/>
    <d v="1899-12-30T13:30:00"/>
    <n v="45"/>
    <d v="1899-12-30T13:24:00"/>
    <d v="1899-12-30T14:21:00"/>
    <n v="57"/>
    <d v="1899-12-30T14:01:00"/>
    <d v="1899-12-30T14:11:00"/>
    <d v="1899-12-30T14:21:00"/>
    <n v="57"/>
    <n v="10"/>
    <d v="1899-12-30T14:26:28"/>
    <d v="1899-12-30T15:14:04"/>
    <n v="48"/>
    <d v="1899-12-30T15:14:07"/>
    <d v="1899-12-30T16:16:38"/>
    <n v="62"/>
    <s v="SHME OR 17"/>
    <s v="Gynecology"/>
    <s v="No"/>
    <s v="Sandoval, Rebeca, Md"/>
    <s v="HYSTEROSCOPY, SURGICAL; WITH SAMPLING (BIOPSY) OF ENDOMETRIUM AND/ORPOLYPECTOMY, WITH OR WITHOUT D &amp; C"/>
    <s v="HYSTEROSCOPY, DILATION AND CURETTAGE - N/A"/>
    <s v="Tue"/>
    <m/>
    <m/>
    <m/>
    <s v="SANDOVAL, REBECA"/>
    <m/>
    <s v="Rebeca Sandoval, MD"/>
    <m/>
    <s v="Sandoval"/>
  </r>
  <r>
    <d v="2026-08-18T00:00:00"/>
    <s v="6501320"/>
    <s v="Rodriguez, Francisco J"/>
    <s v="Outpatient"/>
    <x v="1"/>
    <n v="3901423731"/>
    <s v="810826301"/>
    <d v="1956-06-03T00:00:00"/>
    <s v="Baja, Diosdado An Jr., MD"/>
    <s v="Regional"/>
    <s v="3"/>
    <d v="1899-12-30T09:12:00"/>
    <d v="1899-12-30T12:06:00"/>
    <n v="174"/>
    <d v="1899-12-30T09:00:00"/>
    <d v="1899-12-30T11:30:00"/>
    <n v="150"/>
    <d v="1899-12-30T09:12:00"/>
    <d v="1899-12-30T12:02:00"/>
    <n v="170"/>
    <d v="1899-12-30T09:42:00"/>
    <d v="1899-12-30T11:59:00"/>
    <d v="1899-12-30T12:02:00"/>
    <n v="170"/>
    <n v="137"/>
    <d v="1899-12-30T12:03:00"/>
    <d v="1899-12-30T15:10:00"/>
    <n v="187"/>
    <d v="1899-12-30T15:13:00"/>
    <d v="1899-12-30T16:51:00"/>
    <n v="98"/>
    <s v="SHME OR 03"/>
    <s v="Orthopedics"/>
    <s v="No"/>
    <s v="Kansara, Devanshu Velji, Md"/>
    <s v="REVISION OF TOTAL KNEE ARTHROPLASTY, WITH OR WITHOUT ALLOGRAFT; 1COMPONENT"/>
    <s v="COMPLEX PRIMARY RIGHT TOTAL KNEE ARTHROPLASTY WITH REMOVAL OF DEEP HARDWARE - Right"/>
    <s v="Tue"/>
    <m/>
    <m/>
    <m/>
    <s v="KANSARA, DEVANSHU VELJI"/>
    <m/>
    <s v="Devanshu Velji Kansara, MD"/>
    <m/>
    <s v="Kansara"/>
  </r>
  <r>
    <d v="2026-08-19T00:00:00"/>
    <s v="6567968"/>
    <s v="Helm, Thomas F"/>
    <s v="Outpatient"/>
    <x v="1"/>
    <n v="3901435475"/>
    <s v="701798603"/>
    <d v="1944-09-21T00:00:00"/>
    <s v="Nwabueze, Onyemaechi, MD"/>
    <s v="General"/>
    <s v="3"/>
    <d v="1899-12-30T07:23:00"/>
    <d v="1899-12-30T08:08:00"/>
    <n v="45"/>
    <d v="1899-12-30T07:30:00"/>
    <d v="1899-12-30T08:30:00"/>
    <n v="60"/>
    <d v="1899-12-30T07:23:00"/>
    <d v="1899-12-30T08:05:00"/>
    <n v="42"/>
    <d v="1899-12-30T07:41:00"/>
    <d v="1899-12-30T07:55:00"/>
    <d v="1899-12-30T08:05:00"/>
    <n v="42"/>
    <n v="14"/>
    <d v="1899-12-30T08:06:22"/>
    <d v="1899-12-30T08:24:32"/>
    <n v="18"/>
    <d v="1899-12-30T08:24:34"/>
    <d v="1899-12-30T08:49:02"/>
    <n v="25"/>
    <s v="SHME OR 16"/>
    <s v="ENT"/>
    <s v="No"/>
    <s v="Miya, Gary Yuhei, Md"/>
    <s v="LARYNGOSCOPY, DIRECT, OPERATIVE, WITH BIOPSY; WITH OPERATING MICROSCOPEOR TELESCOPE_x000a_ESOPHAGOSCOPY, FLEXIBLE, TRANSORAL; DIAGNOSTIC, INCLUDING COLLECTIONOF SPECIMEN(S) BY BRUSHING OR WASHING, WHEN PERFORMED (SEPARATEPROCEDURE)"/>
    <s v="DIRECT MICROLARYNGOSCOPY, ESOPHAGOSCOPY WITH BIOPSY. - Bilateral"/>
    <s v="Wed"/>
    <m/>
    <m/>
    <m/>
    <s v="MIYA, GARY YUHEI"/>
    <m/>
    <s v="Gary Yuhei Miya, MD"/>
    <m/>
    <s v="Miya"/>
  </r>
  <r>
    <d v="2026-08-19T00:00:00"/>
    <s v="6376187"/>
    <s v="Fernandez, Jose M"/>
    <s v="Inpatient"/>
    <x v="0"/>
    <n v="3901399853"/>
    <s v="811179753"/>
    <d v="1946-02-21T00:00:00"/>
    <s v="Feduska, Collin Steven, MD"/>
    <s v="General"/>
    <s v="3"/>
    <d v="1899-12-30T07:49:00"/>
    <d v="1899-12-30T11:07:00"/>
    <n v="198"/>
    <d v="1899-12-30T07:30:00"/>
    <d v="1899-12-30T10:30:00"/>
    <n v="180"/>
    <d v="1899-12-30T07:49:00"/>
    <d v="1899-12-30T10:57:00"/>
    <n v="188"/>
    <d v="1899-12-30T08:51:00"/>
    <d v="1899-12-30T10:44:00"/>
    <d v="1899-12-30T10:57:00"/>
    <n v="188"/>
    <n v="113"/>
    <d v="1899-12-30T10:58:00"/>
    <d v="1899-12-30T11:32:00"/>
    <n v="34"/>
    <m/>
    <m/>
    <m/>
    <s v="SHME OR 07"/>
    <s v="General"/>
    <s v="Yes"/>
    <s v="Dieffenbach, Bryan Vinson, Md"/>
    <s v="THROMBOENDARTERECTOMY, INCLUDING PATCH GRAFT, IF PERFORMED; CAROTID,VERTEBRAL, SUBCLAVIAN, BY NECK INCISION"/>
    <s v="RIGHT CAROTID ENDARTERECTOMY - Right"/>
    <s v="Wed"/>
    <m/>
    <m/>
    <m/>
    <s v="SISE, MICHAEL JOSEPH_x000a_DIEFFENBACH, BRYAN VINSON"/>
    <s v="Panel 1: Dr. Dieffenbach, Bryan Vinson, MD / Sise, Michael Joseph, MD"/>
    <s v="Bryan Vinson Dieffenbach, MD"/>
    <m/>
    <s v="Dieffenbach"/>
  </r>
  <r>
    <d v="2026-08-19T00:00:00"/>
    <s v="6598243"/>
    <s v="Drees, Liz A"/>
    <s v="Outpatient"/>
    <x v="1"/>
    <n v="3901442832"/>
    <s v="605477409"/>
    <d v="1958-03-11T00:00:00"/>
    <s v="Epps, Michelle Tatum, MD"/>
    <s v="General"/>
    <s v="3"/>
    <d v="1899-12-30T08:59:00"/>
    <d v="1899-12-30T10:20:00"/>
    <n v="81"/>
    <d v="1899-12-30T09:00:00"/>
    <d v="1899-12-30T10:00:00"/>
    <n v="60"/>
    <d v="1899-12-30T08:59:00"/>
    <d v="1899-12-30T10:15:00"/>
    <n v="76"/>
    <d v="1899-12-30T09:25:00"/>
    <d v="1899-12-30T10:11:00"/>
    <d v="1899-12-30T10:15:00"/>
    <n v="76"/>
    <n v="46"/>
    <d v="1899-12-30T10:16:31"/>
    <d v="1899-12-30T11:15:07"/>
    <n v="59"/>
    <d v="1899-12-30T11:15:10"/>
    <d v="1899-12-30T12:13:36"/>
    <n v="58"/>
    <s v="SHME OR 14"/>
    <s v="ENT"/>
    <s v="No"/>
    <s v="Brumund, Kevin Thomas, Md"/>
    <s v="PARATHYROIDECTOMY OR EXPLORATION OF PARATHYROID(S);"/>
    <s v="PARATHYROIDECTOMY - N/A"/>
    <s v="Wed"/>
    <m/>
    <m/>
    <m/>
    <s v="BRUMUND, KEVIN THOMAS"/>
    <m/>
    <s v="Kevin Thomas Brumund, MD"/>
    <m/>
    <s v="Brumund"/>
  </r>
  <r>
    <d v="2026-08-19T00:00:00"/>
    <s v="6599998"/>
    <s v="Bemis, Aaron C"/>
    <s v="Outpatient"/>
    <x v="1"/>
    <n v="3901444520"/>
    <s v="100990160"/>
    <d v="1963-08-03T00:00:00"/>
    <s v="Epps, Michelle Tatum, MD"/>
    <s v="General"/>
    <s v="3"/>
    <d v="1899-12-30T10:45:00"/>
    <d v="1899-12-30T12:23:00"/>
    <n v="98"/>
    <d v="1899-12-30T10:30:00"/>
    <d v="1899-12-30T12:30:00"/>
    <n v="120"/>
    <d v="1899-12-30T10:45:00"/>
    <d v="1899-12-30T12:18:00"/>
    <n v="93"/>
    <d v="1899-12-30T11:18:00"/>
    <d v="1899-12-30T12:13:00"/>
    <d v="1899-12-30T12:18:00"/>
    <n v="93"/>
    <n v="55"/>
    <d v="1899-12-30T12:20:00"/>
    <d v="1899-12-30T13:01:00"/>
    <n v="41"/>
    <d v="1899-12-30T13:02:00"/>
    <d v="1899-12-30T13:21:41"/>
    <n v="19"/>
    <s v="SHME OR 14"/>
    <s v="ENT"/>
    <s v="No"/>
    <s v="Brumund, Kevin Thomas, Md"/>
    <s v="EXCISION, MALIGNANT LESION INCLUDING MARGINS, FACE, EARS, EYELIDS, NOSE,LIPS; EXCISED DIAMETER 1.1 TO 2.0 CM_x000a_EXCISION, MALIGNANT LESION INCLUDING MARGINS, FACE, EARS, EYELIDS, NOSE,LIPS; EXCISED DIAMETER 2.1 TO 3.0 CM_x000a_EXCISION EXTERNAL EAR; PARTIAL, SIMPLE REPAIR_x000a_BIOPSY OR EXCISION OF LYMPH NODE(S); OPEN, DEEP CERVICAL NODE(S)_x000a_INTRAOPERATIVE IDENTIFICATION (EG, MAPPING) OF SENTINEL LYMPH NODE(S)INCLUDES INJECTION OF NON-RADIOACTIVE DYE, WHEN PERFORMED (LISTSEPARATELY IN ADDITION TO CODE FOR PRIMARY PROCEDURE)"/>
    <s v="WIDE EXCISION/PARTIAL AURICULECTOMY MELANOMA RIGHT EAR, SENTINEL LYMPH NODE MAPPING AND BIOPSY - Right"/>
    <s v="Wed"/>
    <m/>
    <m/>
    <m/>
    <s v="BRUMUND, KEVIN THOMAS"/>
    <m/>
    <s v="Kevin Thomas Brumund, MD"/>
    <m/>
    <s v="Brumund"/>
  </r>
  <r>
    <d v="2026-08-19T00:00:00"/>
    <s v="6613965"/>
    <s v="Wilkins, Gerald L Jr."/>
    <s v="Outpatient"/>
    <x v="1"/>
    <n v="3901444879"/>
    <s v="701431365"/>
    <d v="1973-08-27T00:00:00"/>
    <s v="Yehushua, Liora, MD"/>
    <s v="Regional"/>
    <s v="3"/>
    <d v="1899-12-30T07:48:00"/>
    <d v="1899-12-30T09:11:00"/>
    <n v="83"/>
    <d v="1899-12-30T07:30:00"/>
    <d v="1899-12-30T08:30:00"/>
    <n v="60"/>
    <d v="1899-12-30T07:48:00"/>
    <d v="1899-12-30T09:03:00"/>
    <n v="75"/>
    <d v="1899-12-30T08:04:00"/>
    <d v="1899-12-30T08:44:00"/>
    <d v="1899-12-30T09:03:00"/>
    <n v="75"/>
    <n v="40"/>
    <d v="1899-12-30T09:10:40"/>
    <d v="1899-12-30T10:15:00"/>
    <n v="65"/>
    <d v="1899-12-30T10:15:00"/>
    <d v="1899-12-30T10:33:58"/>
    <n v="18"/>
    <s v="SHME OR 10"/>
    <s v="General"/>
    <s v="No"/>
    <s v="Langenberg, Bret James, Do"/>
    <s v="LAPAROSCOPY, SURGICAL; REPAIR INITIAL INGUINAL HERNIA"/>
    <s v="ROBOT ASSIST LEFT INGUINAL HERNIA REPAIR WITH MESH POSSIBLE BILATERAL - Left"/>
    <s v="Wed"/>
    <m/>
    <m/>
    <m/>
    <s v="LANGENBERG, BRET JAMES"/>
    <m/>
    <s v="Bret James Langenberg, DO"/>
    <m/>
    <s v="Langenberg"/>
  </r>
  <r>
    <d v="2026-08-19T00:00:00"/>
    <s v="6613979"/>
    <s v="Simbert, Anilus"/>
    <s v="Outpatient"/>
    <x v="1"/>
    <n v="3901444881"/>
    <s v="811030804"/>
    <d v="1985-04-08T00:00:00"/>
    <s v="Yehushua, Liora, MD"/>
    <s v="General"/>
    <s v="2"/>
    <d v="1899-12-30T09:44:00"/>
    <d v="1899-12-30T10:50:00"/>
    <n v="66"/>
    <d v="1899-12-30T09:00:00"/>
    <d v="1899-12-30T09:45:00"/>
    <n v="45"/>
    <d v="1899-12-30T09:44:00"/>
    <d v="1899-12-30T10:44:00"/>
    <n v="60"/>
    <d v="1899-12-30T10:06:00"/>
    <d v="1899-12-30T10:17:00"/>
    <d v="1899-12-30T10:44:00"/>
    <n v="60"/>
    <n v="11"/>
    <d v="1899-12-30T10:46:53"/>
    <d v="1899-12-30T11:37:00"/>
    <n v="51"/>
    <d v="1899-12-30T11:37:00"/>
    <d v="1899-12-30T12:36:00"/>
    <n v="59"/>
    <s v="SHME OR 10"/>
    <s v="General"/>
    <s v="No"/>
    <s v="Langenberg, Bret James, Do"/>
    <s v="SURGICAL TREATMENT OF ANAL FISTULA (FISTULECTOMY/FISTULOTOMY);TRANSSPHINCTERIC, SUPRASPHINCTERIC, EXTRASPHINCTERIC OR MULTIPLE,INCLUDING PLACEMENT OF SETON, WHEN PERFORMED"/>
    <s v="ANAL FISTULECTOMY WITH POSSIBLE SETON PLACEMENT - N/A"/>
    <s v="Wed"/>
    <m/>
    <m/>
    <m/>
    <s v="LANGENBERG, BRET JAMES"/>
    <m/>
    <s v="Bret James Langenberg, DO"/>
    <m/>
    <s v="Langenberg"/>
  </r>
  <r>
    <d v="2026-08-19T00:00:00"/>
    <s v="6620046"/>
    <s v="Medrano, Brenda E"/>
    <s v="Outpatient"/>
    <x v="1"/>
    <n v="3901446201"/>
    <s v="811483099"/>
    <d v="1990-10-15T00:00:00"/>
    <s v="Yehushua, Liora, MD"/>
    <s v="General"/>
    <s v="2"/>
    <d v="1899-12-30T11:01:00"/>
    <d v="1899-12-30T11:51:00"/>
    <n v="50"/>
    <d v="1899-12-30T10:50:00"/>
    <d v="1899-12-30T11:35:00"/>
    <n v="45"/>
    <d v="1899-12-30T11:01:00"/>
    <d v="1899-12-30T11:40:00"/>
    <n v="39"/>
    <d v="1899-12-30T11:19:00"/>
    <d v="1899-12-30T11:24:00"/>
    <d v="1899-12-30T11:40:00"/>
    <n v="39"/>
    <n v="5"/>
    <d v="1899-12-30T11:45:34"/>
    <d v="1899-12-30T12:30:00"/>
    <n v="45"/>
    <d v="1899-12-30T12:30:00"/>
    <d v="1899-12-30T13:07:45"/>
    <n v="37"/>
    <s v="SHME OR 02"/>
    <s v="General"/>
    <s v="No"/>
    <s v="Langenberg, Bret James, Do"/>
    <s v="EXCISION, TUMOR, SOFT TISSUE OF BACK OR FLANK, SUBCUTANEOUS; 3 CM ORGREATER"/>
    <s v="EXCISIONAL BIOPSY SOFT TISSUE MASS FROM THE BACK - N/A"/>
    <s v="Wed"/>
    <m/>
    <m/>
    <m/>
    <s v="LANGENBERG, BRET JAMES"/>
    <m/>
    <s v="Bret James Langenberg, DO"/>
    <m/>
    <s v="Langenberg"/>
  </r>
  <r>
    <d v="2026-08-19T00:00:00"/>
    <s v="6620750"/>
    <s v="Dawes, Richard"/>
    <s v="Outpatient"/>
    <x v="1"/>
    <n v="3901446366"/>
    <s v="811483398"/>
    <d v="1961-03-27T00:00:00"/>
    <s v="Patel, Lance Kirit, MD"/>
    <s v="General"/>
    <s v="3"/>
    <d v="1899-12-30T07:31:00"/>
    <d v="1899-12-30T08:25:00"/>
    <n v="54"/>
    <d v="1899-12-30T07:30:00"/>
    <d v="1899-12-30T08:30:00"/>
    <n v="60"/>
    <d v="1899-12-30T07:31:00"/>
    <d v="1899-12-30T08:15:00"/>
    <n v="44"/>
    <d v="1899-12-30T07:50:00"/>
    <d v="1899-12-30T08:10:00"/>
    <d v="1899-12-30T08:15:00"/>
    <n v="44"/>
    <n v="20"/>
    <d v="1899-12-30T08:18:47"/>
    <d v="1899-12-30T08:46:00"/>
    <n v="28"/>
    <d v="1899-12-30T08:47:00"/>
    <d v="1899-12-30T10:01:00"/>
    <n v="74"/>
    <s v="SHME OR 06"/>
    <s v="Orthopedics"/>
    <s v="No"/>
    <s v="Kopp, Franz John, Md"/>
    <s v="EXCISION, PREPATELLAR BURSA"/>
    <s v="RIGHT KNEE BURSA EXCISION - Right"/>
    <s v="Wed"/>
    <m/>
    <m/>
    <m/>
    <s v="KOPP, FRANZ JOHN"/>
    <m/>
    <s v="Franz John Kopp, MD"/>
    <m/>
    <s v="Kopp"/>
  </r>
  <r>
    <d v="2026-08-19T00:00:00"/>
    <s v="6621054"/>
    <s v="Duzak, Kenneth E"/>
    <s v="Inpatient"/>
    <x v="0"/>
    <n v="3901446436"/>
    <s v="605691338"/>
    <d v="1954-10-06T00:00:00"/>
    <s v="Epps, Michelle Tatum, MD"/>
    <s v="General"/>
    <s v="3"/>
    <d v="1899-12-30T15:41:00"/>
    <d v="1899-12-30T19:57:00"/>
    <n v="256"/>
    <d v="1899-12-30T15:00:00"/>
    <d v="1899-12-30T17:30:00"/>
    <n v="150"/>
    <d v="1899-12-30T15:41:00"/>
    <d v="1899-12-30T19:53:00"/>
    <n v="252"/>
    <d v="1899-12-30T16:16:00"/>
    <d v="1899-12-30T19:50:00"/>
    <d v="1899-12-30T19:53:00"/>
    <n v="252"/>
    <n v="214"/>
    <d v="1899-12-30T19:55:51"/>
    <d v="1899-12-30T21:49:25"/>
    <n v="114"/>
    <m/>
    <m/>
    <m/>
    <s v="SHME OR 04"/>
    <s v="Orthopedics"/>
    <s v="No"/>
    <s v="Fabi, David William, Md"/>
    <s v="REVISION OF TOTAL HIP ARTHROPLASTY; BOTH COMPONENTS, WITH OR WITHOUTAUTOGRAFT OR ALLOGRAFT"/>
    <s v="REVISION OF TOTAL ANTERIOR LEFT HIP ARTHROPLASTY - Left"/>
    <s v="Wed"/>
    <m/>
    <m/>
    <m/>
    <s v="FABI, DAVID WILLIAM"/>
    <m/>
    <s v="David William Fabi, MD"/>
    <m/>
    <s v="Fabi"/>
  </r>
  <r>
    <d v="2026-08-19T00:00:00"/>
    <s v="6634226"/>
    <s v="Mitchell, Enid"/>
    <s v="Outpatient"/>
    <x v="1"/>
    <n v="3901448770"/>
    <s v="811484738"/>
    <d v="1934-08-15T00:00:00"/>
    <s v="Rayan, Hany A, MD"/>
    <s v="General"/>
    <s v="2"/>
    <d v="1899-12-30T07:35:00"/>
    <d v="1899-12-30T09:15:00"/>
    <n v="100"/>
    <d v="1899-12-30T07:30:00"/>
    <d v="1899-12-30T09:15:00"/>
    <n v="105"/>
    <d v="1899-12-30T07:35:00"/>
    <d v="1899-12-30T09:09:00"/>
    <n v="94"/>
    <d v="1899-12-30T08:11:00"/>
    <d v="1899-12-30T09:02:00"/>
    <d v="1899-12-30T09:09:00"/>
    <n v="94"/>
    <n v="51"/>
    <d v="1899-12-30T09:10:48"/>
    <d v="1899-12-30T09:47:11"/>
    <n v="37"/>
    <m/>
    <m/>
    <m/>
    <s v="SHME OR 03"/>
    <s v="General"/>
    <s v="No"/>
    <s v="Giurgiu, Dan I.N., Md"/>
    <s v="MASTECTOMY, SIMPLE, COMPLETE"/>
    <s v="RIGHT MASTECTOMY. - Right"/>
    <s v="Wed"/>
    <m/>
    <m/>
    <m/>
    <s v="GIURGIU, DAN I.N."/>
    <m/>
    <s v="Dan I.N. Giurgiu, MD (619-330-8330)"/>
    <m/>
    <s v="Giurgiu"/>
  </r>
  <r>
    <d v="2026-08-19T00:00:00"/>
    <s v="6639916"/>
    <s v="Norgren, David R"/>
    <s v="Outpatient"/>
    <x v="1"/>
    <n v="3901450026"/>
    <s v="700560604"/>
    <d v="1983-08-12T00:00:00"/>
    <s v="Haidar, Jason, DO"/>
    <s v="General"/>
    <s v="2"/>
    <d v="1899-12-30T07:30:00"/>
    <d v="1899-12-30T10:15:00"/>
    <n v="165"/>
    <d v="1899-12-30T07:30:00"/>
    <d v="1899-12-30T09:30:00"/>
    <n v="120"/>
    <d v="1899-12-30T07:30:00"/>
    <d v="1899-12-30T10:10:00"/>
    <n v="160"/>
    <d v="1899-12-30T08:15:00"/>
    <d v="1899-12-30T10:07:00"/>
    <d v="1899-12-30T10:10:00"/>
    <n v="160"/>
    <n v="112"/>
    <d v="1899-12-30T10:15:00"/>
    <d v="1899-12-30T11:20:00"/>
    <n v="65"/>
    <d v="1899-12-30T11:21:00"/>
    <d v="1899-12-30T12:54:50"/>
    <n v="93"/>
    <s v="SHME OR 01"/>
    <s v="Orthopedics"/>
    <s v="No"/>
    <s v="Sanzone, Anthony Gerard, Md"/>
    <s v="REPAIR OF NONUNION OR MALUNION, TIBIA; WITHOUT GRAFT, (EG, COMPRESSIONTECHNIQUE)_x000a_REPAIR OF NONUNION OR MALUNION, TIBIA; WITH SLIDING GRAFT_x000a_REPAIR OF NONUNION OR MALUNION, TIBIA; WITH ILIAC OR OTHER AUTOGRAFT(INCLUDES OBTAINING GRAFT)"/>
    <s v="REPAIR OF NONUNION LEFT ANKLE NONUNION WITH BONE GRAFT - Left"/>
    <s v="Wed"/>
    <m/>
    <m/>
    <m/>
    <s v="SANZONE, ANTHONY GERARD"/>
    <m/>
    <s v="Anthony Gerard Sanzone, MD (619-476-5519)"/>
    <m/>
    <s v="Sanzone"/>
  </r>
  <r>
    <d v="2026-08-19T00:00:00"/>
    <s v="6645039"/>
    <s v="Carlson, Barbara L"/>
    <s v="Outpatient"/>
    <x v="1"/>
    <n v="3901451011"/>
    <s v="701290994"/>
    <d v="1949-01-31T00:00:00"/>
    <s v="Epps, Michelle Tatum, MD"/>
    <s v="General"/>
    <s v="3"/>
    <d v="1899-12-30T07:22:00"/>
    <d v="1899-12-30T08:37:00"/>
    <n v="75"/>
    <d v="1899-12-30T07:30:00"/>
    <d v="1899-12-30T08:30:00"/>
    <n v="60"/>
    <d v="1899-12-30T07:22:00"/>
    <d v="1899-12-30T08:33:00"/>
    <n v="71"/>
    <d v="1899-12-30T07:55:00"/>
    <d v="1899-12-30T08:27:00"/>
    <d v="1899-12-30T08:33:00"/>
    <n v="71"/>
    <n v="32"/>
    <d v="1899-12-30T08:34:47"/>
    <d v="1899-12-30T09:08:54"/>
    <n v="34"/>
    <d v="1899-12-30T09:08:56"/>
    <d v="1899-12-30T09:52:41"/>
    <n v="44"/>
    <s v="SHME OR 14"/>
    <s v="ENT"/>
    <s v="No"/>
    <s v="Brumund, Kevin Thomas, Md"/>
    <s v="PARATHYROIDECTOMY OR EXPLORATION OF PARATHYROID(S);"/>
    <s v="PARATHYROIDECTOMY - N/A"/>
    <s v="Wed"/>
    <m/>
    <m/>
    <m/>
    <s v="BRUMUND, KEVIN THOMAS"/>
    <m/>
    <s v="Kevin Thomas Brumund, MD"/>
    <m/>
    <s v="Brumund"/>
  </r>
  <r>
    <d v="2026-08-19T00:00:00"/>
    <s v="6648421"/>
    <s v="Gonzalez, Ruben"/>
    <s v="Outpatient"/>
    <x v="1"/>
    <n v="3901451587"/>
    <s v="810634622"/>
    <d v="1962-01-27T00:00:00"/>
    <s v="Rayan, Hany A, MD"/>
    <s v="Regional"/>
    <s v="2"/>
    <d v="1899-12-30T09:44:00"/>
    <d v="1899-12-30T13:33:00"/>
    <n v="229"/>
    <d v="1899-12-30T09:45:00"/>
    <d v="1899-12-30T12:45:00"/>
    <n v="180"/>
    <d v="1899-12-30T09:44:00"/>
    <d v="1899-12-30T13:26:00"/>
    <n v="222"/>
    <d v="1899-12-30T10:34:00"/>
    <d v="1899-12-30T13:17:00"/>
    <d v="1899-12-30T13:26:00"/>
    <n v="222"/>
    <n v="163"/>
    <d v="1899-12-30T13:29:47"/>
    <d v="1899-12-30T14:06:00"/>
    <n v="37"/>
    <d v="1899-12-30T14:06:00"/>
    <d v="1899-12-30T14:54:00"/>
    <n v="48"/>
    <s v="SHME OR 09"/>
    <s v="General"/>
    <s v="No"/>
    <s v="Giurgiu, Dan I.N., Md"/>
    <s v="REPAIR OF ANTERIOR ABDOMINAL HERNIA(S) (IE, EPIGASTRIC, INCISIONAL, VENTRAL, UMBILICAL, SPIGELIAN), INITIAL, TOTAL LENGTH OF DEFECT(S); 3 CM TO 10 CM, REDUCIBLE"/>
    <s v="ROBOTIC REPAIR OF INCISIONAL HERNIA WITH MESH, POSSIBLE OPEN. - N/A"/>
    <s v="Wed"/>
    <m/>
    <m/>
    <m/>
    <s v="GIURGIU, DAN I.N."/>
    <m/>
    <s v="Dan I.N. Giurgiu, MD (619-330-8330)"/>
    <m/>
    <s v="Giurgiu"/>
  </r>
  <r>
    <d v="2026-08-19T00:00:00"/>
    <s v="6466928"/>
    <s v="Byrne, Patricia E"/>
    <s v="Inpatient"/>
    <x v="0"/>
    <n v="3901417322"/>
    <s v="701237258"/>
    <d v="1950-02-26T00:00:00"/>
    <s v="Julian, Jeric Israel Burguillos, DO"/>
    <s v="General"/>
    <s v="3"/>
    <d v="1899-12-30T07:52:00"/>
    <d v="1899-12-30T10:47:00"/>
    <n v="175"/>
    <d v="1899-12-30T07:30:00"/>
    <d v="1899-12-30T09:30:00"/>
    <n v="120"/>
    <d v="1899-12-30T07:52:00"/>
    <d v="1899-12-30T10:41:00"/>
    <n v="169"/>
    <d v="1899-12-30T08:23:00"/>
    <d v="1899-12-30T10:34:00"/>
    <d v="1899-12-30T10:41:00"/>
    <n v="169"/>
    <n v="131"/>
    <d v="1899-12-30T10:42:16"/>
    <d v="1899-12-30T11:10:00"/>
    <n v="28"/>
    <m/>
    <m/>
    <m/>
    <s v="SHME OR 05"/>
    <s v="Orthopedics"/>
    <s v="Yes"/>
    <s v="Kasir, Rafid, Md"/>
    <s v="ARTHRODESIS, ANTERIOR INTERBODY, INCLUDING DISC SPACE PREPARATION,DISCECTOMY, OSTEOPHYTECTOMY AND DECOMPRESSION OF SPINAL CORD AND/ORNERVE ROOTS; CERVICAL BELOW C2_x000a_ARTHRODESIS, ANTERIOR INTERBODY, INCLUDING DISC SPACE PREPARATION,DISCECTOMY, OSTEOPHYTECTOMY AND DECOMPRESSION OF SPINAL CORD AND/ORNERVE ROOTS; CERVICAL BELOW C2, EACH ADDITIONAL INTERSPACE (LIST_x000a_INSERTION OF INTERBODY BIOMECHANICAL DEVICE(S) (EG, SYNTHETIC CAGE, MESH) WITHINTEGRAL ANTERIOR INSTRUMENTATION FOR DEVICE ANCHORING (EG, SCREWS, FLANGES),WHEN PERFORMED, TO INTERVERTEBRAL DISC SPAC_x000a_ANTERIOR INSTRUMENTATION; 2 TO 3 VERTEBRAL SEGMENTS (LIST SEPARATELY INADDITION TO CODE FOR PRIMARY PROCEDURE)_x000a_FLUOROSCOPY (SEPARATE PROCEDURE), UP TO 1 HOUR PHYSICIAN OR OTHERQUALIFIED HEALTH CARE PROFESSIONAL TIME, OTHER THAN 71023 OR 71034 (EG,CARDIAC FLUOROSCOPY)"/>
    <s v="ANTERIOR CERVICAL DISCECTOMY FUSION CERVICAL 4-CERVICAL 6 - N/A"/>
    <s v="Wed"/>
    <m/>
    <m/>
    <m/>
    <s v="KASIR, RAFID"/>
    <m/>
    <s v="Rafid Kasir, MD"/>
    <m/>
    <s v="Kasir"/>
  </r>
  <r>
    <d v="2026-08-19T00:00:00"/>
    <s v="6654272"/>
    <s v="Garcia, Amalia"/>
    <s v="Inpatient"/>
    <x v="0"/>
    <n v="3901452617"/>
    <s v="305273520"/>
    <d v="1956-07-10T00:00:00"/>
    <s v="Patel, Lance Kirit, MD"/>
    <s v="Regional"/>
    <s v="3"/>
    <d v="1899-12-30T12:28:00"/>
    <d v="1899-12-30T16:45:00"/>
    <n v="257"/>
    <d v="1899-12-30T12:00:00"/>
    <d v="1899-12-30T15:00:00"/>
    <n v="180"/>
    <d v="1899-12-30T12:28:00"/>
    <d v="1899-12-30T16:35:00"/>
    <n v="247"/>
    <d v="1899-12-30T12:52:00"/>
    <d v="1899-12-30T16:19:00"/>
    <d v="1899-12-30T16:35:00"/>
    <n v="247"/>
    <n v="207"/>
    <d v="1899-12-30T16:38:00"/>
    <d v="1899-12-30T18:01:00"/>
    <n v="83"/>
    <m/>
    <m/>
    <m/>
    <s v="SHME OR 10"/>
    <s v="General"/>
    <s v="Yes"/>
    <s v="Isho, Mathew S, Md"/>
    <s v="LAPAROSCOPY, SURGICAL; COLECTOMY, PARTIAL, WITH ANASTOMOSIS_x000a_CYSTOURETHROSCOPY, WITH INSERTION OF INDWELLING URETERAL STENT (EG,GIBBONS OR DOUBLE-J TYPE)"/>
    <s v="ROBOTIC POSSIBLE OPEN SIGMOID RESECTION, SPLENIC FLEXURE MOBILIZATION, SIGMOIDOSOPY - N/A"/>
    <s v="Wed"/>
    <m/>
    <s v="ED/IP/IC"/>
    <m/>
    <s v="DICKS, BRIAN MICHAEL_x000a_ISHO, MATHEW S_x000a_CASTEEL, CHRISTINA MARIE"/>
    <s v="Panel 1: Dr. Isho, Mathew S, MD / Casteel, Christina Marie, MD_x000a_Panel 2: Dr. Dicks, Brian Michael, MD"/>
    <s v="Mathew S Isho, MD_x000a_Brian Michael Dicks, MD"/>
    <m/>
    <s v="Isho, Dicks"/>
  </r>
  <r>
    <d v="2026-08-19T00:00:00"/>
    <s v="6655570"/>
    <s v="Moffett, Chuck W"/>
    <s v="Outpatient"/>
    <x v="1"/>
    <n v="3901452836"/>
    <s v="612644141"/>
    <d v="1949-06-30T00:00:00"/>
    <s v="Epps, Michelle Tatum, MD"/>
    <s v="General"/>
    <s v="3"/>
    <d v="1899-12-30T13:00:00"/>
    <d v="1899-12-30T13:59:00"/>
    <n v="59"/>
    <d v="1899-12-30T13:00:00"/>
    <d v="1899-12-30T14:15:00"/>
    <n v="75"/>
    <d v="1899-12-30T13:00:00"/>
    <d v="1899-12-30T13:54:00"/>
    <n v="54"/>
    <d v="1899-12-30T13:21:00"/>
    <d v="1899-12-30T13:51:00"/>
    <d v="1899-12-30T13:54:00"/>
    <n v="54"/>
    <n v="30"/>
    <d v="1899-12-30T13:55:01"/>
    <d v="1899-12-30T15:20:45"/>
    <n v="85"/>
    <m/>
    <m/>
    <m/>
    <s v="SHME OR 14"/>
    <s v="ENT"/>
    <s v="No"/>
    <s v="Brumund, Kevin Thomas, Md"/>
    <s v="RESECTION OF PALATE OR EXTENSIVE RESECTION OF LESION"/>
    <s v="TRANSORAL RESECTION OF LEFT PALATE TUMOR - Left"/>
    <s v="Wed"/>
    <m/>
    <m/>
    <m/>
    <s v="BRUMUND, KEVIN THOMAS"/>
    <m/>
    <s v="Kevin Thomas Brumund, MD"/>
    <m/>
    <s v="Brumund"/>
  </r>
  <r>
    <d v="2026-08-19T00:00:00"/>
    <s v="6655574"/>
    <s v="Coleman, Cassidy L"/>
    <s v="Outpatient"/>
    <x v="1"/>
    <n v="3901452806"/>
    <s v="700121691"/>
    <d v="1992-02-28T00:00:00"/>
    <s v="Patel, Lance Kirit, MD"/>
    <s v="Regional"/>
    <s v="2"/>
    <d v="1899-12-30T08:57:00"/>
    <d v="1899-12-30T10:25:00"/>
    <n v="88"/>
    <d v="1899-12-30T09:00:00"/>
    <d v="1899-12-30T10:30:00"/>
    <n v="90"/>
    <d v="1899-12-30T08:57:00"/>
    <d v="1899-12-30T10:15:00"/>
    <n v="78"/>
    <d v="1899-12-30T09:18:00"/>
    <d v="1899-12-30T10:11:00"/>
    <d v="1899-12-30T10:15:00"/>
    <n v="78"/>
    <n v="53"/>
    <d v="1899-12-30T10:20:00"/>
    <d v="1899-12-30T11:31:00"/>
    <n v="71"/>
    <d v="1899-12-30T11:32:00"/>
    <d v="1899-12-30T12:08:00"/>
    <n v="36"/>
    <s v="SHME OR 06"/>
    <s v="Orthopedics"/>
    <s v="No"/>
    <s v="Kopp, Franz John, Md"/>
    <s v="OPEN TREATMENT OF BIMALLEOLAR ANKLE FRACTURE (EG, LATERAL AND MEDIALMALLEOLI, OR LATERAL AND POSTERIOR MALLEOLI, OR MEDIAL AND POSTERIORMALLEOLI), INCLUDES INTERNAL FIXATION, WHEN PERFORMED_x000a_OPEN TREATMENT OF DISTAL TIBIOFIBULAR JOINT (SYNDESMOSIS) DISRUPTION,INCLUDES INTERNAL FIXATION, WHEN PERFORMED_x000a_MANUAL APPLICATION OF STRESS PERFORMED BY PHYSICIAN OR OTHER QUALIFIEDHEALTH CARE PROFESSIONAL FOR JOINT RADIOGRAPHY, INCLUDING CONTRALATERALJOINT IF INDICATED_x000a_FLUOROSCOPY (SEPARATE PROCEDURE), UP TO 1 HOUR PHYSICIAN OR OTHERQUALIFIED HEALTH CARE PROFESSIONAL TIME, OTHER THAN 71023 OR 71034 (EG,CARDIAC FLUOROSCOPY)"/>
    <s v="OPEN REDUCTION INTERNAL FIXATION RIGHT ANKLE FRACTURE - Right"/>
    <s v="Wed"/>
    <m/>
    <m/>
    <m/>
    <s v="KOPP, FRANZ JOHN"/>
    <m/>
    <s v="Franz John Kopp, MD"/>
    <m/>
    <s v="Kopp"/>
  </r>
  <r>
    <d v="2026-08-19T00:00:00"/>
    <s v="6664333"/>
    <s v="Ponce, Raul"/>
    <s v="Inpatient"/>
    <x v="0"/>
    <n v="3400730039"/>
    <s v="810114450"/>
    <d v="1950-12-11T00:00:00"/>
    <s v="Feduska, Collin Steven, MD"/>
    <s v="General"/>
    <s v="3"/>
    <d v="1899-12-30T12:05:00"/>
    <d v="1899-12-30T15:36:00"/>
    <n v="211"/>
    <d v="1899-12-30T11:10:00"/>
    <d v="1899-12-30T15:40:00"/>
    <n v="270"/>
    <d v="1899-12-30T12:05:00"/>
    <d v="1899-12-30T15:26:00"/>
    <n v="201"/>
    <d v="1899-12-30T12:48:00"/>
    <d v="1899-12-30T15:18:00"/>
    <d v="1899-12-30T15:26:00"/>
    <n v="201"/>
    <n v="150"/>
    <d v="1899-12-30T15:27:33"/>
    <d v="1899-12-30T17:03:30"/>
    <n v="96"/>
    <m/>
    <m/>
    <m/>
    <s v="SHME OR 07"/>
    <s v="General"/>
    <s v="Yes"/>
    <s v="Dieffenbach, Bryan Vinson, Md"/>
    <s v="THROMBOENDARTERECTOMY, INCLUDING PATCH GRAFT, IF PERFORMED; COMMONFEMORAL_x000a_EMBOLECTOMY OR THROMBECTOMY, WITH OR WITHOUT CATHETER; AXILLARY,BRACHIAL, INNOMINATE, SUBCLAVIAN ARTERY, BY ARM INCISION"/>
    <s v="RIGHT FEMORAL ENDARTERECTOMY, ILIAC ANGIOPLASTY AND STENT, POSSIBLE FEMORAL TO TIBIAL BYPASS WITH VEIN - Right"/>
    <s v="Wed"/>
    <m/>
    <m/>
    <m/>
    <s v="DIEFFENBACH, BRYAN VINSON_x000a_FERNANDEZ, NATHANIAL"/>
    <s v="Panel 1: Dr. Dieffenbach, Bryan Vinson, MD / Fernandez, Nathanial, MD"/>
    <s v="Bryan Vinson Dieffenbach, MD"/>
    <m/>
    <s v="Dieffenbach"/>
  </r>
  <r>
    <d v="2026-08-19T00:00:00"/>
    <s v="6667058"/>
    <s v="Orozco, Norma"/>
    <s v="Inpatient"/>
    <x v="0"/>
    <n v="3901454770"/>
    <s v="811198765"/>
    <d v="1958-12-04T00:00:00"/>
    <s v="Sherer, Edward Harding, MD"/>
    <s v="General"/>
    <s v="4"/>
    <d v="1899-12-30T06:19:00"/>
    <d v="1899-12-30T11:23:00"/>
    <n v="304"/>
    <d v="1899-12-30T06:15:00"/>
    <d v="1899-12-30T12:15:00"/>
    <n v="360"/>
    <d v="1899-12-30T06:19:00"/>
    <d v="1899-12-30T11:14:00"/>
    <n v="295"/>
    <d v="1899-12-30T08:17:00"/>
    <d v="1899-12-30T10:56:00"/>
    <d v="1899-12-30T11:14:00"/>
    <n v="295"/>
    <n v="159"/>
    <m/>
    <m/>
    <m/>
    <m/>
    <m/>
    <m/>
    <s v="SHME OR 08"/>
    <s v="Cardiothoracic"/>
    <s v="Yes"/>
    <s v="Hemp, James Robert, Md"/>
    <s v="REPLACEMENT, AORTIC VALVE, OPEN, WITH CARDIOPULMONARY BYPASS; WITH STENTLESSTISSUE VALVE_x000a_MEDIASTINOTOMY WITH EXPLORATION, DRAINAGE, REMOVAL OF FOREIGN BODY, ORBIOPSY; TRANSTHORACIC APPROACH, INCLUDING EITHER TRANSTHORACIC OR MEDIANSTERNOTOMY"/>
    <s v="BIOPROSTHETIC REDO AORTIC VALVE REPLACEMENT VIA MEDIAN STERNOTOMY - N/A"/>
    <s v="Wed"/>
    <m/>
    <m/>
    <m/>
    <s v="ISLAMI MANUCHEHRY, MOHAMMAD HOSEIN_x000a_HEMP, JAMES ROBERT"/>
    <s v="Panel 1: Dr. Hemp, James Robert, MD / Islami Manuchehry, Mohammad Hosein, MD"/>
    <s v="James Robert Hemp, MD"/>
    <m/>
    <s v="Hemp"/>
  </r>
  <r>
    <d v="2026-08-19T00:00:00"/>
    <s v="6667462"/>
    <s v="Gorvetzian, Robert"/>
    <s v="Inpatient"/>
    <x v="0"/>
    <n v="3901454985"/>
    <s v="811144153"/>
    <d v="1960-03-18T00:00:00"/>
    <s v="Chitlur, Abhijith Harish, MD"/>
    <s v="General"/>
    <s v="3"/>
    <d v="1899-12-30T19:43:00"/>
    <d v="1899-12-30T21:05:00"/>
    <n v="82"/>
    <d v="1899-12-30T18:00:00"/>
    <d v="1899-12-30T19:30:00"/>
    <n v="90"/>
    <d v="1899-12-30T19:43:00"/>
    <d v="1899-12-30T20:58:00"/>
    <n v="75"/>
    <d v="1899-12-30T20:19:00"/>
    <d v="1899-12-30T20:52:00"/>
    <d v="1899-12-30T20:58:00"/>
    <n v="75"/>
    <n v="33"/>
    <d v="1899-12-30T21:00:00"/>
    <d v="1899-12-30T21:41:00"/>
    <n v="41"/>
    <m/>
    <m/>
    <m/>
    <s v="SHME OR 02"/>
    <s v="Plastics"/>
    <s v="Yes"/>
    <s v="Rodriguez, Jose De Jesus, Md"/>
    <s v="EXCISION, SACRAL PRESSURE ULCER, IN PREPARATION FOR MUSCLE ORMYOCUTANEOUS FLAP OR SKIN GRAFT CLOSURE; WITH OSTECTOMY_x000a_MUSCLE, MYOCUTANEOUS, OR FASCIOCUTANEOUS FLAP; TRUNK"/>
    <s v="EXCISION, SACRAL PRESSURE ULCER, IN PREPARATION FOR MUSCLE ORMYOCUTANEOUS FLAP OR SKIN GRAFT CLOSURE; WITH OSTECTOMY - N/A"/>
    <s v="Wed"/>
    <m/>
    <s v="ED/IP/IC"/>
    <m/>
    <s v="BANSAL, VISHAL_x000a_RODRIGUEZ, JOSE DE JESUS"/>
    <s v="Panel 1: Dr. Rodriguez, Jose De Jesus, MD_x000a_Panel 2: Dr. Bansal, Vishal, MD"/>
    <s v="Jose De Jesus Rodriguez, MD_x000a_Vishal Bansal, MD"/>
    <m/>
    <s v="Rodriguez, Bansal"/>
  </r>
  <r>
    <d v="2026-08-19T00:00:00"/>
    <s v="6668383"/>
    <s v="Estrada Jacobo, Miguel Angel"/>
    <s v="Inpatient"/>
    <x v="0"/>
    <n v="3901455063"/>
    <s v="811489834"/>
    <d v="1981-01-04T00:00:00"/>
    <s v="Luu, Tiffany, MD"/>
    <s v="General"/>
    <s v="2"/>
    <d v="1899-12-30T10:00:00"/>
    <d v="1899-12-30T12:12:00"/>
    <n v="132"/>
    <d v="1899-12-30T10:00:00"/>
    <d v="1899-12-30T12:25:00"/>
    <n v="175"/>
    <d v="1899-12-30T10:00:00"/>
    <d v="1899-12-30T12:06:00"/>
    <n v="126"/>
    <d v="1899-12-30T10:34:00"/>
    <d v="1899-12-30T12:00:00"/>
    <d v="1899-12-30T12:06:00"/>
    <n v="126"/>
    <n v="86"/>
    <d v="1899-12-30T12:07:33"/>
    <d v="1899-12-30T13:05:56"/>
    <n v="58"/>
    <m/>
    <m/>
    <m/>
    <s v="SHME OR 04"/>
    <s v="Orthopedics"/>
    <s v="No"/>
    <s v="Bawa, Maneesh, Md"/>
    <s v="DEBRIDEMENT INCLUDING REMOVAL OF FOREIGN MATERIAL AT THE SITE OF AN OPENFRACTURE AND/OR AN OPEN DISLOCATION (EG, EXCISIONAL DEBRIDEMENT); SKIN,SUBCUTANEOUS TISSUE, MUSCLE FASCIA, MUSCLE, AND BONE_x000a_TREATMENT OF TIBIAL SHAFT FRACTURE (WITH OR WITHOUT FIBULAR FRACTURE) BYINTRAMEDULLARY IMPLANT, WITH OR WITHOUT INTERLOCKING SCREWS AND/ORCERCLAGE_x000a_ARTHROCENTESIS, ASPIRATION AND/OR INJECTION, MAJOR JOINT OR BURSA (EG,SHOULDER, HIP, KNEE, SUBACROMIAL BURSA); WITHOUT ULTRASOUND GUIDANCE_x000a_MANUAL APPLICATION OF STRESS PERFORMED BY PHYSICIAN OR OTHER QUALIFIEDHEALTH CARE PROFESSIONAL FOR JOINT RADIOGRAPHY, INCLUDING CONTRALATERALJOINT IF INDICATED"/>
    <s v="DEBRIDEMENT INCLUDING REMOVAL OF FOREIGN MATERIAL AT THE SITE OF AN OPENFRACTURE AND/OR AN OPEN DISLOCATION (EG, EXCISIONAL DEBRIDEMENT); SKIN,SUBCUTANEOUS TISSUE, MUSCLE FASCIA, MUSCLE, AND BONE - Right"/>
    <s v="Wed"/>
    <m/>
    <m/>
    <m/>
    <s v="BAWA, MANEESH_x000a_KOPP, FRANZ JOHN"/>
    <s v="Panel 1: Dr. Bawa, Maneesh, MD / Kopp, Franz John, MD"/>
    <s v="Maneesh Bawa, MD"/>
    <m/>
    <s v="Bawa"/>
  </r>
  <r>
    <d v="2026-08-19T00:00:00"/>
    <s v="6668616"/>
    <s v="York, Michael E"/>
    <s v="Inpatient"/>
    <x v="0"/>
    <n v="3901453915"/>
    <s v="701568574"/>
    <d v="1965-08-13T00:00:00"/>
    <s v="Luu, Tiffany, MD"/>
    <s v="Regional"/>
    <s v="3"/>
    <d v="1899-12-30T08:08:00"/>
    <d v="1899-12-30T08:55:00"/>
    <n v="47"/>
    <d v="1899-12-30T07:30:00"/>
    <d v="1899-12-30T08:20:00"/>
    <n v="80"/>
    <d v="1899-12-30T08:08:00"/>
    <d v="1899-12-30T08:51:00"/>
    <n v="43"/>
    <d v="1899-12-30T08:29:00"/>
    <d v="1899-12-30T08:45:00"/>
    <d v="1899-12-30T08:51:00"/>
    <n v="43"/>
    <n v="16"/>
    <d v="1899-12-30T08:53:00"/>
    <d v="1899-12-30T09:41:00"/>
    <n v="48"/>
    <m/>
    <m/>
    <m/>
    <s v="SHME OR 04"/>
    <s v="Orthopedics"/>
    <s v="Yes"/>
    <s v="Fabi, David William, Md"/>
    <s v="INCISION, BONE CORTEX, HAND OR FINGER (EG, OSTEOMYELITIS OR BONEABSCESS)"/>
    <s v="INCISION, BONE CORTEX, HAND OR FINGER (EG, OSTEOMYELITIS OR BONEABSCESS) - Right"/>
    <s v="Wed"/>
    <m/>
    <m/>
    <m/>
    <s v="FABI, DAVID WILLIAM"/>
    <m/>
    <s v="David William Fabi, MD"/>
    <m/>
    <s v="Fabi"/>
  </r>
  <r>
    <d v="2026-08-19T00:00:00"/>
    <s v="6669008"/>
    <s v="Ainsworth, Linda Waggoner"/>
    <s v="Inpatient"/>
    <x v="0"/>
    <n v="3901455302"/>
    <s v="811490000"/>
    <d v="1947-07-24T00:00:00"/>
    <s v="Luu, Tiffany, MD"/>
    <s v="General"/>
    <s v="2"/>
    <d v="1899-12-30T12:28:00"/>
    <d v="1899-12-30T16:33:00"/>
    <n v="245"/>
    <d v="1899-12-30T12:55:00"/>
    <d v="1899-12-30T18:15:00"/>
    <n v="350"/>
    <d v="1899-12-30T12:28:00"/>
    <d v="1899-12-30T16:30:00"/>
    <n v="242"/>
    <d v="1899-12-30T13:09:00"/>
    <d v="1899-12-30T16:24:00"/>
    <d v="1899-12-30T16:30:00"/>
    <n v="242"/>
    <n v="195"/>
    <d v="1899-12-30T16:31:46"/>
    <d v="1899-12-30T17:46:00"/>
    <n v="75"/>
    <m/>
    <m/>
    <m/>
    <s v="SHME OR 05"/>
    <s v="Orthopedics"/>
    <s v="Yes"/>
    <s v="Bawa, Maneesh, Md"/>
    <s v="OPEN TREATMENT OF FEMORAL FRACTURE, PROXIMAL END, NECK, INTERNALFIXATION OR PROSTHETIC REPLACEMENT_x000a_OPEN TREATMENT OF DISTAL RADIAL INTRA-ARTICULAR FRACTURE OR EPIPHYSEALSEPARATION; WITH INTERNAL FIXATION OF 3 OR MORE FRAGMENTS_x000a_OPEN TREATMENT OF ULNAR SHAFT FRACTURE, INCLUDES INTERNAL FIXATION, WHENPERFORMED_x000a_MANUAL APPLICATION OF STRESS PERFORMED BY PHYSICIAN OR OTHER QUALIFIEDHEALTH CARE PROFESSIONAL FOR JOINT RADIOGRAPHY, INCLUDING CONTRALATERALJOINT IF INDICATED"/>
    <s v="OPEN TREATMENT OF FEMORAL FRACTURE, PROXIMAL END, NECK, INTERNALFIXATION OR PROSTHETIC REPLACEMENT - Right"/>
    <s v="Wed"/>
    <m/>
    <m/>
    <m/>
    <s v="BAWA, MANEESH_x000a_KOPP, FRANZ JOHN"/>
    <s v="Panel 1: Dr. Bawa, Maneesh, MD / Kopp, Franz John, MD"/>
    <s v="Maneesh Bawa, MD"/>
    <m/>
    <s v="Bawa"/>
  </r>
  <r>
    <d v="2026-08-19T00:00:00"/>
    <s v="6669027"/>
    <s v="Zepeda, Margarita P"/>
    <s v="Inpatient"/>
    <x v="0"/>
    <n v="3901455321"/>
    <s v="100711318"/>
    <d v="1947-03-03T00:00:00"/>
    <s v="Rayan, Hany A, MD"/>
    <s v="General"/>
    <s v="3"/>
    <d v="1899-12-30T15:02:00"/>
    <d v="1899-12-30T18:44:00"/>
    <n v="222"/>
    <d v="1899-12-30T14:00:00"/>
    <d v="1899-12-30T17:20:00"/>
    <n v="230"/>
    <d v="1899-12-30T15:02:00"/>
    <d v="1899-12-30T18:37:00"/>
    <n v="215"/>
    <d v="1899-12-30T15:43:00"/>
    <d v="1899-12-30T18:26:00"/>
    <d v="1899-12-30T18:37:00"/>
    <n v="215"/>
    <n v="163"/>
    <d v="1899-12-30T18:38:31"/>
    <d v="1899-12-30T20:14:44"/>
    <n v="96"/>
    <m/>
    <m/>
    <m/>
    <s v="SHME OR 09"/>
    <s v="General"/>
    <s v="Yes"/>
    <s v="Giurgiu, Dan I.N., Md"/>
    <s v="LAPAROSCOPY, SURGICAL; ENTERECTOMY, RESECTION OF SMALL INTESTINE, SINGLERESECTION AND ANASTOMOSIS"/>
    <s v="ROBOT SMALL BOWEL RESECTION , POSSIBLE OPEN - N/A"/>
    <s v="Wed"/>
    <m/>
    <m/>
    <m/>
    <s v="GIURGIU, DAN I.N."/>
    <m/>
    <s v="Dan I.N. Giurgiu, MD (619-330-8330)"/>
    <m/>
    <s v="Giurgiu"/>
  </r>
  <r>
    <d v="2026-08-19T00:00:00"/>
    <s v="6669357"/>
    <s v="Krimmer, Patrick"/>
    <s v="Outpatient"/>
    <x v="1"/>
    <n v="3901455362"/>
    <s v="811490057"/>
    <d v="1981-06-08T00:00:00"/>
    <s v="Rayan, Hany A, MD"/>
    <s v="General"/>
    <s v="3"/>
    <d v="1899-12-30T13:43:00"/>
    <d v="1899-12-30T14:34:00"/>
    <n v="51"/>
    <d v="1899-12-30T12:50:00"/>
    <d v="1899-12-30T13:50:00"/>
    <n v="60"/>
    <d v="1899-12-30T13:40:00"/>
    <d v="1899-12-30T14:30:00"/>
    <n v="50"/>
    <d v="1899-12-30T14:11:00"/>
    <d v="1899-12-30T14:22:00"/>
    <d v="1899-12-30T14:30:00"/>
    <n v="50"/>
    <n v="11"/>
    <d v="1899-12-30T14:31:34"/>
    <d v="1899-12-30T15:02:00"/>
    <n v="31"/>
    <m/>
    <m/>
    <m/>
    <s v="SHME OR 03"/>
    <s v="General"/>
    <s v="No"/>
    <s v="Giurgiu, Dan I.N., Md"/>
    <s v="INCISION AND DRAINAGE OF ISCHIORECTAL AND/OR PERIRECTAL ABSCESS(SEPARATE PROCEDURE)"/>
    <s v="INCISION AND DRAINAGE PERIRECTAL ABSCESS - N/A"/>
    <s v="Wed"/>
    <m/>
    <m/>
    <m/>
    <s v="GIURGIU, DAN I.N."/>
    <m/>
    <s v="Dan I.N. Giurgiu, MD (619-330-8330)"/>
    <m/>
    <s v="Giurgiu"/>
  </r>
  <r>
    <d v="2026-08-19T00:00:00"/>
    <s v="6669430"/>
    <s v="Lewis, Irene"/>
    <s v="Inpatient"/>
    <x v="0"/>
    <n v="3901439197"/>
    <s v="811096796"/>
    <d v="1995-10-31T00:00:00"/>
    <s v="Feduska, Collin Steven, MD"/>
    <s v="General"/>
    <s v="3"/>
    <d v="1899-12-30T16:04:00"/>
    <d v="1899-12-30T17:37:00"/>
    <n v="93"/>
    <d v="1899-12-30T15:35:00"/>
    <d v="1899-12-30T17:15:00"/>
    <n v="130"/>
    <d v="1899-12-30T16:04:00"/>
    <d v="1899-12-30T17:27:00"/>
    <n v="83"/>
    <d v="1899-12-30T16:33:00"/>
    <d v="1899-12-30T17:25:00"/>
    <d v="1899-12-30T17:27:00"/>
    <n v="83"/>
    <n v="52"/>
    <d v="1899-12-30T17:30:43"/>
    <d v="1899-12-30T18:01:00"/>
    <n v="31"/>
    <m/>
    <m/>
    <m/>
    <s v="SHME OR 03"/>
    <s v="General"/>
    <s v="No"/>
    <s v="Dieffenbach, Bryan Vinson, Md"/>
    <s v="REPAIR BLOOD VESSEL, DIRECT; UPPER EXTREMITY"/>
    <s v="EXCISION AND REPAIR OF LEFT CEPHALIC VEIN SEPTIC THROMBOPHLEBITIS - Left"/>
    <s v="Wed"/>
    <m/>
    <s v="ED/IP/IC"/>
    <m/>
    <s v="DIEFFENBACH, BRYAN VINSON"/>
    <m/>
    <s v="Bryan Vinson Dieffenbach, MD"/>
    <m/>
    <s v="Dieffenbach"/>
  </r>
  <r>
    <d v="2026-08-19T00:00:00"/>
    <s v="6669618"/>
    <s v="Montufar, Ramiro"/>
    <s v="Inpatient"/>
    <x v="0"/>
    <n v="3901452821"/>
    <s v="811488257"/>
    <d v="1969-03-12T00:00:00"/>
    <s v="Feduska, Collin Steven, MD"/>
    <s v="General"/>
    <s v="3"/>
    <d v="1899-12-30T17:47:00"/>
    <d v="1899-12-30T19:33:00"/>
    <n v="106"/>
    <d v="1899-12-30T17:45:00"/>
    <d v="1899-12-30T19:30:00"/>
    <n v="135"/>
    <d v="1899-12-30T17:47:00"/>
    <d v="1899-12-30T19:23:00"/>
    <n v="96"/>
    <d v="1899-12-30T18:11:00"/>
    <d v="1899-12-30T19:19:00"/>
    <d v="1899-12-30T19:23:00"/>
    <n v="96"/>
    <n v="68"/>
    <d v="1899-12-30T19:27:40"/>
    <d v="1899-12-30T19:59:00"/>
    <n v="32"/>
    <m/>
    <m/>
    <m/>
    <s v="SHME OR 07"/>
    <s v="General"/>
    <s v="No"/>
    <s v="Dieffenbach, Bryan Vinson, Md"/>
    <s v="CREATION OF ARTERIOVENOUS FISTULA BY OTHER THAN DIRECT ARTERIOVENOUSANASTOMOSIS (SEPARATE PROCEDURE); AUTOGENOUS GRAFT"/>
    <s v="LEFT ARTERIOVENOUS FISTULA VERSUS ARTERIOVENOUS GRAFT - Left"/>
    <s v="Wed"/>
    <m/>
    <m/>
    <m/>
    <s v="DIEFFENBACH, BRYAN VINSON"/>
    <m/>
    <s v="Bryan Vinson Dieffenbach, MD"/>
    <m/>
    <s v="Dieffenbach"/>
  </r>
  <r>
    <d v="2026-08-19T00:00:00"/>
    <s v="6669667"/>
    <s v="De Jesus, Nelson"/>
    <s v="Inpatient"/>
    <x v="0"/>
    <n v="3901453974"/>
    <s v="811489042"/>
    <d v="1956-03-14T00:00:00"/>
    <s v="Julian, Jeric Israel Burguillos, DO"/>
    <s v="General"/>
    <s v="3"/>
    <d v="1899-12-30T12:00:00"/>
    <d v="1899-12-30T15:18:00"/>
    <n v="198"/>
    <d v="1899-12-30T12:00:00"/>
    <d v="1899-12-30T15:00:00"/>
    <n v="180"/>
    <d v="1899-12-30T12:00:00"/>
    <d v="1899-12-30T15:11:00"/>
    <n v="191"/>
    <d v="1899-12-30T12:44:00"/>
    <d v="1899-12-30T14:56:00"/>
    <d v="1899-12-30T15:11:00"/>
    <n v="191"/>
    <n v="132"/>
    <d v="1899-12-30T15:12:00"/>
    <d v="1899-12-30T17:59:00"/>
    <n v="167"/>
    <m/>
    <m/>
    <m/>
    <s v="SHME OR 06"/>
    <s v="General"/>
    <s v="Yes"/>
    <s v="Toman, Jeffrey Robert, Md"/>
    <s v="COLECTOMY, PARTIAL; WITH ANASTOMOSIS_x000a_SIGMOIDOSCOPY, FLEXIBLE; DIAGNOSTIC, INCLUDING COLLECTION OF SPECIMEN(SBY BRUSHING OR WASHING, WHEN PERFORMED (SEPARATE PROCEDURE)"/>
    <s v="Partial colectomy, flexible sigmoidoscopy - N/A"/>
    <s v="Wed"/>
    <m/>
    <m/>
    <m/>
    <s v="TOMAN, JEFFREY ROBERT"/>
    <m/>
    <s v="Jeffrey Robert Toman, MD"/>
    <m/>
    <s v="Toman"/>
  </r>
  <r>
    <d v="2026-08-19T00:00:00"/>
    <s v="6669699"/>
    <s v="Cleto Luvianos, Victor Moises"/>
    <s v="Inpatient"/>
    <x v="0"/>
    <n v="3901447721"/>
    <s v="811484604"/>
    <d v="1993-08-07T00:00:00"/>
    <s v="Haidar, Jason, DO"/>
    <s v="General"/>
    <s v="4"/>
    <d v="1899-12-30T10:51:00"/>
    <d v="1899-12-30T11:31:00"/>
    <n v="40"/>
    <d v="1899-12-30T10:15:00"/>
    <d v="1899-12-30T11:15:00"/>
    <n v="60"/>
    <d v="1899-12-30T10:51:00"/>
    <d v="1899-12-30T11:26:00"/>
    <n v="35"/>
    <m/>
    <m/>
    <d v="1899-12-30T11:26:00"/>
    <n v="35"/>
    <m/>
    <m/>
    <m/>
    <m/>
    <m/>
    <m/>
    <m/>
    <s v="SHME OR 03"/>
    <s v="General"/>
    <s v="No"/>
    <s v="Bansal, Vishal, Md"/>
    <s v="TRACHEOSTOMY, PLANNED (SEPARATE PROCEDURE);"/>
    <s v="TRACHEOSTOMY, PLANNED (SEPARATE PROCEDURE); - N/A"/>
    <s v="Wed"/>
    <m/>
    <m/>
    <m/>
    <s v="BANSAL, VISHAL"/>
    <m/>
    <s v="Vishal Bansal, MD"/>
    <m/>
    <s v="Bansal"/>
  </r>
  <r>
    <d v="2026-08-19T00:00:00"/>
    <s v="6669963"/>
    <s v="Sanchez Gonzalez, Maria G"/>
    <s v="Inpatient"/>
    <x v="0"/>
    <n v="3400731207"/>
    <s v="400039214"/>
    <d v="1953-11-27T00:00:00"/>
    <s v="Vasant, Kris Kishore, MD"/>
    <s v="General"/>
    <s v="3"/>
    <d v="1899-12-30T17:08:00"/>
    <d v="1899-12-30T22:05:00"/>
    <n v="297"/>
    <d v="1899-12-30T17:00:00"/>
    <d v="1899-12-30T20:10:00"/>
    <n v="200"/>
    <d v="1899-12-30T18:30:00"/>
    <d v="1899-12-30T21:51:00"/>
    <n v="201"/>
    <d v="1899-12-30T19:08:00"/>
    <d v="1899-12-30T21:37:00"/>
    <d v="1899-12-30T21:51:00"/>
    <n v="201"/>
    <n v="149"/>
    <m/>
    <m/>
    <m/>
    <m/>
    <m/>
    <m/>
    <s v="SHME OR 01"/>
    <s v="Neurosurgery"/>
    <s v="Yes"/>
    <s v="Zauner, Alois, Md"/>
    <s v="CRANIECTOMY OR CRANIOTOMY FOR EVACUATION OF HEMATOMA, SUPRATENTORIAL;INTRACEREBRAL_x000a_MICROSURGICAL TECHNIQUES, REQUIRING USE OF OPERATING MICROSCOPE (LISTSEPARATELY IN ADDITION TO CODE FOR PRIMARY PROCEDURE)_x000a_STEREOTACTIC COMPUTER-ASSISTED (NAVIGATIONAL) PROCEDURE; CRANIAL,INTRADURAL (LIST SEPARATELY IN ADDITION TO CODE FOR PRIMARY PROCEDURE)"/>
    <s v="RIGHT SIDED CRANIOTOMY FOR INTRACEREBRAL HEMORRHAGE EVACUATION - Right"/>
    <s v="Wed"/>
    <m/>
    <m/>
    <m/>
    <s v="ZAUNER, ALOIS"/>
    <m/>
    <s v="Alois Zauner, MD"/>
    <m/>
    <s v="Zauner"/>
  </r>
  <r>
    <d v="2026-08-19T00:00:00"/>
    <s v="6670417"/>
    <s v="Ligon, Omar Terell"/>
    <s v="Inpatient"/>
    <x v="0"/>
    <n v="3901455567"/>
    <s v="811021823"/>
    <d v="1977-10-14T00:00:00"/>
    <s v="Patel, Lance Kirit, MD"/>
    <s v="Regional"/>
    <s v="2"/>
    <d v="1899-12-30T17:14:00"/>
    <d v="1899-12-30T19:28:00"/>
    <n v="134"/>
    <d v="1899-12-30T17:00:00"/>
    <d v="1899-12-30T17:30:00"/>
    <n v="60"/>
    <d v="1899-12-30T17:14:00"/>
    <d v="1899-12-30T19:18:00"/>
    <n v="124"/>
    <d v="1899-12-30T17:47:00"/>
    <d v="1899-12-30T19:11:00"/>
    <d v="1899-12-30T19:18:00"/>
    <n v="124"/>
    <n v="84"/>
    <d v="1899-12-30T19:20:00"/>
    <d v="1899-12-30T20:07:24"/>
    <n v="47"/>
    <m/>
    <m/>
    <m/>
    <s v="SHME OR 06"/>
    <s v="Podiatry"/>
    <s v="No"/>
    <s v="Cullen, Benjamin Dennis, Dpm"/>
    <s v="ARTHROSCOPY, ANKLE (TIBIOTALAR AND FIBULOTALAR JOINTS), SURGICAL; WITHREMOVAL OF LOOSE BODY OR FOREIGN BODY"/>
    <s v="Right ankle arthroscopy with right ankle syndesmosis revision_x000a__x000a_ARTHROSCOPY, ANKLE (TIBIOTALAR AND FIBULOTALAR JOINTS), SURGICAL; WITHREMOVAL OF LOOSE BODY OR FOREIGN BODY - Right"/>
    <s v="Wed"/>
    <m/>
    <m/>
    <m/>
    <s v="CULLEN, BENJAMIN DENNIS"/>
    <m/>
    <s v="Benjamin Dennis Cullen, DPM"/>
    <m/>
    <s v="Cullen"/>
  </r>
  <r>
    <d v="2026-08-20T00:00:00"/>
    <s v="6533230"/>
    <s v="Estrada, Carmen L"/>
    <s v="Inpatient"/>
    <x v="0"/>
    <n v="3901429756"/>
    <s v="810914790"/>
    <d v="2003-05-17T00:00:00"/>
    <s v="Epps, Michelle Tatum, MD"/>
    <s v="Regional"/>
    <s v="2"/>
    <d v="1899-12-30T07:33:00"/>
    <d v="1899-12-30T11:25:00"/>
    <n v="232"/>
    <d v="1899-12-30T07:30:00"/>
    <d v="1899-12-30T11:30:00"/>
    <n v="240"/>
    <d v="1899-12-30T07:33:00"/>
    <d v="1899-12-30T11:20:00"/>
    <n v="227"/>
    <d v="1899-12-30T08:32:00"/>
    <d v="1899-12-30T11:06:00"/>
    <d v="1899-12-30T11:20:00"/>
    <n v="227"/>
    <n v="154"/>
    <d v="1899-12-30T11:26:34"/>
    <d v="1899-12-30T12:08:10"/>
    <n v="42"/>
    <m/>
    <m/>
    <m/>
    <s v="SHME OR 10"/>
    <s v="Urology"/>
    <s v="No"/>
    <s v="Salem, Carol Elizabeth, Md"/>
    <s v="NEPHRECTOMY, PARTIAL"/>
    <s v="OPEN LEFT PARTIAL NEPHRECTOMY - Left"/>
    <s v="Thu"/>
    <m/>
    <m/>
    <m/>
    <s v="SALEM, CAROL ELIZABETH"/>
    <m/>
    <s v="Carol Elizabeth Salem, MD"/>
    <m/>
    <s v="Salem"/>
  </r>
  <r>
    <d v="2026-08-20T00:00:00"/>
    <s v="6535240"/>
    <s v="O'Sullivan, Kevin G"/>
    <s v="Outpatient"/>
    <x v="1"/>
    <n v="3901430154"/>
    <s v="810058002"/>
    <d v="1956-03-09T00:00:00"/>
    <s v="Epps, Michelle Tatum, MD"/>
    <s v="General"/>
    <s v="2"/>
    <d v="1899-12-30T13:01:00"/>
    <d v="1899-12-30T13:42:00"/>
    <n v="41"/>
    <d v="1899-12-30T13:15:00"/>
    <d v="1899-12-30T14:00:00"/>
    <n v="45"/>
    <d v="1899-12-30T13:01:00"/>
    <d v="1899-12-30T13:37:00"/>
    <n v="36"/>
    <d v="1899-12-30T13:17:00"/>
    <d v="1899-12-30T13:33:00"/>
    <d v="1899-12-30T13:37:00"/>
    <n v="36"/>
    <n v="16"/>
    <d v="1899-12-30T13:43:43"/>
    <d v="1899-12-30T15:01:00"/>
    <n v="78"/>
    <d v="1899-12-30T15:02:00"/>
    <d v="1899-12-30T16:33:00"/>
    <n v="91"/>
    <s v="SHME OR 10"/>
    <s v="Urology"/>
    <s v="No"/>
    <s v="Salem, Carol Elizabeth, Md"/>
    <s v="CYSTOURETHROSCOPY, WITH BIOPSY(S)"/>
    <s v="CYSTOSCOPY WITH BLADDER BIOSPY AND GEMCITABINE BLADDER INSTILLATION - N/A"/>
    <s v="Thu"/>
    <m/>
    <m/>
    <m/>
    <s v="SALEM, CAROL ELIZABETH"/>
    <m/>
    <s v="Carol Elizabeth Salem, MD"/>
    <m/>
    <s v="Salem"/>
  </r>
  <r>
    <d v="2026-08-20T00:00:00"/>
    <s v="6535256"/>
    <s v="Babiarz, Stacey A"/>
    <s v="Outpatient"/>
    <x v="1"/>
    <n v="3901430157"/>
    <s v="810865077"/>
    <d v="1955-07-02T00:00:00"/>
    <s v="Epps, Michelle Tatum, MD"/>
    <s v="General"/>
    <s v="3"/>
    <d v="1899-12-30T14:00:00"/>
    <d v="1899-12-30T14:37:00"/>
    <n v="37"/>
    <d v="1899-12-30T14:30:00"/>
    <d v="1899-12-30T15:15:00"/>
    <n v="45"/>
    <d v="1899-12-30T14:00:00"/>
    <d v="1899-12-30T14:32:00"/>
    <n v="32"/>
    <d v="1899-12-30T14:13:00"/>
    <d v="1899-12-30T14:27:00"/>
    <d v="1899-12-30T14:32:00"/>
    <n v="32"/>
    <n v="14"/>
    <d v="1899-12-30T14:36:14"/>
    <d v="1899-12-30T15:15:00"/>
    <n v="39"/>
    <d v="1899-12-30T15:16:00"/>
    <d v="1899-12-30T16:01:00"/>
    <n v="45"/>
    <s v="SHME OR 10"/>
    <s v="Urology"/>
    <s v="No"/>
    <s v="Salem, Carol Elizabeth, Md"/>
    <s v="CYSTOURETHROSCOPY, WITH BIOPSY(S)"/>
    <s v="CYSTOSCOPY WITH BLADDER BIOPSY - N/A"/>
    <s v="Thu"/>
    <m/>
    <m/>
    <m/>
    <s v="SALEM, CAROL ELIZABETH"/>
    <m/>
    <s v="Carol Elizabeth Salem, MD"/>
    <m/>
    <s v="Salem"/>
  </r>
  <r>
    <d v="2026-08-20T00:00:00"/>
    <s v="6558935"/>
    <s v="Smith, Daniel W"/>
    <s v="Outpatient"/>
    <x v="1"/>
    <n v="3901434056"/>
    <s v="110204095"/>
    <d v="1981-11-13T00:00:00"/>
    <s v="Fan, Ting-Wei, MD"/>
    <s v="General"/>
    <s v="2"/>
    <d v="1899-12-30T10:11:00"/>
    <d v="1899-12-30T11:25:00"/>
    <n v="74"/>
    <d v="1899-12-30T11:00:00"/>
    <d v="1899-12-30T12:00:00"/>
    <n v="60"/>
    <d v="1899-12-30T10:11:00"/>
    <d v="1899-12-30T11:16:00"/>
    <n v="65"/>
    <d v="1899-12-30T10:33:00"/>
    <d v="1899-12-30T11:07:00"/>
    <d v="1899-12-30T11:16:00"/>
    <n v="65"/>
    <n v="34"/>
    <d v="1899-12-30T11:18:12"/>
    <d v="1899-12-30T12:15:02"/>
    <n v="57"/>
    <m/>
    <m/>
    <m/>
    <s v="SHME OR 03"/>
    <s v="ENT"/>
    <s v="No"/>
    <s v="Mansfield, Perry Thomas, Md, Frcpc"/>
    <s v="SEPTOPLASTY OR SUBMUCOUS RESECTION, WITH OR WITHOUT CARTILAGE SCORING,CONTOURING OR REPLACEMENT WITH GRAFT_x000a_CARTILAGE GRAFT; NASAL SEPTUM_x000a_REPAIR OF NASAL VESTIBULAR STENOSIS (EG, SPREADER GRAFTING, LATERALNASAL WALL RECONSTRUCTION)_x000a_REPAIR, COMPLEX, EYELIDS, NOSE, EARS AND/OR LIPS; 1.1 CM TO 2.5 CM_x000a_EXCISION OF BONE (EG, FOR OSTEOMYELITIS OR BONE ABSCESS); FACIAL BONE(S)_x000a_NASAL/SINUS ENDOSCOPY, SURGICAL; WITH BIOPSY, POLYPECTOMY OR DEBRIDEMENT(SEPARATE PROCEDURE)"/>
    <s v="SEPTOPLASTY, NASAL SEPTUM CARTILAGE GRAFT, BILATERAL REPAIR VESTIBULAR STENOSIS, BILATERAL ENDOSCOPIC NASAL POLYPECTOMY AND DEBRIDEMENT - Bilateral"/>
    <s v="Thu"/>
    <m/>
    <m/>
    <m/>
    <s v="MANSFIELD, PERRY THOMAS"/>
    <m/>
    <s v="Perry Thomas Mansfield, MD, FRCPC"/>
    <m/>
    <s v="Mansfield"/>
  </r>
  <r>
    <d v="2026-08-20T00:00:00"/>
    <s v="6563354"/>
    <s v="Sada, Rudolph M"/>
    <s v="Outpatient"/>
    <x v="1"/>
    <n v="3901434831"/>
    <s v="700590725"/>
    <d v="1946-10-03T00:00:00"/>
    <s v="Epps, Michelle Tatum, MD"/>
    <s v="General"/>
    <s v="3"/>
    <d v="1899-12-30T14:53:00"/>
    <d v="1899-12-30T15:31:00"/>
    <n v="38"/>
    <d v="1899-12-30T15:45:00"/>
    <d v="1899-12-30T16:30:00"/>
    <n v="45"/>
    <d v="1899-12-30T14:53:00"/>
    <d v="1899-12-30T15:26:00"/>
    <n v="33"/>
    <d v="1899-12-30T15:09:00"/>
    <d v="1899-12-30T15:23:00"/>
    <d v="1899-12-30T15:26:00"/>
    <n v="33"/>
    <n v="14"/>
    <d v="1899-12-30T15:30:00"/>
    <d v="1899-12-30T16:00:00"/>
    <n v="30"/>
    <d v="1899-12-30T16:00:00"/>
    <d v="1899-12-30T17:05:07"/>
    <n v="65"/>
    <s v="SHME OR 10"/>
    <s v="Urology"/>
    <s v="No"/>
    <s v="Salem, Carol Elizabeth, Md"/>
    <s v="CYSTOURETHROSCOPY, WITH BIOPSY(S)"/>
    <s v="BLUE LIGHT CYSTOSCOPY WITH BLADDER BIOPSY - N/A"/>
    <s v="Thu"/>
    <m/>
    <m/>
    <m/>
    <s v="SALEM, CAROL ELIZABETH"/>
    <m/>
    <s v="Carol Elizabeth Salem, MD"/>
    <m/>
    <s v="Salem"/>
  </r>
  <r>
    <d v="2026-08-20T00:00:00"/>
    <s v="6567358"/>
    <s v="Luna-Lopez, Catalina"/>
    <s v="Outpatient"/>
    <x v="1"/>
    <n v="3901438208"/>
    <s v="400109573"/>
    <d v="1976-12-02T00:00:00"/>
    <s v="Luu, Tiffany, MD"/>
    <s v="General"/>
    <s v="2"/>
    <d v="1899-12-30T07:39:00"/>
    <d v="1899-12-30T09:21:00"/>
    <n v="102"/>
    <d v="1899-12-30T07:30:00"/>
    <d v="1899-12-30T09:45:00"/>
    <n v="135"/>
    <d v="1899-12-30T07:39:00"/>
    <d v="1899-12-30T09:15:00"/>
    <n v="96"/>
    <d v="1899-12-30T08:09:00"/>
    <d v="1899-12-30T09:07:00"/>
    <d v="1899-12-30T09:15:00"/>
    <n v="96"/>
    <n v="58"/>
    <d v="1899-12-30T09:20:00"/>
    <d v="1899-12-30T11:45:00"/>
    <n v="145"/>
    <d v="1899-12-30T11:45:00"/>
    <d v="1899-12-30T12:16:00"/>
    <n v="31"/>
    <s v="SHME OR 05"/>
    <s v="Gynecology"/>
    <s v="No"/>
    <s v="Sandoval, Rebeca, Md"/>
    <s v="LAPAROSCOPY, SURGICAL, WITH TOTAL HYSTERECTOMY, FOR UTERUS 250 G ORLESS; WITH REMOVAL OF TUBE(S) AND/OR OVARY(S)"/>
    <s v="ROBOTIC ASSISTED TOTAL LAPAROSCOPIC HYSTERECTOMY WITH BILATERAL SALPINGO-OOPHORECTOMY - Bilateral"/>
    <s v="Thu"/>
    <m/>
    <m/>
    <m/>
    <s v="SANDOVAL, REBECA_x000a_HUI, KIM"/>
    <s v="Panel 1: Dr. Sandoval, Rebeca, MD / Hui, Kim, MD"/>
    <s v="Rebeca Sandoval, MD"/>
    <m/>
    <s v="Sandoval"/>
  </r>
  <r>
    <d v="2026-08-20T00:00:00"/>
    <s v="6375571"/>
    <s v="Zeitounian, Allison R"/>
    <s v="Outpatient"/>
    <x v="1"/>
    <n v="3901399733"/>
    <s v="610022461"/>
    <d v="1988-03-22T00:00:00"/>
    <s v="Ramos, Joshua Neftalie, MD"/>
    <s v="General"/>
    <s v="2"/>
    <d v="1899-12-30T13:27:00"/>
    <d v="1899-12-30T14:12:00"/>
    <n v="45"/>
    <d v="1899-12-30T13:15:00"/>
    <d v="1899-12-30T14:00:00"/>
    <n v="45"/>
    <d v="1899-12-30T13:27:00"/>
    <d v="1899-12-30T14:03:00"/>
    <n v="36"/>
    <d v="1899-12-30T13:44:00"/>
    <d v="1899-12-30T13:52:00"/>
    <d v="1899-12-30T14:03:00"/>
    <n v="36"/>
    <n v="8"/>
    <d v="1899-12-30T14:05:00"/>
    <d v="1899-12-30T15:01:00"/>
    <n v="56"/>
    <d v="1899-12-30T15:01:00"/>
    <d v="1899-12-30T15:15:20"/>
    <n v="14"/>
    <s v="SHME OR 02"/>
    <s v="Obstetrics"/>
    <s v="No"/>
    <s v="Cardenas, Michael Edward, Md"/>
    <s v="HYSTEROSCOPY, SURGICAL; WITH REMOVAL OF IMPACTED FOREIGN BODY"/>
    <s v="HYSTEROSCOPY, IUD REMOVAL - N/A"/>
    <s v="Thu"/>
    <m/>
    <m/>
    <m/>
    <s v="CARDENAS, MICHAEL EDWARD"/>
    <m/>
    <s v="Michael Edward Cardenas, MD"/>
    <m/>
    <s v="Cardenas"/>
  </r>
  <r>
    <d v="2026-08-20T00:00:00"/>
    <s v="6601693"/>
    <s v="Amantea, Jason A"/>
    <s v="Outpatient"/>
    <x v="1"/>
    <n v="3901442493"/>
    <s v="611895731"/>
    <d v="1971-06-17T00:00:00"/>
    <s v="Nelson, Jesse Stuart, DO"/>
    <s v="General"/>
    <s v="2"/>
    <d v="1899-12-30T08:54:00"/>
    <d v="1899-12-30T09:48:00"/>
    <n v="54"/>
    <d v="1899-12-30T08:45:00"/>
    <d v="1899-12-30T09:30:00"/>
    <n v="45"/>
    <d v="1899-12-30T08:54:00"/>
    <d v="1899-12-30T09:40:00"/>
    <n v="46"/>
    <d v="1899-12-30T09:08:00"/>
    <d v="1899-12-30T09:29:00"/>
    <d v="1899-12-30T09:40:00"/>
    <n v="46"/>
    <n v="21"/>
    <d v="1899-12-30T09:37:00"/>
    <d v="1899-12-30T12:54:00"/>
    <n v="197"/>
    <d v="1899-12-30T12:55:00"/>
    <d v="1899-12-30T13:54:00"/>
    <n v="59"/>
    <s v="SHME OR 16"/>
    <s v="Urology"/>
    <s v="No"/>
    <s v="Holden, Marc Mccaslin, Md"/>
    <s v="CYSTOURETHROSCOPY, WITH FULGURATION (INCLUDING CRYOSURGERY OR LASERSURGERY) AND/OR RESECTION OF; LARGE BLADDER TUMOR(S)"/>
    <s v="CYSTOSCOPY WITH FULGURATION/ RESECTION OF BLADDER TUMORS - N/A"/>
    <s v="Thu"/>
    <m/>
    <m/>
    <m/>
    <s v="HOLDEN, MARC MCCASLIN"/>
    <m/>
    <s v="Marc McCaslin Holden, MD"/>
    <m/>
    <s v="Holden"/>
  </r>
  <r>
    <d v="2026-08-20T00:00:00"/>
    <s v="6601749"/>
    <s v="Ross, Anthony D"/>
    <s v="Outpatient"/>
    <x v="1"/>
    <n v="3901442497"/>
    <s v="700401445"/>
    <d v="1957-12-20T00:00:00"/>
    <s v="Nelson, Jesse Stuart, DO"/>
    <s v="General"/>
    <s v="2"/>
    <d v="1899-12-30T09:58:00"/>
    <d v="1899-12-30T10:45:00"/>
    <n v="47"/>
    <d v="1899-12-30T10:00:00"/>
    <d v="1899-12-30T10:45:00"/>
    <n v="45"/>
    <d v="1899-12-30T09:58:00"/>
    <d v="1899-12-30T10:37:00"/>
    <n v="39"/>
    <d v="1899-12-30T10:17:00"/>
    <d v="1899-12-30T10:32:00"/>
    <d v="1899-12-30T10:37:00"/>
    <n v="39"/>
    <n v="15"/>
    <d v="1899-12-30T10:40:00"/>
    <d v="1899-12-30T12:01:00"/>
    <n v="81"/>
    <d v="1899-12-30T12:01:00"/>
    <d v="1899-12-30T12:45:00"/>
    <n v="44"/>
    <s v="SHME OR 16"/>
    <s v="Urology"/>
    <s v="No"/>
    <s v="Holden, Marc Mccaslin, Md"/>
    <s v="CYSTOURETHROSCOPY, WITH FULGURATION (INCLUDING CRYOSURGERY OR LASERSURGERY) AND/OR RESECTION OF; MEDIUM BLADDER TUMOR(S) (2.0 TO 5.0 CM)"/>
    <s v="CYSTOSCOPY WITH FULGURATION/ RESECTION OF BLADDER TUMORS - N/A"/>
    <s v="Thu"/>
    <m/>
    <m/>
    <m/>
    <s v="HOLDEN, MARC MCCASLIN"/>
    <m/>
    <s v="Marc McCaslin Holden, MD"/>
    <m/>
    <s v="Holden"/>
  </r>
  <r>
    <d v="2026-08-20T00:00:00"/>
    <s v="6601797"/>
    <s v="Fonseca Schacht, Nayelli"/>
    <s v="Outpatient"/>
    <x v="1"/>
    <n v="3901442508"/>
    <s v="811021345"/>
    <d v="1981-10-31T00:00:00"/>
    <s v="Nelson, Jesse Stuart, DO"/>
    <s v="General"/>
    <s v="2"/>
    <d v="1899-12-30T11:15:00"/>
    <d v="1899-12-30T12:17:00"/>
    <n v="62"/>
    <d v="1899-12-30T11:15:00"/>
    <d v="1899-12-30T12:15:00"/>
    <n v="60"/>
    <d v="1899-12-30T11:15:00"/>
    <d v="1899-12-30T12:07:00"/>
    <n v="52"/>
    <d v="1899-12-30T11:35:00"/>
    <d v="1899-12-30T12:03:00"/>
    <d v="1899-12-30T12:07:00"/>
    <n v="52"/>
    <n v="28"/>
    <d v="1899-12-30T12:10:10"/>
    <d v="1899-12-30T12:46:00"/>
    <n v="36"/>
    <d v="1899-12-30T12:46:00"/>
    <d v="1899-12-30T13:30:35"/>
    <n v="44"/>
    <s v="SHME OR 16"/>
    <s v="Urology"/>
    <s v="No"/>
    <s v="Holden, Marc Mccaslin, Md"/>
    <s v="CYSTOURETHROSCOPY, WITH URETEROSCOPY AND/OR PYELOSCOPY; WITHLITHOTRIPSY INCLUDING INSERTION OF INDWELLING URETERAL STENT (EG,GIBBONS OR DOUBLE-J TYPE)_x000a_CYSTOURETHROSCOPY, WITH URETEROSCOPY AND/OR PYELOSCOPY; DIAGNOSTIC_x000a_UROGRAPHY, RETROGRADE, WITH OR WITHOUT KUB"/>
    <s v="CYSTOSCOPY, RIGHT RETROGRADE PYELOGRAM, URETEROSCOPY, LASER LITHOTRIPSY AND URETERAL STENT PLACEMENT - Right"/>
    <s v="Thu"/>
    <m/>
    <m/>
    <m/>
    <s v="HOLDEN, MARC MCCASLIN"/>
    <m/>
    <s v="Marc McCaslin Holden, MD"/>
    <m/>
    <s v="Holden"/>
  </r>
  <r>
    <d v="2026-08-20T00:00:00"/>
    <s v="6601832"/>
    <s v="Romero, Esperanza"/>
    <s v="Inpatient"/>
    <x v="0"/>
    <n v="3901456139"/>
    <s v="810616631"/>
    <d v="1982-02-14T00:00:00"/>
    <s v="Nelson, Jesse Stuart, DO"/>
    <s v="General"/>
    <s v="3"/>
    <d v="1899-12-30T12:53:00"/>
    <d v="1899-12-30T13:40:00"/>
    <n v="47"/>
    <d v="1899-12-30T12:45:00"/>
    <d v="1899-12-30T13:45:00"/>
    <n v="60"/>
    <d v="1899-12-30T12:53:00"/>
    <d v="1899-12-30T13:31:00"/>
    <n v="38"/>
    <d v="1899-12-30T13:16:00"/>
    <d v="1899-12-30T13:28:00"/>
    <d v="1899-12-30T13:31:00"/>
    <n v="38"/>
    <n v="12"/>
    <d v="1899-12-30T13:32:00"/>
    <d v="1899-12-30T14:15:00"/>
    <n v="43"/>
    <m/>
    <m/>
    <m/>
    <s v="SHME OR 16"/>
    <s v="Urology"/>
    <s v="No"/>
    <s v="Holden, Marc Mccaslin, Md"/>
    <s v="CYSTOURETHROSCOPY, WITH URETEROSCOPY AND/OR PYELOSCOPY; WITHLITHOTRIPSY INCLUDING INSERTION OF INDWELLING URETERAL STENT (EG,GIBBONS OR DOUBLE-J TYPE)"/>
    <s v="CYSTOSCOPY, LEFT URETEROSCOPY, LASER LITHOTRIPSY WITH PLACEMENT OF LEFT URETERAL STENT - Left"/>
    <s v="Thu"/>
    <m/>
    <m/>
    <m/>
    <s v="HOLDEN, MARC MCCASLIN"/>
    <m/>
    <s v="Marc McCaslin Holden, MD"/>
    <m/>
    <s v="Holden"/>
  </r>
  <r>
    <d v="2026-08-20T00:00:00"/>
    <s v="6617553"/>
    <s v="Finch, Vicki"/>
    <s v="Outpatient"/>
    <x v="1"/>
    <n v="3901445808"/>
    <s v="604895711"/>
    <d v="1956-08-21T00:00:00"/>
    <s v="Nelson, Jesse Stuart, DO"/>
    <s v="General"/>
    <s v="3"/>
    <d v="1899-12-30T14:02:00"/>
    <d v="1899-12-30T15:14:00"/>
    <n v="72"/>
    <d v="1899-12-30T14:15:00"/>
    <d v="1899-12-30T15:15:00"/>
    <n v="60"/>
    <d v="1899-12-30T14:02:00"/>
    <d v="1899-12-30T15:04:00"/>
    <n v="62"/>
    <d v="1899-12-30T14:25:00"/>
    <d v="1899-12-30T14:54:00"/>
    <d v="1899-12-30T15:04:00"/>
    <n v="62"/>
    <n v="29"/>
    <d v="1899-12-30T15:07:52"/>
    <d v="1899-12-30T15:31:00"/>
    <n v="24"/>
    <d v="1899-12-30T15:32:00"/>
    <d v="1899-12-30T16:29:00"/>
    <n v="57"/>
    <s v="SHME OR 16"/>
    <s v="Urology"/>
    <s v="Yes"/>
    <s v="Holden, Marc Mccaslin, Md"/>
    <s v="CYSTOURETHROSCOPY WITH URETEROSCOPY; WITH TREATMENT OF URETEROPELVICJUNCTION STRICTURE (EG, BALLOON DILATION, LASER, ELECTROCAUTERY, ANDINCISION)"/>
    <s v="CYSTOSCOPY WITH LEFT URETEROSCOPY, TREATMENT OF URETEROPELVIC JUNCTION STRICTURE - Left"/>
    <s v="Thu"/>
    <m/>
    <m/>
    <m/>
    <s v="HOLDEN, MARC MCCASLIN"/>
    <m/>
    <s v="Marc McCaslin Holden, MD"/>
    <m/>
    <s v="Holden"/>
  </r>
  <r>
    <d v="2026-08-20T00:00:00"/>
    <s v="6427638"/>
    <s v="Brown, Phillip A"/>
    <s v="Outpatient"/>
    <x v="1"/>
    <n v="3901409758"/>
    <s v="810527977"/>
    <d v="1966-08-15T00:00:00"/>
    <s v="Rayan, Hany A, MD"/>
    <s v="Regional"/>
    <s v="2"/>
    <d v="1899-12-30T07:49:00"/>
    <d v="1899-12-30T09:43:00"/>
    <n v="114"/>
    <d v="1899-12-30T07:30:00"/>
    <d v="1899-12-30T09:15:00"/>
    <n v="105"/>
    <d v="1899-12-30T07:49:00"/>
    <d v="1899-12-30T09:36:00"/>
    <n v="107"/>
    <d v="1899-12-30T08:20:00"/>
    <d v="1899-12-30T09:28:00"/>
    <d v="1899-12-30T09:36:00"/>
    <n v="107"/>
    <n v="68"/>
    <d v="1899-12-30T09:40:00"/>
    <d v="1899-12-30T11:01:00"/>
    <n v="81"/>
    <d v="1899-12-30T11:02:00"/>
    <d v="1899-12-30T12:05:00"/>
    <n v="63"/>
    <s v="SHME OR 06"/>
    <s v="Orthopedics"/>
    <s v="No"/>
    <s v="Behr, Christopher Todd, Md"/>
    <s v="ARTHROSCOPY, SHOULDER, SURGICAL; WITH ROTATOR CUFF REPAIR_x000a_ARTHROSCOPY, SHOULDER, SURGICAL; CAPSULORRHAPHY_x000a_TENODESIS OF LONG TENDON OF BICEPS_x000a_ARTHROSCOPY, SHOULDER, SURGICAL; DEBRIDEMENT, EXTENSIVE"/>
    <s v="LEFT SHOULDER ARTHROSCOPIC ROTATOR CUFF REPAIR, BANKART REPAIR, SUBPECTORAL BICEPS TENODESIS, EXTENSIVE DEBRIDEMENT - Left"/>
    <s v="Thu"/>
    <m/>
    <m/>
    <m/>
    <s v="BEHR, CHRISTOPHER TODD"/>
    <m/>
    <s v="Christopher Todd Behr, MD"/>
    <m/>
    <s v="Behr"/>
  </r>
  <r>
    <d v="2026-08-20T00:00:00"/>
    <s v="6621275"/>
    <s v="Bastidas, Vanessa E"/>
    <s v="Outpatient"/>
    <x v="1"/>
    <n v="3901449772"/>
    <s v="810967288"/>
    <d v="1992-03-12T00:00:00"/>
    <s v="Luu, Tiffany, MD"/>
    <s v="General"/>
    <s v="1"/>
    <d v="1899-12-30T10:17:00"/>
    <d v="1899-12-30T13:37:00"/>
    <n v="200"/>
    <d v="1899-12-30T10:15:00"/>
    <d v="1899-12-30T12:45:00"/>
    <n v="150"/>
    <d v="1899-12-30T10:17:00"/>
    <d v="1899-12-30T13:33:00"/>
    <n v="196"/>
    <d v="1899-12-30T10:58:00"/>
    <d v="1899-12-30T13:26:00"/>
    <d v="1899-12-30T13:33:00"/>
    <n v="196"/>
    <n v="148"/>
    <d v="1899-12-30T13:39:01"/>
    <d v="1899-12-30T15:16:00"/>
    <n v="97"/>
    <d v="1899-12-30T15:16:00"/>
    <d v="1899-12-30T16:16:00"/>
    <n v="60"/>
    <s v="SHME OR 05"/>
    <s v="Gynecology"/>
    <s v="No"/>
    <s v="Hui, Kim, Md"/>
    <s v="LAPAROSCOPY, SURGICAL, MYOMECTOMY, EXCISION; 1 TO 4 INTRAMURAL MYOMASWITH TOTAL WEIGHT OF 250 G OR LESS AND/OR REMOVAL OF SURFACE MYOMAS"/>
    <s v="ROBOTIC MYOMECTOMY - N/A"/>
    <s v="Thu"/>
    <m/>
    <m/>
    <m/>
    <s v="HUI, KIM_x000a_SANDOVAL, REBECA"/>
    <s v="Panel 1: Dr. Hui, Kim, MD / Sandoval, Rebeca, MD"/>
    <s v="Kim Hui, MD (619-407-1011)"/>
    <m/>
    <s v="Hui"/>
  </r>
  <r>
    <d v="2026-08-20T00:00:00"/>
    <s v="6623117"/>
    <s v="Lopez, Jose Luis"/>
    <s v="Inpatient"/>
    <x v="0"/>
    <n v="3901446855"/>
    <s v="810582769"/>
    <d v="1948-07-25T00:00:00"/>
    <s v="Yehushua, Liora, MD"/>
    <s v="Regional"/>
    <s v="4"/>
    <d v="1899-12-30T06:21:00"/>
    <d v="1899-12-30T16:05:00"/>
    <n v="584"/>
    <d v="1899-12-30T06:15:00"/>
    <d v="1899-12-30T12:15:00"/>
    <n v="360"/>
    <d v="1899-12-30T06:21:00"/>
    <d v="1899-12-30T15:48:00"/>
    <n v="567"/>
    <d v="1899-12-30T08:25:00"/>
    <d v="1899-12-30T15:03:00"/>
    <d v="1899-12-30T15:48:00"/>
    <n v="567"/>
    <n v="398"/>
    <m/>
    <m/>
    <m/>
    <m/>
    <m/>
    <m/>
    <s v="SHME OR 08"/>
    <s v="Cardiothoracic"/>
    <s v="Yes"/>
    <s v="Williams, David Mccann, Md"/>
    <s v="CORONARY ARTERY BYPASS, USING ARTERIAL GRAFT(S); 3 CORONARY ARTERIALGRAFTS_x000a_ENDOSCOPY, SURGICAL, INCLUDING VIDEO-ASSISTED HARVEST OF VEIN(S) FORCORONARY ARTERY BYPASS PROCEDURE (LIST SEPARATELY IN ADDITION TO CODEFOR PRIMARY PROCEDURE)_x000a_HARVEST OF UPPER EXTREMITY ARTERY, 1 SEGMENT, FOR CORONARY ARTERY BYPASS PROCEDURE, OPEN"/>
    <s v="CORONARY ARTERY BYPASS GRAFT X 3-4; ENDOSCOPIC VEIN HARVEST; POSSIBLE ENDORADIAL ARTERY HARVEST - N/A"/>
    <s v="Thu"/>
    <m/>
    <m/>
    <m/>
    <s v="ISLAMI MANUCHEHRY, MOHAMMAD HOSEIN_x000a_WILLIAMS, DAVID MCCANN"/>
    <s v="Panel 1: Dr. Williams, David McCann, MD / Islami Manuchehry, Mohammad Hosein, MD"/>
    <s v="David McCann Williams, MD"/>
    <m/>
    <s v="Williams"/>
  </r>
  <r>
    <d v="2026-08-20T00:00:00"/>
    <s v="6627444"/>
    <s v="Barbosa, Rudy J"/>
    <s v="Outpatient"/>
    <x v="1"/>
    <n v="3901447599"/>
    <s v="810843378"/>
    <d v="1949-09-18T00:00:00"/>
    <s v="Ramos, Joshua Neftalie, MD"/>
    <s v="General"/>
    <s v="3"/>
    <d v="1899-12-30T07:31:00"/>
    <d v="1899-12-30T09:45:00"/>
    <n v="134"/>
    <d v="1899-12-30T07:30:00"/>
    <d v="1899-12-30T09:30:00"/>
    <n v="120"/>
    <d v="1899-12-30T07:31:00"/>
    <d v="1899-12-30T09:36:00"/>
    <n v="125"/>
    <d v="1899-12-30T08:05:00"/>
    <d v="1899-12-30T09:29:00"/>
    <d v="1899-12-30T09:36:00"/>
    <n v="125"/>
    <n v="84"/>
    <d v="1899-12-30T09:40:52"/>
    <d v="1899-12-30T10:58:00"/>
    <n v="78"/>
    <d v="1899-12-30T10:58:00"/>
    <d v="1899-12-30T12:00:52"/>
    <n v="62"/>
    <s v="SHME OR 09"/>
    <s v="General"/>
    <s v="No"/>
    <s v="Giurgiu, Dan I.N., Md"/>
    <s v="LAPAROSCOPY, SURGICAL; REPAIR INITIAL INGUINAL HERNIA"/>
    <s v="ROBOT REPAIR OF LEFT INGUINAL HERNIA WITH MESH, POSSIBLE BILATERAL, POSSIBLE OPEN. - Left"/>
    <s v="Thu"/>
    <m/>
    <m/>
    <m/>
    <s v="GIURGIU, DAN I.N."/>
    <m/>
    <s v="Dan I.N. Giurgiu, MD (619-330-8330)"/>
    <m/>
    <s v="Giurgiu"/>
  </r>
  <r>
    <d v="2026-08-20T00:00:00"/>
    <s v="6634034"/>
    <s v="Hitchings, Jeri A"/>
    <s v="Inpatient"/>
    <x v="0"/>
    <n v="3901448745"/>
    <s v="610560731"/>
    <d v="1967-05-12T00:00:00"/>
    <s v="Stradleigh, Ryan Kellian, DO"/>
    <s v="General"/>
    <s v="3"/>
    <d v="1899-12-30T09:41:00"/>
    <d v="1899-12-30T12:14:00"/>
    <n v="153"/>
    <d v="1899-12-30T09:45:00"/>
    <d v="1899-12-30T12:00:00"/>
    <n v="135"/>
    <d v="1899-12-30T09:41:00"/>
    <d v="1899-12-30T12:09:00"/>
    <n v="148"/>
    <d v="1899-12-30T10:20:00"/>
    <d v="1899-12-30T12:02:00"/>
    <d v="1899-12-30T12:09:00"/>
    <n v="148"/>
    <n v="102"/>
    <d v="1899-12-30T12:10:41"/>
    <d v="1899-12-30T13:06:00"/>
    <n v="56"/>
    <m/>
    <m/>
    <m/>
    <s v="SHME OR 04"/>
    <s v="Orthopedics"/>
    <s v="No"/>
    <s v="Schultz, Jeffrey Eugene, Md"/>
    <s v="ARTHROPLASTY, ACETABULAR AND PROXIMAL FEMORAL PROSTHETIC REPLACEMENT(TOTAL HIP ARTHROPLASTY), WITH OR WITHOUT AUTOGRAFT OR ALLOGRAFT"/>
    <s v="RIGHT TOTAL HIP REPLACEMENT - Right"/>
    <s v="Thu"/>
    <m/>
    <m/>
    <m/>
    <s v="SCHULTZ, JEFFREY EUGENE"/>
    <m/>
    <s v="Jeffrey Eugene Schultz, MD"/>
    <m/>
    <s v="Schultz"/>
  </r>
  <r>
    <d v="2026-08-20T00:00:00"/>
    <s v="6640261"/>
    <s v="Zuckerman, Bob H"/>
    <s v="Outpatient"/>
    <x v="1"/>
    <n v="3901450081"/>
    <s v="700244258"/>
    <d v="1954-04-22T00:00:00"/>
    <s v="Nelson, Jesse Stuart, DO"/>
    <s v="General"/>
    <s v="2"/>
    <d v="1899-12-30T07:39:00"/>
    <d v="1899-12-30T08:31:00"/>
    <n v="52"/>
    <d v="1899-12-30T07:30:00"/>
    <d v="1899-12-30T08:15:00"/>
    <n v="45"/>
    <d v="1899-12-30T07:39:00"/>
    <d v="1899-12-30T08:22:00"/>
    <n v="43"/>
    <d v="1899-12-30T07:58:00"/>
    <d v="1899-12-30T08:19:00"/>
    <d v="1899-12-30T08:22:00"/>
    <n v="43"/>
    <n v="21"/>
    <d v="1899-12-30T08:25:00"/>
    <d v="1899-12-30T09:16:00"/>
    <n v="51"/>
    <d v="1899-12-30T09:17:00"/>
    <d v="1899-12-30T10:40:00"/>
    <n v="83"/>
    <s v="SHME OR 16"/>
    <s v="Urology"/>
    <s v="No"/>
    <s v="Holden, Marc Mccaslin, Md"/>
    <s v="CYSTOURETHROSCOPY, WITH FULGURATION (INCLUDING CRYOSURGERY OR LASERSURGERY) AND/OR RESECTION OF; MEDIUM BLADDER TUMOR(S) (2.0 TO 5.0 CM)"/>
    <s v="CYSTOSCOPY WITH FULGURATION OR RESECTION OF BLADDER TUMORS - N/A"/>
    <s v="Thu"/>
    <m/>
    <m/>
    <m/>
    <s v="HOLDEN, MARC MCCASLIN"/>
    <m/>
    <s v="Marc McCaslin Holden, MD"/>
    <m/>
    <s v="Holden"/>
  </r>
  <r>
    <d v="2026-08-20T00:00:00"/>
    <s v="6647864"/>
    <s v="Daulat, Anand J"/>
    <s v="Outpatient"/>
    <x v="1"/>
    <n v="3901452898"/>
    <s v="810274673"/>
    <d v="1979-02-23T00:00:00"/>
    <s v="Kim, Eung Do, MD"/>
    <s v="General"/>
    <s v="1"/>
    <d v="1899-12-30T07:38:00"/>
    <d v="1899-12-30T09:37:00"/>
    <n v="119"/>
    <d v="1899-12-30T07:30:00"/>
    <d v="1899-12-30T09:15:00"/>
    <n v="105"/>
    <d v="1899-12-30T07:38:00"/>
    <d v="1899-12-30T09:31:00"/>
    <n v="113"/>
    <d v="1899-12-30T08:03:00"/>
    <d v="1899-12-30T09:22:00"/>
    <d v="1899-12-30T09:31:00"/>
    <n v="113"/>
    <n v="79"/>
    <d v="1899-12-30T09:32:31"/>
    <d v="1899-12-30T11:01:00"/>
    <n v="89"/>
    <d v="1899-12-30T11:02:00"/>
    <d v="1899-12-30T12:04:00"/>
    <n v="62"/>
    <s v="SHME OR 15"/>
    <s v="General"/>
    <s v="No"/>
    <s v="Fuller, William Daniel, Md"/>
    <s v="LAPAROSCOPY, SURGICAL; REPAIR INITIAL INGUINAL HERNIA"/>
    <s v="ROBOTIC, POSSIBLE OPEN LEFT INGUINAL HERNIA REPAIR WITH MESH - Left"/>
    <s v="Thu"/>
    <m/>
    <m/>
    <m/>
    <s v="FULLER, WILLIAM DANIEL"/>
    <m/>
    <s v="William Daniel Fuller, MD"/>
    <m/>
    <s v="Fuller"/>
  </r>
  <r>
    <d v="2026-08-20T00:00:00"/>
    <s v="6651595"/>
    <s v="Pelayo, Clemente"/>
    <s v="Outpatient"/>
    <x v="1"/>
    <n v="3901452155"/>
    <s v="701658990"/>
    <d v="1944-11-23T00:00:00"/>
    <s v="Epps, Michelle Tatum, MD"/>
    <s v="General"/>
    <s v="3"/>
    <d v="1899-12-30T12:05:00"/>
    <d v="1899-12-30T12:40:00"/>
    <n v="35"/>
    <d v="1899-12-30T12:00:00"/>
    <d v="1899-12-30T12:45:00"/>
    <n v="45"/>
    <d v="1899-12-30T12:05:00"/>
    <d v="1899-12-30T12:34:00"/>
    <n v="29"/>
    <d v="1899-12-30T12:23:00"/>
    <d v="1899-12-30T12:31:00"/>
    <d v="1899-12-30T12:34:00"/>
    <n v="29"/>
    <n v="8"/>
    <d v="1899-12-30T12:35:00"/>
    <d v="1899-12-30T14:30:00"/>
    <n v="115"/>
    <d v="1899-12-30T14:30:00"/>
    <d v="1899-12-30T15:18:00"/>
    <n v="48"/>
    <s v="SHME OR 10"/>
    <s v="Urology"/>
    <s v="Yes"/>
    <s v="Salem, Carol Elizabeth, Md"/>
    <s v="CYSTOURETHROSCOPY (SEPARATE PROCEDURE)_x000a_CYSTOGRAPHY, MINIMUM OF 3 VIEWS, RADIOLOGICAL SUPERVISION ANDINTERPRETATION"/>
    <s v="CYSTOSCOPY, CYSTOGRAM - N/A"/>
    <s v="Thu"/>
    <m/>
    <m/>
    <m/>
    <s v="SALEM, CAROL ELIZABETH"/>
    <m/>
    <s v="Carol Elizabeth Salem, MD"/>
    <m/>
    <s v="Salem"/>
  </r>
  <r>
    <d v="2026-08-20T00:00:00"/>
    <s v="6652861"/>
    <s v="Hydrick, William P"/>
    <s v="Outpatient"/>
    <x v="1"/>
    <n v="3901452377"/>
    <s v="100476427"/>
    <d v="1939-02-22T00:00:00"/>
    <s v="Rayan, Hany A, MD"/>
    <s v="General"/>
    <s v="2"/>
    <d v="1899-12-30T10:11:00"/>
    <d v="1899-12-30T11:40:00"/>
    <n v="89"/>
    <d v="1899-12-30T09:45:00"/>
    <d v="1899-12-30T10:45:00"/>
    <n v="60"/>
    <d v="1899-12-30T10:11:00"/>
    <d v="1899-12-30T11:34:00"/>
    <n v="83"/>
    <d v="1899-12-30T10:27:00"/>
    <d v="1899-12-30T11:28:00"/>
    <d v="1899-12-30T11:34:00"/>
    <n v="83"/>
    <n v="61"/>
    <d v="1899-12-30T11:40:42"/>
    <d v="1899-12-30T13:00:00"/>
    <n v="80"/>
    <d v="1899-12-30T13:01:00"/>
    <d v="1899-12-30T13:49:00"/>
    <n v="48"/>
    <s v="SHME OR 06"/>
    <s v="Urology"/>
    <s v="No"/>
    <s v="Roberts, James Lincoln, Md"/>
    <s v="RESECTION OF SCROTUM"/>
    <s v="EXCISION OF SCOTAL LESION - N/A"/>
    <s v="Thu"/>
    <m/>
    <m/>
    <m/>
    <s v="ROBERTS, JAMES LINCOLN"/>
    <m/>
    <s v="James Lincoln Roberts, MD"/>
    <m/>
    <s v="Roberts"/>
  </r>
  <r>
    <d v="2026-08-20T00:00:00"/>
    <s v="6655375"/>
    <s v="Lung, Josefina"/>
    <s v="Outpatient"/>
    <x v="1"/>
    <n v="3901452792"/>
    <s v="701468458"/>
    <d v="1946-10-16T00:00:00"/>
    <s v="Oleske, Alexandra Argyro, DO"/>
    <s v="Regional"/>
    <s v="3"/>
    <d v="1899-12-30T12:42:00"/>
    <d v="1899-12-30T15:35:00"/>
    <n v="173"/>
    <d v="1899-12-30T11:15:00"/>
    <d v="1899-12-30T14:00:00"/>
    <n v="165"/>
    <d v="1899-12-30T12:42:00"/>
    <d v="1899-12-30T15:31:00"/>
    <n v="169"/>
    <d v="1899-12-30T13:25:00"/>
    <d v="1899-12-30T15:14:00"/>
    <d v="1899-12-30T15:31:00"/>
    <n v="169"/>
    <n v="109"/>
    <d v="1899-12-30T15:35:42"/>
    <d v="1899-12-30T15:54:23"/>
    <n v="19"/>
    <m/>
    <m/>
    <m/>
    <s v="SHME OR 06"/>
    <s v="Orthopedics"/>
    <s v="Yes"/>
    <s v="Kansara, Devanshu Velji, Md"/>
    <s v="ARTHROPLASTY, GLENOHUMERAL JOINT; TOTAL SHOULDER (GLENOID AND PROXIMALHUMERAL REPLACEMENT (EG, TOTAL SHOULDER))_x000a_OPEN TREATMENT OF PROXIMAL HUMERAL (SURGICAL OR ANATOMICAL NECK)FRACTURE, INCLUDES INTERNAL FIXATION, WHEN PERFORMED, INCLUDES REPAIR OFTUBEROSITY(S), WHEN PERFORMED;"/>
    <s v="OPEN REDUCTION INTERNAL FIXATION PROXIMAL HUMERUS, POSSIBLE REVERSE LEFT SHOULDER ARTHROPLASTY - Left"/>
    <s v="Thu"/>
    <m/>
    <m/>
    <m/>
    <s v="KANSARA, DEVANSHU VELJI"/>
    <m/>
    <s v="Devanshu Velji Kansara, MD"/>
    <m/>
    <s v="Kansara"/>
  </r>
  <r>
    <d v="2026-08-20T00:00:00"/>
    <s v="6657708"/>
    <s v="Grayson, Charles"/>
    <s v="Outpatient"/>
    <x v="1"/>
    <n v="3901454056"/>
    <s v="810101711"/>
    <d v="1964-08-21T00:00:00"/>
    <s v="Kim, Eung Do, MD"/>
    <s v="General"/>
    <s v="3"/>
    <d v="1899-12-30T10:03:00"/>
    <d v="1899-12-30T12:39:00"/>
    <n v="156"/>
    <d v="1899-12-30T09:45:00"/>
    <d v="1899-12-30T11:45:00"/>
    <n v="120"/>
    <d v="1899-12-30T10:03:00"/>
    <d v="1899-12-30T12:36:00"/>
    <n v="153"/>
    <d v="1899-12-30T10:18:00"/>
    <d v="1899-12-30T12:31:00"/>
    <d v="1899-12-30T12:36:00"/>
    <n v="153"/>
    <n v="133"/>
    <d v="1899-12-30T12:39:19"/>
    <d v="1899-12-30T13:19:00"/>
    <n v="40"/>
    <m/>
    <m/>
    <m/>
    <s v="SHME OR 14"/>
    <s v="General"/>
    <s v="Yes"/>
    <s v="Fuller, William Daniel, Md"/>
    <s v="LAPAROSCOPY, SURGICAL, REPAIR OF PARAESOPHAGEAL HERNIA, INCLUDESFUNDOPLASTY, WHEN PERFORMED; WITHOUT IMPLANTATION OF MESH"/>
    <s v="LAPAROSCOPIC POSSIBLE OPEN_x000a_PARAOESOPHAGEAL HERNIA REPAIR - N/A"/>
    <s v="Thu"/>
    <m/>
    <m/>
    <m/>
    <s v="FULLER, WILLIAM DANIEL"/>
    <m/>
    <s v="William Daniel Fuller, MD"/>
    <m/>
    <s v="Fuller"/>
  </r>
  <r>
    <d v="2026-08-20T00:00:00"/>
    <s v="6662026"/>
    <s v="Sanchez, Lisa M"/>
    <s v="Outpatient"/>
    <x v="1"/>
    <n v="3901454093"/>
    <s v="700950572"/>
    <d v="1991-01-30T00:00:00"/>
    <s v="Luu, Tiffany, MD"/>
    <s v="General"/>
    <s v="2"/>
    <d v="1899-12-30T14:29:00"/>
    <d v="1899-12-30T15:09:00"/>
    <n v="40"/>
    <d v="1899-12-30T14:30:00"/>
    <d v="1899-12-30T15:30:00"/>
    <n v="60"/>
    <d v="1899-12-30T14:29:00"/>
    <d v="1899-12-30T15:04:00"/>
    <n v="35"/>
    <d v="1899-12-30T14:52:00"/>
    <d v="1899-12-30T14:57:00"/>
    <d v="1899-12-30T15:04:00"/>
    <n v="35"/>
    <n v="5"/>
    <d v="1899-12-30T15:10:27"/>
    <d v="1899-12-30T16:01:00"/>
    <n v="51"/>
    <d v="1899-12-30T16:02:00"/>
    <d v="1899-12-30T16:29:00"/>
    <n v="27"/>
    <s v="SHME OR 02"/>
    <s v="Gynecology"/>
    <s v="No"/>
    <s v="Hui, Kim, Md"/>
    <s v="TREATMENT OF MISSED ABORTION, COMPLETED SURGICALLY; FIRST TRIMESTER"/>
    <s v="SUCTION DILATION AND CURETTAGE - N/A"/>
    <s v="Thu"/>
    <m/>
    <m/>
    <m/>
    <s v="HUI, KIM"/>
    <m/>
    <s v="Kim Hui, MD (619-407-1011)"/>
    <m/>
    <s v="Hui"/>
  </r>
  <r>
    <d v="2026-08-20T00:00:00"/>
    <s v="6662105"/>
    <s v="Kisic, David A"/>
    <s v="Inpatient"/>
    <x v="0"/>
    <n v="3901454115"/>
    <s v="811437553"/>
    <d v="1956-06-12T00:00:00"/>
    <s v="Fan, Ting-Wei, MD"/>
    <s v="General"/>
    <s v="3"/>
    <d v="1899-12-30T07:36:00"/>
    <d v="1899-12-30T09:44:00"/>
    <n v="128"/>
    <d v="1899-12-30T07:30:00"/>
    <d v="1899-12-30T10:30:00"/>
    <n v="180"/>
    <d v="1899-12-30T07:36:00"/>
    <d v="1899-12-30T09:35:00"/>
    <n v="119"/>
    <d v="1899-12-30T08:24:00"/>
    <d v="1899-12-30T09:31:00"/>
    <d v="1899-12-30T09:35:00"/>
    <n v="119"/>
    <n v="67"/>
    <d v="1899-12-30T09:36:00"/>
    <d v="1899-12-30T10:11:00"/>
    <n v="35"/>
    <m/>
    <m/>
    <m/>
    <s v="SHME OR 03"/>
    <s v="ENT"/>
    <s v="No"/>
    <s v="Mansfield, Perry Thomas, Md, Frcpc"/>
    <s v="INFRATEMPORAL PRE-AURICULAR APPROACH TO MIDDLE CRANIAL FOSSA(PARAPHARYNGEAL SPACE, INFRATEMPORAL AND MIDLINE SKULL BASE,NASOPHARYNX), WITH OR WITHOUT DISARTICULATION OF THE MANDIBLE, INCLUDINGPAROT_x000a_RESECTION OR EXCISION OF NEOPLASTIC, VASCULAR OR INFECTIOUS LESION OFINFRATEMPORAL FOSSA, PARAPHARYNGEAL SPACE, PETROUS APEX; EXTRADURAL_x000a_CERVICAL LYMPHADENECTOMY (MODIFIED RADICAL NECK DISSECTION)_x000a_EXCISION OF PAROTID TUMOR OR PAROTID GLAND; LATERAL LOBE, WITHDISSECTION AND PRESERVATION OF FACIAL NERVE_x000a_EXPLORATION (NOT FOLLOWED BY SURGICAL REPAIR), WITH OR WITHOUT LYSIS OFARTERY; CAROTID ARTERY_x000a_EXCISION OF SUBMANDIBULAR (SUBMAXILLARY) GLAND"/>
    <s v="RIGHT NECK TUMOR REMOVAL AND NECK DISSECTION WITH POSSIBLE SUBMANDIBULAR GLAND EXCISION - N/A"/>
    <s v="Thu"/>
    <m/>
    <m/>
    <m/>
    <s v="MANSFIELD, PERRY THOMAS"/>
    <m/>
    <s v="Perry Thomas Mansfield, MD, FRCPC"/>
    <m/>
    <s v="Mansfield"/>
  </r>
  <r>
    <d v="2026-08-20T00:00:00"/>
    <s v="6668098"/>
    <s v="Job, Carlos H"/>
    <s v="Outpatient"/>
    <x v="1"/>
    <n v="3901455223"/>
    <s v="810187256"/>
    <d v="1970-01-10T00:00:00"/>
    <s v="Ramos, Joshua Neftalie, MD"/>
    <s v="General"/>
    <s v="3"/>
    <d v="1899-12-30T10:19:00"/>
    <d v="1899-12-30T12:39:00"/>
    <n v="140"/>
    <d v="1899-12-30T10:00:00"/>
    <d v="1899-12-30T12:45:00"/>
    <n v="165"/>
    <d v="1899-12-30T10:19:00"/>
    <d v="1899-12-30T12:30:00"/>
    <n v="131"/>
    <d v="1899-12-30T10:50:00"/>
    <d v="1899-12-30T12:23:00"/>
    <d v="1899-12-30T12:30:00"/>
    <n v="131"/>
    <n v="93"/>
    <d v="1899-12-30T12:35:50"/>
    <d v="1899-12-30T13:31:00"/>
    <n v="56"/>
    <d v="1899-12-30T13:32:00"/>
    <d v="1899-12-30T14:34:00"/>
    <n v="62"/>
    <s v="SHME OR 09"/>
    <s v="General"/>
    <s v="Yes"/>
    <s v="Giurgiu, Dan I.N., Md"/>
    <s v="LAPAROSCOPY, SURGICAL; REPAIR INITIAL INGUINAL HERNIA"/>
    <s v="ROBOT REPAIR OF LEFT INGUINAL HERNIA WITH MESH, POSSIBLE BILATERAL, POSSIBLE OPEN. - Left"/>
    <s v="Thu"/>
    <m/>
    <m/>
    <m/>
    <s v="GIURGIU, DAN I.N."/>
    <m/>
    <s v="Dan I.N. Giurgiu, MD (619-330-8330)"/>
    <m/>
    <s v="Giurgiu"/>
  </r>
  <r>
    <d v="2026-08-20T00:00:00"/>
    <s v="6670906"/>
    <s v="Cabrera, Daniel"/>
    <s v="Inpatient"/>
    <x v="0"/>
    <n v="3901455568"/>
    <s v="811470550"/>
    <d v="2000-04-23T00:00:00"/>
    <s v="Li, Robin T, MD"/>
    <s v="General"/>
    <s v="2"/>
    <d v="1899-12-30T07:38:00"/>
    <d v="1899-12-30T09:44:00"/>
    <n v="126"/>
    <d v="1899-12-30T07:30:00"/>
    <d v="1899-12-30T08:30:00"/>
    <n v="60"/>
    <d v="1899-12-30T07:38:00"/>
    <d v="1899-12-30T09:36:00"/>
    <n v="118"/>
    <d v="1899-12-30T08:18:00"/>
    <d v="1899-12-30T09:36:00"/>
    <d v="1899-12-30T09:36:00"/>
    <n v="118"/>
    <n v="78"/>
    <d v="1899-12-30T09:40:00"/>
    <d v="1899-12-30T10:31:00"/>
    <n v="51"/>
    <m/>
    <m/>
    <m/>
    <s v="SHME OR 01"/>
    <s v="Orthopedics"/>
    <s v="No"/>
    <s v="Dromsky, David Michael, Md"/>
    <s v="DEBRIDEMENT, MUSCLE AND/OR FASCIA (INCLUDES EPIDERMIS, DERMIS, ANDSUBCUTANEOUS TISSUE, IF PERFORMED); FIRST 20 SQ CM OR LESS"/>
    <s v="DEBRIDEMENT AND IRRIGATION RIGHT LEG WOUNDS - Right"/>
    <s v="Thu"/>
    <m/>
    <m/>
    <m/>
    <s v="DROMSKY, DAVID MICHAEL"/>
    <m/>
    <s v="David Michael Dromsky, MD"/>
    <m/>
    <s v="Dromsky"/>
  </r>
  <r>
    <d v="2026-08-20T00:00:00"/>
    <s v="6671266"/>
    <s v="Downey, Janet"/>
    <s v="Inpatient"/>
    <x v="0"/>
    <n v="3901454002"/>
    <s v="700104318"/>
    <d v="1951-07-21T00:00:00"/>
    <s v="Fan, Ting-Wei, MD"/>
    <s v="General"/>
    <s v="3"/>
    <d v="1899-12-30T12:24:00"/>
    <d v="1899-12-30T14:38:00"/>
    <n v="134"/>
    <d v="1899-12-30T11:45:00"/>
    <d v="1899-12-30T14:45:00"/>
    <n v="180"/>
    <d v="1899-12-30T12:24:00"/>
    <d v="1899-12-30T14:26:00"/>
    <n v="122"/>
    <d v="1899-12-30T12:54:00"/>
    <d v="1899-12-30T14:20:00"/>
    <d v="1899-12-30T14:26:00"/>
    <n v="122"/>
    <n v="86"/>
    <m/>
    <m/>
    <m/>
    <m/>
    <m/>
    <m/>
    <s v="SHME OR 03"/>
    <s v="General"/>
    <s v="Yes"/>
    <s v="Bansal, Vishal, Md"/>
    <s v="LAPAROSCOPY, SURGICAL; COLECTOMY, PARTIAL, WITH REMOVAL OF TERMINALILEUM WITH ILEOCOLOSTOMY"/>
    <s v="LAPAROSCOPIC RIGHT HEMICOLECTOMY - Right"/>
    <s v="Thu"/>
    <m/>
    <s v="ED/IP/IC"/>
    <m/>
    <s v="BANSAL, VISHAL"/>
    <m/>
    <s v="Vishal Bansal, MD"/>
    <m/>
    <s v="Bansal"/>
  </r>
  <r>
    <d v="2026-08-20T00:00:00"/>
    <s v="6671499"/>
    <s v="Hicks, Christopher C"/>
    <s v="Inpatient"/>
    <x v="0"/>
    <n v="3901454628"/>
    <s v="810541944"/>
    <d v="1965-09-29T00:00:00"/>
    <s v="Julian, Jeric Israel Burguillos, DO"/>
    <s v="General"/>
    <s v="3"/>
    <d v="1899-12-30T18:04:00"/>
    <d v="1899-12-30T19:07:00"/>
    <n v="63"/>
    <d v="1899-12-30T17:35:00"/>
    <d v="1899-12-30T18:20:00"/>
    <n v="45"/>
    <d v="1899-12-30T18:04:00"/>
    <d v="1899-12-30T19:02:00"/>
    <n v="58"/>
    <d v="1899-12-30T18:38:00"/>
    <d v="1899-12-30T18:52:00"/>
    <d v="1899-12-30T19:02:00"/>
    <n v="58"/>
    <n v="14"/>
    <d v="1899-12-30T19:05:00"/>
    <d v="1899-12-30T20:41:09"/>
    <n v="96"/>
    <m/>
    <m/>
    <m/>
    <s v="SHME OR 09"/>
    <s v="Plastics"/>
    <s v="Yes"/>
    <s v="Hess, Jason R, Md"/>
    <s v="EXCISION, SACRAL PRESSURE ULCER, IN PREPARATION FOR MUSCLE ORMYOCUTANEOUS FLAP OR SKIN GRAFT CLOSURE; WITH OSTECTOMY_x000a_TOPICAL APPLICATION(S), WOUND ASSESSMENT, AND INSTRUCTION(S) FOR ONGOIN"/>
    <s v="EXCISION OF SACRAL ULCER AND WOUND VAC PLACEMENT - N/A"/>
    <s v="Thu"/>
    <m/>
    <s v="ED/IP/IC"/>
    <m/>
    <s v="HESS, JASON R"/>
    <m/>
    <s v="Jason R Hess, MD"/>
    <m/>
    <s v="Hess"/>
  </r>
  <r>
    <d v="2026-08-20T00:00:00"/>
    <s v="6672543"/>
    <s v="Torres, Ruben"/>
    <s v="Inpatient"/>
    <x v="0"/>
    <n v="3901454856"/>
    <s v="700573202"/>
    <d v="1962-03-13T00:00:00"/>
    <s v="Julian, Jeric Israel Burguillos, DO"/>
    <s v="General"/>
    <s v="4"/>
    <d v="1899-12-30T20:04:00"/>
    <d v="1899-12-30T21:09:00"/>
    <n v="65"/>
    <d v="1899-12-30T18:50:00"/>
    <d v="1899-12-30T20:35:00"/>
    <n v="105"/>
    <d v="1899-12-30T20:04:00"/>
    <d v="1899-12-30T21:04:00"/>
    <n v="60"/>
    <d v="1899-12-30T20:38:00"/>
    <d v="1899-12-30T20:58:00"/>
    <d v="1899-12-30T21:04:00"/>
    <n v="60"/>
    <n v="20"/>
    <d v="1899-12-30T21:07:00"/>
    <d v="1899-12-30T21:53:25"/>
    <n v="46"/>
    <m/>
    <m/>
    <m/>
    <s v="SHME OR 04"/>
    <s v="Plastics"/>
    <s v="No"/>
    <s v="Hess, Jason R, Md"/>
    <s v="EXCISION, ISCHIAL PRESSURE ULCER, WITH OSTECTOMY, IN PREPARATION FORMUSCLE OR MYOCUTANEOUS FLAP OR SKIN GRAFT CLOSURE_x000a_TOPICAL APPLICATION(S), WOUND ASSESSMENT, AND INSTRUCTION(S) FOR ONGOIN"/>
    <s v="EXCISION OF RIGHT ISCHIAL ULCER AND WOUND VAC PLACEMENT - Right"/>
    <s v="Thu"/>
    <m/>
    <m/>
    <m/>
    <s v="HESS, JASON R"/>
    <m/>
    <s v="Jason R Hess, MD"/>
    <m/>
    <s v="Hess"/>
  </r>
  <r>
    <d v="2026-08-20T00:00:00"/>
    <s v="6672582"/>
    <s v="Jennings, Curtis A"/>
    <s v="Inpatient"/>
    <x v="0"/>
    <n v="3901455644"/>
    <s v="700444906"/>
    <d v="1968-10-03T00:00:00"/>
    <s v="Stradleigh, Ryan Kellian, DO"/>
    <s v="General"/>
    <s v="3"/>
    <d v="1899-12-30T17:45:00"/>
    <d v="1899-12-30T18:24:00"/>
    <n v="39"/>
    <d v="1899-12-30T17:30:00"/>
    <d v="1899-12-30T18:25:00"/>
    <n v="55"/>
    <d v="1899-12-30T17:45:00"/>
    <d v="1899-12-30T18:19:00"/>
    <n v="34"/>
    <d v="1899-12-30T18:05:00"/>
    <d v="1899-12-30T18:14:00"/>
    <d v="1899-12-30T18:19:00"/>
    <n v="34"/>
    <n v="9"/>
    <d v="1899-12-30T18:23:02"/>
    <d v="1899-12-30T19:50:00"/>
    <n v="87"/>
    <m/>
    <m/>
    <m/>
    <s v="SHME OR 06"/>
    <s v="Podiatry"/>
    <s v="Yes"/>
    <s v="Lee, Ryan Yen Choy, Dpm"/>
    <s v="INCISION AND DRAINAGE BELOW FASCIA, WITH OR WITHOUT TENDON SHEATHINVOLVEMENT, FOOT; MULTIPLE AREAS"/>
    <s v="INCISION AND DRAINAGE BELOW FASCIA, WITH OR WITHOUT TENDON SHEATHINVOLVEMENT, FOOT; MULTIPLE AREAS - Right"/>
    <s v="Thu"/>
    <m/>
    <m/>
    <m/>
    <s v="LEE, RYAN YEN CHOY"/>
    <m/>
    <s v="Ryan Yen Choy Lee, DPM"/>
    <m/>
    <s v="Lee"/>
  </r>
  <r>
    <d v="2026-08-20T00:00:00"/>
    <s v="6672978"/>
    <s v="Vazquez Alcaraz, Rogelio"/>
    <s v="Inpatient"/>
    <x v="0"/>
    <n v="3901455385"/>
    <s v="701827636"/>
    <d v="1961-03-10T00:00:00"/>
    <s v="Li, Robin T, MD"/>
    <s v="Regional"/>
    <s v="3"/>
    <d v="1899-12-30T10:12:00"/>
    <d v="1899-12-30T12:18:00"/>
    <n v="126"/>
    <d v="1899-12-30T09:00:00"/>
    <d v="1899-12-30T11:00:00"/>
    <n v="120"/>
    <d v="1899-12-30T10:12:00"/>
    <d v="1899-12-30T12:10:00"/>
    <n v="118"/>
    <d v="1899-12-30T10:46:00"/>
    <d v="1899-12-30T12:06:00"/>
    <d v="1899-12-30T12:10:00"/>
    <n v="118"/>
    <n v="80"/>
    <d v="1899-12-30T12:11:48"/>
    <d v="1899-12-30T12:44:17"/>
    <n v="33"/>
    <m/>
    <m/>
    <m/>
    <s v="SHME OR 01"/>
    <s v="Orthopedics"/>
    <s v="Yes"/>
    <s v="Dromsky, David Michael, Md"/>
    <s v="AMPUTATION, LEG, THROUGH TIBIA AND FIBULA;"/>
    <s v="AMPUTATION, LEG, THROUGH TIBIA AND FIBULA; - Left"/>
    <s v="Thu"/>
    <m/>
    <m/>
    <m/>
    <s v="DROMSKY, DAVID MICHAEL"/>
    <m/>
    <s v="David Michael Dromsky, MD"/>
    <m/>
    <s v="Dromsky"/>
  </r>
  <r>
    <d v="2026-08-20T00:00:00"/>
    <s v="6673390"/>
    <s v="Ward, Clifford"/>
    <s v="Inpatient"/>
    <x v="0"/>
    <n v="3901456089"/>
    <s v="811490574"/>
    <d v="1979-02-27T00:00:00"/>
    <s v="Vasant, Kris Kishore, MD"/>
    <s v="General"/>
    <s v="3"/>
    <d v="1899-12-30T01:45:00"/>
    <d v="1899-12-30T02:48:00"/>
    <n v="63"/>
    <d v="1899-12-30T01:30:00"/>
    <d v="1899-12-30T02:35:00"/>
    <n v="95"/>
    <d v="1899-12-30T01:45:00"/>
    <d v="1899-12-30T02:38:00"/>
    <n v="53"/>
    <d v="1899-12-30T02:03:00"/>
    <d v="1899-12-30T02:32:00"/>
    <d v="1899-12-30T02:38:00"/>
    <n v="53"/>
    <n v="29"/>
    <d v="1899-12-30T02:40:13"/>
    <d v="1899-12-30T04:10:49"/>
    <n v="90"/>
    <m/>
    <m/>
    <m/>
    <s v="SHME OR 03"/>
    <s v="General"/>
    <s v="Yes"/>
    <s v="Bansal, Vishal, Md"/>
    <s v="LAPAROSCOPY, SURGICAL, APPENDECTOMY"/>
    <s v="LAPAROSCOPY, SURGICAL, APPENDECTOMY - N/A"/>
    <s v="Thu"/>
    <m/>
    <s v="ED/IP/IC"/>
    <m/>
    <s v="BANSAL, VISHAL"/>
    <m/>
    <s v="Vishal Bansal, MD"/>
    <m/>
    <s v="Bansal"/>
  </r>
  <r>
    <d v="2026-08-20T00:00:00"/>
    <s v="6673518"/>
    <s v="Robles, Juan"/>
    <s v="Inpatient"/>
    <x v="0"/>
    <n v="3400729491"/>
    <s v="400424476"/>
    <d v="1988-03-05T00:00:00"/>
    <s v="Epps, Michelle Tatum, MD"/>
    <s v="General"/>
    <s v="3"/>
    <d v="1899-12-30T17:19:00"/>
    <d v="1899-12-30T18:32:00"/>
    <n v="73"/>
    <d v="1899-12-30T17:00:00"/>
    <d v="1899-12-30T18:15:00"/>
    <n v="75"/>
    <d v="1899-12-30T17:19:00"/>
    <d v="1899-12-30T18:28:00"/>
    <n v="69"/>
    <d v="1899-12-30T17:49:00"/>
    <d v="1899-12-30T18:20:00"/>
    <d v="1899-12-30T18:28:00"/>
    <n v="69"/>
    <n v="31"/>
    <d v="1899-12-30T18:33:09"/>
    <d v="1899-12-30T19:52:05"/>
    <n v="79"/>
    <m/>
    <m/>
    <m/>
    <s v="SHME OR 02"/>
    <s v="Urology"/>
    <s v="Yes"/>
    <s v="Unterberg, Stephen Harold, Md"/>
    <s v="TRANSURETHRAL ELECTROSURGICAL RESECTION OF PROSTATE, INCLUDING CONTROLOF POSTOPERATIVE BLEEDING, COMPLETE (VASECTOMY, MEATOTOMY,CYSTOURETHROSCOPY, URETHRAL CALIBRATION AND/OR DILATION, AND INTERNAL"/>
    <s v="TRANSURETHRAL ELECTROSURGICAL RESECTION OF PROSTATE, INCLUDING CONTROLOF POSTOPERATIVE BLEEDING, COMPLETE (VASECTOMY, MEATOTOMY,CYSTOURETHROSCOPY, URETHRAL CALIBRATION AND/OR DILATION, AND INTERNAL - N/A"/>
    <s v="Thu"/>
    <m/>
    <s v="ED/IP/IC"/>
    <m/>
    <s v="UNTERBERG, STEPHEN HAROLD"/>
    <m/>
    <s v="Stephen Harold Unterberg, MD"/>
    <m/>
    <s v="Unterberg"/>
  </r>
  <r>
    <d v="2026-08-20T00:00:00"/>
    <s v="6674063"/>
    <s v="Brown Jr, Christopher W"/>
    <s v="Inpatient"/>
    <x v="0"/>
    <n v="3901456146"/>
    <s v="700312352"/>
    <d v="2006-02-19T00:00:00"/>
    <s v="Luu, Tiffany, MD"/>
    <s v="General"/>
    <s v="2"/>
    <d v="1899-12-30T15:32:00"/>
    <d v="1899-12-30T17:12:00"/>
    <n v="100"/>
    <d v="1899-12-30T15:30:00"/>
    <d v="1899-12-30T17:05:00"/>
    <n v="95"/>
    <d v="1899-12-30T15:32:00"/>
    <d v="1899-12-30T17:09:00"/>
    <n v="97"/>
    <d v="1899-12-30T15:55:00"/>
    <d v="1899-12-30T17:04:00"/>
    <d v="1899-12-30T17:09:00"/>
    <n v="97"/>
    <n v="69"/>
    <d v="1899-12-30T17:10:51"/>
    <d v="1899-12-30T18:38:53"/>
    <n v="88"/>
    <m/>
    <m/>
    <m/>
    <s v="SHME OR 04"/>
    <s v="Plastics"/>
    <s v="No"/>
    <s v="Hess, Jason R, Md"/>
    <s v="EXPLORATION OF PENETRATING WOUND (SEPARATE PROCEDURE); EXTREMITY"/>
    <s v="EXPLORATION OF PENETRATING WOUND (SEPARATE PROCEDURE); EXTREMITY - Right"/>
    <s v="Thu"/>
    <m/>
    <m/>
    <m/>
    <s v="HESS, JASON R"/>
    <m/>
    <s v="Jason R Hess, MD"/>
    <m/>
    <s v="Hess"/>
  </r>
  <r>
    <d v="2026-08-20T00:00:00"/>
    <s v="6674814"/>
    <s v="Martine, Floride"/>
    <s v="Emergency"/>
    <x v="0"/>
    <n v="3901456220"/>
    <s v="811482055"/>
    <d v="1980-08-09T00:00:00"/>
    <s v="Epps, Michelle Tatum, MD"/>
    <s v="Monitor Anesthesia Care"/>
    <s v="3"/>
    <d v="1899-12-30T16:04:00"/>
    <d v="1899-12-30T16:51:00"/>
    <n v="47"/>
    <d v="1899-12-30T17:00:00"/>
    <d v="1899-12-30T17:50:00"/>
    <n v="50"/>
    <d v="1899-12-30T16:04:00"/>
    <d v="1899-12-30T16:46:00"/>
    <n v="42"/>
    <d v="1899-12-30T16:20:00"/>
    <d v="1899-12-30T16:43:00"/>
    <d v="1899-12-30T16:46:00"/>
    <n v="42"/>
    <n v="23"/>
    <d v="1899-12-30T16:51:04"/>
    <d v="1899-12-30T17:46:00"/>
    <n v="55"/>
    <d v="1899-12-30T17:47:00"/>
    <d v="1899-12-30T18:18:00"/>
    <n v="31"/>
    <s v="SHME OR 10"/>
    <s v="Urology"/>
    <s v="No"/>
    <s v="Salem, Carol Elizabeth, Md"/>
    <s v="CYSTOURETHROSCOPY, WITH INSERTION OF INDWELLING URETERAL STENT (EG,GIBBONS OR DOUBLE-J TYPE)"/>
    <s v="CYSTOURETHROSCOPY, WITH INSERTION OF INDWELLING URETERAL STENT (EG,GIBBONS OR DOUBLE-J TYPE) - Right"/>
    <s v="Thu"/>
    <m/>
    <m/>
    <m/>
    <s v="SALEM, CAROL ELIZABETH"/>
    <m/>
    <s v="Carol Elizabeth Salem, MD"/>
    <m/>
    <s v="Salem"/>
  </r>
  <r>
    <d v="2026-08-20T00:00:00"/>
    <s v="6675353"/>
    <s v="Ramirez, Heriberto"/>
    <s v="Inpatient"/>
    <x v="0"/>
    <n v="3901456276"/>
    <s v="400257572"/>
    <d v="1991-11-11T00:00:00"/>
    <s v="Stradleigh, Ryan Kellian, DO"/>
    <s v="General"/>
    <s v="1"/>
    <d v="1899-12-30T13:52:00"/>
    <d v="1899-12-30T16:33:00"/>
    <n v="161"/>
    <d v="1899-12-30T13:45:00"/>
    <d v="1899-12-30T15:20:00"/>
    <n v="95"/>
    <d v="1899-12-30T13:52:00"/>
    <d v="1899-12-30T16:28:00"/>
    <n v="156"/>
    <d v="1899-12-30T14:14:00"/>
    <d v="1899-12-30T16:13:00"/>
    <d v="1899-12-30T16:28:00"/>
    <n v="156"/>
    <n v="119"/>
    <d v="1899-12-30T16:30:30"/>
    <d v="1899-12-30T17:01:00"/>
    <n v="31"/>
    <m/>
    <m/>
    <m/>
    <s v="SHME OR 01"/>
    <s v="Orthopedics"/>
    <s v="No"/>
    <s v="Dromsky, David Michael, Md"/>
    <s v="DEBRIDEMENT INCLUDING REMOVAL OF FOREIGN MATERIAL AT THE SITE OF AN OPENFRACTURE AND/OR AN OPEN DISLOCATION (EG, EXCISIONAL DEBRIDEMENT); SKIN,SUBCUTANEOUS TISSUE, MUSCLE FASCIA, MUSCLE, AND BONE_x000a_OPEN TREATMENT OF ULNAR SHAFT FRACTURE, INCLUDES INTERNAL FIXATION, WHENPERFORMED"/>
    <s v="DEBRIDEMENT INCLUDING REMOVAL OF FOREIGN MATERIAL AT THE SITE OF AN OPENFRACTURE AND/OR AN OPEN DISLOCATION (EG, EXCISIONAL DEBRIDEMENT); SKIN,SUBCUTANEOUS TISSUE, MUSCLE FASCIA, MUSCLE, AND BONE - Right"/>
    <s v="Thu"/>
    <m/>
    <m/>
    <m/>
    <s v="DROMSKY, DAVID MICHAEL"/>
    <m/>
    <s v="David Michael Dromsky, MD"/>
    <m/>
    <s v="Dromsky"/>
  </r>
  <r>
    <d v="2026-08-20T00:00:00"/>
    <s v="6677446"/>
    <s v="Hernandez Diaz, Sarai"/>
    <s v="Inpatient"/>
    <x v="0"/>
    <n v="3901456342"/>
    <s v="811490691"/>
    <d v="1979-01-06T00:00:00"/>
    <s v="Julian, Jeric Israel Burguillos, DO"/>
    <s v="General"/>
    <s v="1"/>
    <d v="1899-12-30T21:33:00"/>
    <d v="1899-12-30T23:44:00"/>
    <n v="131"/>
    <d v="1899-12-30T21:40:00"/>
    <d v="1899-12-30T23:45:00"/>
    <n v="155"/>
    <d v="1899-12-30T21:33:00"/>
    <d v="1899-12-30T23:39:00"/>
    <n v="126"/>
    <d v="1899-12-30T22:12:00"/>
    <d v="1899-12-30T23:26:00"/>
    <d v="1899-12-30T23:39:00"/>
    <n v="126"/>
    <n v="74"/>
    <d v="1899-12-30T23:40:00"/>
    <d v="1899-12-30T00:44:00"/>
    <n v="64"/>
    <m/>
    <m/>
    <m/>
    <s v="SHME OR 02"/>
    <s v="Gynecology"/>
    <s v="No"/>
    <s v="Deforest Sjahrial, Alison Lyn, Md"/>
    <s v="LAPAROSCOPY, ABDOMEN, PERITONEUM, AND OMENTUM, DIAGNOSTIC, WITH ORWITHOUT COLLECTION OF SPECIMEN(S) BY BRUSHING OR WASHING (SEPARATEPROCEDURE)_x000a_OVARIAN CYSTECTOMY, UNILATERAL OR BILATERAL_x000a_SALPINGO-OOPHORECTOMY, COMPLETE OR PARTIAL, UNILATERAL OR BILATERAL(SEPARATE PROCEDURE)"/>
    <s v="LAPAROSCOPY, ABDOMEN, PERITONEUM, AND OMENTUM, DIAGNOSTIC, WITH ORWITHOUT COLLECTION OF SPECIMEN(S) BY BRUSHING OR WASHING (SEPARATEPROCEDURE) - N/A"/>
    <s v="Thu"/>
    <m/>
    <m/>
    <m/>
    <s v="DEFOREST SJAHRIAL, ALISON LYN_x000a_ALIMONOS, LYSISTRATI ANN"/>
    <s v="Panel 1: Dr. Deforest Sjahrial, Alison Lyn, MD / Alimonos, Lysistrati Ann, DO"/>
    <s v="Alison Lyn Deforest Sjahrial, MD"/>
    <m/>
    <s v="Deforest Sjahrial"/>
  </r>
  <r>
    <d v="2026-08-21T00:00:00"/>
    <s v="6549840"/>
    <s v="Santos, Zuleima"/>
    <s v="Outpatient"/>
    <x v="1"/>
    <n v="3901444034"/>
    <s v="810635698"/>
    <d v="1991-10-08T00:00:00"/>
    <s v="Rayan, Hany A, MD"/>
    <s v="General"/>
    <s v="2"/>
    <d v="1899-12-30T12:58:00"/>
    <d v="1899-12-30T14:29:00"/>
    <n v="91"/>
    <d v="1899-12-30T12:30:00"/>
    <d v="1899-12-30T14:00:00"/>
    <n v="90"/>
    <d v="1899-12-30T12:58:00"/>
    <d v="1899-12-30T14:23:00"/>
    <n v="85"/>
    <d v="1899-12-30T13:21:00"/>
    <d v="1899-12-30T14:15:00"/>
    <d v="1899-12-30T14:23:00"/>
    <n v="85"/>
    <n v="54"/>
    <d v="1899-12-30T14:25:46"/>
    <d v="1899-12-30T14:51:00"/>
    <n v="26"/>
    <d v="1899-12-30T14:51:00"/>
    <d v="1899-12-30T16:00:00"/>
    <n v="69"/>
    <s v="SHME OR 10"/>
    <s v="General"/>
    <s v="No"/>
    <s v="Lim, Lian, Md"/>
    <s v="LAPAROSCOPY, SURGICAL; CHOLECYSTECTOMY"/>
    <s v="ROBOTIC CHOLECYSTECTOMY, POSSIBLE OPEN - N/A"/>
    <s v="Fri"/>
    <m/>
    <m/>
    <m/>
    <s v="LIM, LIAN"/>
    <m/>
    <s v="Lian Lim, MD"/>
    <m/>
    <s v="Lim"/>
  </r>
  <r>
    <d v="2026-08-21T00:00:00"/>
    <s v="6551338"/>
    <s v="Dasey, Tim"/>
    <s v="Outpatient"/>
    <x v="1"/>
    <n v="3901444638"/>
    <s v="811457766"/>
    <d v="1964-06-06T00:00:00"/>
    <s v="Rayan, Hany A, MD"/>
    <s v="General"/>
    <s v="2"/>
    <d v="1899-12-30T14:50:00"/>
    <d v="1899-12-30T15:58:00"/>
    <n v="68"/>
    <d v="1899-12-30T14:30:00"/>
    <d v="1899-12-30T16:00:00"/>
    <n v="90"/>
    <d v="1899-12-30T14:50:00"/>
    <d v="1899-12-30T15:53:00"/>
    <n v="63"/>
    <d v="1899-12-30T15:07:00"/>
    <d v="1899-12-30T15:46:00"/>
    <d v="1899-12-30T15:53:00"/>
    <n v="63"/>
    <n v="39"/>
    <d v="1899-12-30T15:58:44"/>
    <d v="1899-12-30T20:01:00"/>
    <n v="243"/>
    <d v="1899-12-30T20:01:00"/>
    <d v="1899-12-30T20:30:00"/>
    <n v="29"/>
    <s v="SHME OR 10"/>
    <s v="General"/>
    <s v="No"/>
    <s v="Lim, Lian, Md"/>
    <s v="LAPAROSCOPY, SURGICAL; CHOLECYSTECTOMY"/>
    <s v="ROBOTIC CHOLECYSTECTOMY, POSSIBLE OPEN - N/A"/>
    <s v="Fri"/>
    <m/>
    <m/>
    <m/>
    <s v="LIM, LIAN"/>
    <m/>
    <s v="Lian Lim, MD"/>
    <m/>
    <s v="Lim"/>
  </r>
  <r>
    <d v="2026-08-21T00:00:00"/>
    <s v="6576314"/>
    <s v="Hoyt, Thomas"/>
    <s v="Inpatient"/>
    <x v="0"/>
    <n v="3901437273"/>
    <s v="700461089"/>
    <d v="1957-02-23T00:00:00"/>
    <s v="Chung, Michelle Sheryl, MD"/>
    <s v="Regional"/>
    <s v="2"/>
    <d v="1899-12-30T11:02:00"/>
    <d v="1899-12-30T13:49:00"/>
    <n v="167"/>
    <d v="1899-12-30T11:00:00"/>
    <d v="1899-12-30T14:00:00"/>
    <n v="180"/>
    <d v="1899-12-30T11:02:00"/>
    <d v="1899-12-30T13:45:00"/>
    <n v="163"/>
    <d v="1899-12-30T11:42:00"/>
    <d v="1899-12-30T13:40:00"/>
    <d v="1899-12-30T13:45:00"/>
    <n v="163"/>
    <n v="118"/>
    <d v="1899-12-30T14:08:18"/>
    <d v="1899-12-30T14:41:00"/>
    <n v="33"/>
    <m/>
    <m/>
    <m/>
    <s v="SHME OR 05"/>
    <s v="Urology"/>
    <s v="No"/>
    <s v="Vapnek, Evan Michael, Md"/>
    <s v="LAPAROSCOPY, SURGICAL; RADICAL NEPHRECTOMY (INCLUDES REMOVAL OF GEROTA'SFASCIA AND SURROUNDING FATTY TISSUE, REMOVAL OF REGIONAL LYMPH NODES,AND ADRENALECTOMY)"/>
    <s v="RIGHT LAPAROSCOPIC RADICAL NEPHRECTOMY WITH DV5 ROBOT ASSIST - Right"/>
    <s v="Fri"/>
    <m/>
    <m/>
    <m/>
    <s v="VAPNEK, EVAN MICHAEL"/>
    <m/>
    <s v="Evan Michael Vapnek, MD"/>
    <m/>
    <s v="Vapnek"/>
  </r>
  <r>
    <d v="2026-08-21T00:00:00"/>
    <s v="6365874"/>
    <s v="Batista Ramirez, Francisca J"/>
    <s v="Inpatient"/>
    <x v="0"/>
    <n v="3901397852"/>
    <s v="701631972"/>
    <d v="1967-10-04T00:00:00"/>
    <s v="Fan, Ting-Wei, MD"/>
    <s v="General"/>
    <s v="2"/>
    <d v="1899-12-30T07:30:00"/>
    <d v="1899-12-30T10:15:00"/>
    <n v="165"/>
    <d v="1899-12-30T07:30:00"/>
    <d v="1899-12-30T09:30:00"/>
    <n v="120"/>
    <d v="1899-12-30T07:30:00"/>
    <d v="1899-12-30T10:06:00"/>
    <n v="156"/>
    <d v="1899-12-30T08:01:00"/>
    <d v="1899-12-30T09:59:00"/>
    <d v="1899-12-30T10:06:00"/>
    <n v="156"/>
    <n v="118"/>
    <d v="1899-12-30T10:11:03"/>
    <d v="1899-12-30T12:15:00"/>
    <n v="124"/>
    <m/>
    <m/>
    <m/>
    <s v="SHME OR 09"/>
    <s v="Urology"/>
    <s v="No"/>
    <s v="Unterberg, Stephen Harold, Md"/>
    <s v="LAPAROSCOPY, SURGICAL, COLPOPEXY (SUSPENSION OF VAGINAL APEX)"/>
    <s v="ROBOTIC ASSISTED LAPAROSCOPIC ABDOMINAL SACROCOLPOPEXY WITH RESTORELLE MESH, CYSTOSCOPY - N/A"/>
    <s v="Fri"/>
    <m/>
    <m/>
    <m/>
    <s v="UNTERBERG, STEPHEN HAROLD"/>
    <m/>
    <s v="Stephen Harold Unterberg, MD"/>
    <m/>
    <s v="Unterberg"/>
  </r>
  <r>
    <d v="2026-08-21T00:00:00"/>
    <s v="6576445"/>
    <s v="Galas, Elena"/>
    <s v="Inpatient"/>
    <x v="0"/>
    <n v="3901437306"/>
    <s v="701210050"/>
    <d v="1958-12-25T00:00:00"/>
    <s v="Chung, Michelle Sheryl, MD"/>
    <s v="Regional"/>
    <s v="2"/>
    <d v="1899-12-30T07:30:00"/>
    <d v="1899-12-30T10:12:00"/>
    <n v="162"/>
    <d v="1899-12-30T07:30:00"/>
    <d v="1899-12-30T10:30:00"/>
    <n v="180"/>
    <d v="1899-12-30T07:30:00"/>
    <d v="1899-12-30T10:05:00"/>
    <n v="155"/>
    <d v="1899-12-30T08:08:00"/>
    <d v="1899-12-30T09:54:00"/>
    <d v="1899-12-30T10:05:00"/>
    <n v="155"/>
    <n v="106"/>
    <d v="1899-12-30T10:08:04"/>
    <d v="1899-12-30T10:45:00"/>
    <n v="37"/>
    <m/>
    <m/>
    <m/>
    <s v="SHME OR 05"/>
    <s v="Urology"/>
    <s v="No"/>
    <s v="Vapnek, Evan Michael, Md"/>
    <s v="LAPAROSCOPY, SURGICAL; NEPHRECTOMY, INCLUDING PARTIAL URETERECTOMY"/>
    <s v="LAPAROSCOPY LEFT SIMPLE NEPHRECTOMY WITH DV5 ROBOT ASSIST - Left"/>
    <s v="Fri"/>
    <m/>
    <m/>
    <m/>
    <s v="VAPNEK, EVAN MICHAEL"/>
    <m/>
    <s v="Evan Michael Vapnek, MD"/>
    <m/>
    <s v="Vapnek"/>
  </r>
  <r>
    <d v="2026-08-21T00:00:00"/>
    <s v="6577839"/>
    <s v="Merriman, Marianne"/>
    <s v="Inpatient"/>
    <x v="0"/>
    <n v="3901437544"/>
    <s v="700143940"/>
    <d v="1954-11-02T00:00:00"/>
    <s v="Vasant, Kris Kishore, MD"/>
    <s v="Regional"/>
    <s v="4"/>
    <d v="1899-12-30T06:29:00"/>
    <d v="1899-12-30T13:35:00"/>
    <n v="426"/>
    <d v="1899-12-30T06:15:00"/>
    <d v="1899-12-30T12:15:00"/>
    <n v="360"/>
    <d v="1899-12-30T06:29:00"/>
    <d v="1899-12-30T13:21:00"/>
    <n v="412"/>
    <d v="1899-12-30T08:51:00"/>
    <d v="1899-12-30T13:13:00"/>
    <d v="1899-12-30T13:21:00"/>
    <n v="412"/>
    <n v="262"/>
    <m/>
    <m/>
    <m/>
    <m/>
    <m/>
    <m/>
    <s v="SHME OR 08"/>
    <s v="Cardiothoracic"/>
    <s v="No"/>
    <s v="Hemp, James Robert, Md"/>
    <s v="REPAIR ATRIAL SEPTAL DEFECT, SECUNDUM, WITH CARDIOPULMONARY BYPASS, WITHOR WITHOUT PATCH_x000a_MEDIASTINOTOMY WITH EXPLORATION, DRAINAGE, REMOVAL OF FOREIGN BODY, ORBIOPSY; TRANSTHORACIC APPROACH, INCLUDING EITHER TRANSTHORACIC OR MEDIANSTERNOTOMY"/>
    <s v="ROBOTIC ATRIAL SEPTAL DEFECT CLOSURE; POSSIBLE STERNOTOMY - N/A"/>
    <s v="Fri"/>
    <m/>
    <m/>
    <m/>
    <s v="ISLAMI MANUCHEHRY, MOHAMMAD HOSEIN_x000a_HEMP, JAMES ROBERT"/>
    <s v="Panel 1: Dr. Hemp, James Robert, MD / Islami Manuchehry, Mohammad Hosein, MD"/>
    <s v="James Robert Hemp, MD"/>
    <m/>
    <s v="Hemp"/>
  </r>
  <r>
    <d v="2026-08-21T00:00:00"/>
    <s v="6586990"/>
    <s v="Ortega, Anthony"/>
    <s v="Outpatient"/>
    <x v="1"/>
    <n v="3901439509"/>
    <s v="811404180"/>
    <d v="1994-02-17T00:00:00"/>
    <s v="Patel, Lance Kirit, MD"/>
    <s v="General"/>
    <s v="3"/>
    <d v="1899-12-30T07:32:00"/>
    <d v="1899-12-30T11:12:00"/>
    <n v="220"/>
    <d v="1899-12-30T07:30:00"/>
    <d v="1899-12-30T10:30:00"/>
    <n v="180"/>
    <d v="1899-12-30T07:32:00"/>
    <d v="1899-12-30T11:02:00"/>
    <n v="210"/>
    <d v="1899-12-30T08:09:00"/>
    <d v="1899-12-30T10:57:00"/>
    <d v="1899-12-30T11:02:00"/>
    <n v="210"/>
    <n v="168"/>
    <d v="1899-12-30T11:03:26"/>
    <d v="1899-12-30T11:31:00"/>
    <n v="28"/>
    <m/>
    <m/>
    <m/>
    <s v="SHME OR 01"/>
    <s v="Orthopedics"/>
    <s v="No"/>
    <s v="Kansara, Devanshu Velji, Md"/>
    <s v="OSTEOTOMY, PROXIMAL TIBIA, INCLUDING FIBULAR EXCISION OR OSTEOTOMY(INCLUDES CORRECTION OF GENU VARUS [BOWLEG] OR GENU VALGUS[KNOCK-KNEE]); AFTER EPIPHYSEAL CLOSURE_x000a_LIGAMENTOUS RECONSTRUCTION (AUGMENTATION), KNEE; INTRA-ARTICULAR (OPEN)_x000a_ARTHROTOMY, WITH EXCISION OF SEMILUNAR CARTILAGE (MENISCECTOMY) KNEE;MEDIAL OR LATERAL_x000a_ARTHROSCOPICALLY AIDED ANTERIOR CRUCIATE LIGAMENT REPAIR/AUGMENTATION ORRECONSTRUCTION_x000a_ARTHROSCOPY, KNEE, SURGICAL; WITH MENISCECTOMY (MEDIAL OR LATERAL,INCLUDING ANY MENISCAL SHAVING)"/>
    <s v="RIGHT KNEE PROXIMAL TIBIAL OPENING WEDGE OSTEOTOMY WITH BONE GRAFTING, REVISION ACL RECONSTRUCTION WITH TIBIALIS ALLOGRAFT, PARTIAL MEDIAL MENISCECTOMY, AND REMOVAL OF RETAINED DEEP HARDWARE FROM PRIOR ACL RECONSTRUCTION, POSSIBLE ACL BONE TUNNEL GRAFTING - Right"/>
    <s v="Fri"/>
    <m/>
    <m/>
    <m/>
    <s v="KANSARA, DEVANSHU VELJI"/>
    <m/>
    <s v="Devanshu Velji Kansara, MD"/>
    <m/>
    <s v="Kansara"/>
  </r>
  <r>
    <d v="2026-08-21T00:00:00"/>
    <s v="6600746"/>
    <s v="Arvanitis, Gus Paul"/>
    <s v="Outpatient"/>
    <x v="1"/>
    <n v="3901442312"/>
    <s v="305098639"/>
    <d v="1958-05-06T00:00:00"/>
    <s v="Patel, Lance Kirit, MD"/>
    <s v="General"/>
    <s v="2"/>
    <d v="1899-12-30T11:43:00"/>
    <d v="1899-12-30T13:15:00"/>
    <n v="92"/>
    <d v="1899-12-30T11:00:00"/>
    <d v="1899-12-30T12:00:00"/>
    <n v="60"/>
    <d v="1899-12-30T11:43:00"/>
    <d v="1899-12-30T13:11:00"/>
    <n v="88"/>
    <d v="1899-12-30T12:04:00"/>
    <d v="1899-12-30T13:02:00"/>
    <d v="1899-12-30T13:11:00"/>
    <n v="88"/>
    <n v="58"/>
    <d v="1899-12-30T13:15:00"/>
    <d v="1899-12-30T13:50:00"/>
    <n v="35"/>
    <d v="1899-12-30T13:51:00"/>
    <d v="1899-12-30T14:53:00"/>
    <n v="62"/>
    <s v="SHME OR 01"/>
    <s v="Orthopedics"/>
    <s v="No"/>
    <s v="Kansara, Devanshu Velji, Md"/>
    <s v="ARTHROSCOPY, KNEE, SURGICAL; WITH MENISCECTOMY (MEDIAL OR LATERAL,INCLUDING ANY MENISCAL SHAVING)_x000a_ARTHROSCOPY, KNEE, SURGICAL; WITH MENISCECTOMY (MEDIAL AND LATERAL,INCLUDING ANY MENISCAL SHAVING)_x000a_ARTHROSCOPY, KNEE, SURGICAL; WITH MENISCUS REPAIR (MEDIAL OR LATERAL)"/>
    <s v="LEFT KNEE ARTHROSCOPIC PARTIAL MEDIAL MENISECTOMY WITH POSSIBLE REPAIR - Left"/>
    <s v="Fri"/>
    <m/>
    <m/>
    <m/>
    <s v="KANSARA, DEVANSHU VELJI"/>
    <m/>
    <s v="Devanshu Velji Kansara, MD"/>
    <m/>
    <s v="Kansara"/>
  </r>
  <r>
    <d v="2026-08-21T00:00:00"/>
    <s v="6608044"/>
    <s v="Stromenger, Kyle"/>
    <s v="Outpatient"/>
    <x v="1"/>
    <n v="3901443788"/>
    <s v="811481713"/>
    <d v="1996-02-10T00:00:00"/>
    <s v="Fan, Ting-Wei, MD"/>
    <s v="General"/>
    <s v="2"/>
    <d v="1899-12-30T10:32:00"/>
    <d v="1899-12-30T11:30:00"/>
    <n v="58"/>
    <d v="1899-12-30T10:00:00"/>
    <d v="1899-12-30T11:00:00"/>
    <n v="60"/>
    <d v="1899-12-30T10:32:00"/>
    <d v="1899-12-30T11:22:00"/>
    <n v="50"/>
    <d v="1899-12-30T10:53:00"/>
    <d v="1899-12-30T11:12:00"/>
    <d v="1899-12-30T11:22:00"/>
    <n v="50"/>
    <n v="19"/>
    <d v="1899-12-30T11:26:44"/>
    <d v="1899-12-30T12:16:00"/>
    <n v="50"/>
    <d v="1899-12-30T12:17:00"/>
    <d v="1899-12-30T12:48:00"/>
    <n v="31"/>
    <s v="SHME OR 06"/>
    <s v="Urology"/>
    <s v="No"/>
    <s v="Unterberg, Stephen Harold, Md"/>
    <s v="EXCISION OF HYDROCELE; UNILATERAL_x000a_REPAIR OF TUNICA VAGINALIS HYDROCELE (BOTTLE TYPE)"/>
    <s v="RIGHT HYDROCELECTOMY, REPAIR OF TUNICA VAGINALIS HYDROCELE (BOTTLE TYPE), EXCISION OF APPENDIX TESTIS - Right"/>
    <s v="Fri"/>
    <m/>
    <m/>
    <m/>
    <s v="UNTERBERG, STEPHEN HAROLD"/>
    <m/>
    <s v="Stephen Harold Unterberg, MD"/>
    <m/>
    <s v="Unterberg"/>
  </r>
  <r>
    <d v="2026-08-21T00:00:00"/>
    <s v="6608092"/>
    <s v="Breyman, Lonny D"/>
    <s v="Outpatient"/>
    <x v="1"/>
    <n v="3901443800"/>
    <s v="700589916"/>
    <d v="1949-08-10T00:00:00"/>
    <s v="Fan, Ting-Wei, MD"/>
    <s v="General"/>
    <s v="3"/>
    <d v="1899-12-30T11:52:00"/>
    <d v="1899-12-30T12:47:00"/>
    <n v="55"/>
    <d v="1899-12-30T11:30:00"/>
    <d v="1899-12-30T12:15:00"/>
    <n v="45"/>
    <d v="1899-12-30T11:52:00"/>
    <d v="1899-12-30T12:37:00"/>
    <n v="45"/>
    <d v="1899-12-30T12:11:00"/>
    <d v="1899-12-30T12:32:00"/>
    <d v="1899-12-30T12:37:00"/>
    <n v="45"/>
    <n v="21"/>
    <d v="1899-12-30T12:41:22"/>
    <d v="1899-12-30T13:14:00"/>
    <n v="33"/>
    <d v="1899-12-30T13:15:00"/>
    <d v="1899-12-30T14:15:00"/>
    <n v="60"/>
    <s v="SHME OR 06"/>
    <s v="Urology"/>
    <s v="Yes"/>
    <s v="Unterberg, Stephen Harold, Md"/>
    <s v="LITHOTRIPSY, EXTRACORPOREAL SHOCK WAVE"/>
    <s v="RIGHT EXTRACORPOREAL SHOCK WAVE LITHOTRIPSY - Right"/>
    <s v="Fri"/>
    <m/>
    <m/>
    <m/>
    <s v="UNTERBERG, STEPHEN HAROLD"/>
    <m/>
    <s v="Stephen Harold Unterberg, MD"/>
    <m/>
    <s v="Unterberg"/>
  </r>
  <r>
    <d v="2026-08-21T00:00:00"/>
    <s v="6611989"/>
    <s v="Ray, Jack L Jr."/>
    <s v="Outpatient"/>
    <x v="1"/>
    <n v="3901444399"/>
    <s v="610075291"/>
    <d v="1952-07-23T00:00:00"/>
    <s v="Li, Robin T, MD"/>
    <s v="General"/>
    <s v="3"/>
    <d v="1899-12-30T09:06:00"/>
    <d v="1899-12-30T11:03:00"/>
    <n v="117"/>
    <d v="1899-12-30T09:30:00"/>
    <d v="1899-12-30T11:00:00"/>
    <n v="90"/>
    <d v="1899-12-30T09:06:00"/>
    <d v="1899-12-30T10:55:00"/>
    <n v="109"/>
    <d v="1899-12-30T09:36:00"/>
    <d v="1899-12-30T10:48:00"/>
    <d v="1899-12-30T10:55:00"/>
    <n v="109"/>
    <n v="72"/>
    <d v="1899-12-30T10:55:50"/>
    <d v="1899-12-30T11:29:00"/>
    <n v="34"/>
    <d v="1899-12-30T11:30:00"/>
    <d v="1899-12-30T12:19:00"/>
    <n v="49"/>
    <s v="SHME OR 14"/>
    <s v="Urology"/>
    <s v="No"/>
    <s v="Pe, Mark-Rally Lao, Md"/>
    <s v="PERCUTANEOUS IMPLANTATION OF NEUROSTIMULATOR ELECTRODE ARRAY; SACRALNERVE (TRANSFORAMINAL PLACEMENT) INCLUDING IMAGE GUIDANCE, IF PERFORMED_x000a_INSERTION OR REPLACEMENT OF PERIPHERAL, SACRAL, OR GASTRIC NEUROSTIMULATOR PULSE GENERATOR OR RECEIVER, REQUIRING POCKET CREATION AND CONNECTION BETWEEN ELECTRODE ARRAY AND PULSE GENERATOR OR RECEIVER_x000a_FLUOROSCOPY (SEPARATE PROCEDURE), UP TO 1 HOUR PHYSICIAN OR OTHERQUALIFIED HEALTH CARE PROFESSIONAL TIME, OTHER THAN 71023 OR 71034 (EG,CARDIAC FLUOROSCOPY)"/>
    <s v="PLACEMENT OF AXONICS SACRAL NEUROSTIMULATOR GENERATOR AND ELECTRODE UNDER FLOUROSCOPIC GUIDANCE - N/A"/>
    <s v="Fri"/>
    <m/>
    <m/>
    <m/>
    <s v="PE, MARK-RALLY LAO"/>
    <m/>
    <s v="Mark-Rally Lao Pe, MD"/>
    <m/>
    <s v="Pe"/>
  </r>
  <r>
    <d v="2026-08-21T00:00:00"/>
    <s v="6612054"/>
    <s v="Medina Martinez, Jose A"/>
    <s v="Outpatient"/>
    <x v="1"/>
    <n v="3901444414"/>
    <s v="700106132"/>
    <d v="1959-09-30T00:00:00"/>
    <s v="Li, Robin T, MD"/>
    <s v="General"/>
    <s v="3"/>
    <d v="1899-12-30T11:30:00"/>
    <d v="1899-12-30T12:55:00"/>
    <n v="85"/>
    <d v="1899-12-30T11:30:00"/>
    <d v="1899-12-30T12:45:00"/>
    <n v="75"/>
    <d v="1899-12-30T11:30:00"/>
    <d v="1899-12-30T12:47:00"/>
    <n v="77"/>
    <d v="1899-12-30T11:58:00"/>
    <d v="1899-12-30T12:44:00"/>
    <d v="1899-12-30T12:47:00"/>
    <n v="77"/>
    <n v="46"/>
    <d v="1899-12-30T12:50:00"/>
    <d v="1899-12-30T13:31:00"/>
    <n v="41"/>
    <d v="1899-12-30T13:31:00"/>
    <d v="1899-12-30T14:00:00"/>
    <n v="29"/>
    <s v="SHME OR 14"/>
    <s v="Urology"/>
    <s v="No"/>
    <s v="Pe, Mark-Rally Lao, Md"/>
    <s v="TRANSURETHRAL ELECTROSURGICAL RESECTION OF PROSTATE, INCLUDING CONTROLOF POSTOPERATIVE BLEEDING, COMPLETE (VASECTOMY, MEATOTOMY,CYSTOURETHROSCOPY, URETHRAL CALIBRATION AND/OR DILATION, AND INTERNAL_x000a_CYSTOURETHROSCOPY, WITH REMOVAL OF FOREIGN BODY, CALCULUS, OR URETERALSTENT FROM URETHRA OR BLADDER (SEPARATE PROCEDURE); COMPLICATED"/>
    <s v="TRANSURETHRAL RESECTION OF THE PROSTATE WITH REMOVAL OF UROLIFT IMPLANTS - N/A"/>
    <s v="Fri"/>
    <m/>
    <m/>
    <m/>
    <s v="PE, MARK-RALLY LAO"/>
    <m/>
    <s v="Mark-Rally Lao Pe, MD"/>
    <m/>
    <s v="Pe"/>
  </r>
  <r>
    <d v="2026-08-21T00:00:00"/>
    <s v="6612367"/>
    <s v="Armstrong, Robert G Jr."/>
    <s v="Outpatient"/>
    <x v="1"/>
    <n v="3901444475"/>
    <s v="100175626"/>
    <d v="1955-06-02T00:00:00"/>
    <s v="Li, Robin T, MD"/>
    <s v="General"/>
    <s v="3"/>
    <d v="1899-12-30T14:49:00"/>
    <d v="1899-12-30T16:17:00"/>
    <n v="88"/>
    <d v="1899-12-30T15:00:00"/>
    <d v="1899-12-30T16:15:00"/>
    <n v="75"/>
    <d v="1899-12-30T14:49:00"/>
    <d v="1899-12-30T16:08:00"/>
    <n v="79"/>
    <d v="1899-12-30T15:08:00"/>
    <d v="1899-12-30T15:58:00"/>
    <d v="1899-12-30T16:08:00"/>
    <n v="79"/>
    <n v="50"/>
    <d v="1899-12-30T16:10:00"/>
    <d v="1899-12-30T16:36:00"/>
    <n v="26"/>
    <m/>
    <m/>
    <m/>
    <s v="SHME OR 14"/>
    <s v="Urology"/>
    <s v="Yes"/>
    <s v="Pe, Mark-Rally Lao, Md"/>
    <s v="LASER VAPORIZATION OF PROSTATE, INCLUDING CONTROL OF POSTOPERATIVEBLEEDING, COMPLETE (VASECTOMY, MEATOTOMY, CYSTOURETHROSCOPY, URETHRALCALIBRATION AND/OR DILATION, INTERNAL URETHROTOMY AND TRANSURET"/>
    <s v="GREEN LIGHT LASER VAPORIZATION OF THE PROSTATE - N/A"/>
    <s v="Fri"/>
    <m/>
    <m/>
    <m/>
    <s v="PE, MARK-RALLY LAO"/>
    <m/>
    <s v="Mark-Rally Lao Pe, MD"/>
    <m/>
    <s v="Pe"/>
  </r>
  <r>
    <d v="2026-08-21T00:00:00"/>
    <s v="6612392"/>
    <s v="Martinez, Miguel A"/>
    <s v="Outpatient"/>
    <x v="1"/>
    <n v="3901444480"/>
    <s v="811482309"/>
    <d v="1964-03-28T00:00:00"/>
    <s v="Li, Robin T, MD"/>
    <s v="General"/>
    <s v="3"/>
    <d v="1899-12-30T13:15:00"/>
    <d v="1899-12-30T14:14:00"/>
    <n v="59"/>
    <d v="1899-12-30T13:15:00"/>
    <d v="1899-12-30T14:30:00"/>
    <n v="75"/>
    <d v="1899-12-30T13:15:00"/>
    <d v="1899-12-30T14:06:00"/>
    <n v="51"/>
    <d v="1899-12-30T13:33:00"/>
    <d v="1899-12-30T14:04:00"/>
    <d v="1899-12-30T14:06:00"/>
    <n v="51"/>
    <n v="31"/>
    <d v="1899-12-30T14:07:28"/>
    <d v="1899-12-30T16:15:00"/>
    <n v="128"/>
    <d v="1899-12-30T16:17:00"/>
    <m/>
    <m/>
    <s v="SHME OR 14"/>
    <s v="Urology"/>
    <s v="No"/>
    <s v="Pe, Mark-Rally Lao, Md"/>
    <s v="LASER VAPORIZATION OF PROSTATE, INCLUDING CONTROL OF POSTOPERATIVEBLEEDING, COMPLETE (VASECTOMY, MEATOTOMY, CYSTOURETHROSCOPY, URETHRALCALIBRATION AND/OR DILATION, INTERNAL URETHROTOMY AND TRANSURET"/>
    <s v="GREENLIGHT LASER VAPORIZATION OF PROSTATE - N/A"/>
    <s v="Fri"/>
    <m/>
    <m/>
    <m/>
    <s v="PE, MARK-RALLY LAO"/>
    <m/>
    <s v="Mark-Rally Lao Pe, MD"/>
    <m/>
    <s v="Pe"/>
  </r>
  <r>
    <d v="2026-08-21T00:00:00"/>
    <s v="6615775"/>
    <s v="Say, Cindy S"/>
    <s v="Outpatient"/>
    <x v="1"/>
    <n v="3901445428"/>
    <s v="700467419"/>
    <d v="1955-08-01T00:00:00"/>
    <s v="Ngo, Donald Hanh, MD"/>
    <s v="General"/>
    <s v="2"/>
    <d v="1899-12-30T10:26:00"/>
    <d v="1899-12-30T11:12:00"/>
    <n v="46"/>
    <d v="1899-12-30T09:30:00"/>
    <d v="1899-12-30T10:15:00"/>
    <n v="45"/>
    <d v="1899-12-30T10:26:00"/>
    <d v="1899-12-30T11:07:00"/>
    <n v="41"/>
    <d v="1899-12-30T10:40:00"/>
    <d v="1899-12-30T11:00:00"/>
    <d v="1899-12-30T11:07:00"/>
    <n v="41"/>
    <n v="20"/>
    <d v="1899-12-30T11:10:00"/>
    <d v="1899-12-30T12:01:00"/>
    <n v="51"/>
    <m/>
    <m/>
    <m/>
    <s v="SHME OR 15"/>
    <s v="General"/>
    <s v="No"/>
    <s v="Langenberg, Bret James, Do"/>
    <s v="LAPAROSCOPY, SURGICAL; CHOLECYSTECTOMY"/>
    <s v="LAPAROSCOPIC CHOLECYSTECTOMY - N/A"/>
    <s v="Fri"/>
    <m/>
    <m/>
    <m/>
    <s v="LANGENBERG, BRET JAMES"/>
    <m/>
    <s v="Bret James Langenberg, DO"/>
    <m/>
    <s v="Langenberg"/>
  </r>
  <r>
    <d v="2026-08-21T00:00:00"/>
    <s v="6615796"/>
    <s v="Gonzalez, Mario A"/>
    <s v="Outpatient"/>
    <x v="1"/>
    <n v="3901445433"/>
    <s v="701965267"/>
    <d v="1967-01-01T00:00:00"/>
    <s v="Ngo, Donald Hanh, MD"/>
    <s v="General"/>
    <s v="3"/>
    <d v="1899-12-30T14:02:00"/>
    <d v="1899-12-30T14:51:00"/>
    <n v="49"/>
    <d v="1899-12-30T13:35:00"/>
    <d v="1899-12-30T14:20:00"/>
    <n v="45"/>
    <d v="1899-12-30T14:02:00"/>
    <d v="1899-12-30T14:43:00"/>
    <n v="41"/>
    <d v="1899-12-30T14:16:00"/>
    <d v="1899-12-30T14:40:00"/>
    <d v="1899-12-30T14:43:00"/>
    <n v="41"/>
    <n v="24"/>
    <d v="1899-12-30T14:45:00"/>
    <d v="1899-12-30T16:16:00"/>
    <n v="91"/>
    <d v="1899-12-30T16:17:00"/>
    <d v="1899-12-30T17:10:00"/>
    <n v="53"/>
    <s v="SHME OR 16"/>
    <s v="General"/>
    <s v="No"/>
    <s v="Langenberg, Bret James, Do"/>
    <s v="PROCTOPLASTY; FOR PROLAPSE OF MUCOUS MEMBRANE_x000a_HEMORRHOIDECTOMY, INTERNAL, BY LIGATION OTHER THAN RUBBER BAND; 2 ORMORE HEMORRHOID COLUMNS/GROUPS_x000a_ULTRASONIC GUIDANCE, INTRAOPERATIVE_x000a_EXCISION OF MULTIPLE EXTERNAL PAPILLAE OR TAGS, ANUS"/>
    <s v="HEMORRHOIDAL TISSUE AND ARTERY LIGATION WITH RECTOANAL REPAIR AND REMOVAL OF ANAL SKIN TAGS - N/A"/>
    <s v="Fri"/>
    <m/>
    <m/>
    <m/>
    <s v="LANGENBERG, BRET JAMES"/>
    <m/>
    <s v="Bret James Langenberg, DO"/>
    <m/>
    <s v="Langenberg"/>
  </r>
  <r>
    <d v="2026-08-21T00:00:00"/>
    <s v="6619908"/>
    <s v="Shubert, Nicholas P"/>
    <s v="Outpatient"/>
    <x v="1"/>
    <n v="3901446165"/>
    <s v="811483108"/>
    <d v="1989-09-17T00:00:00"/>
    <s v="Ngo, Donald Hanh, MD"/>
    <s v="General"/>
    <s v="1"/>
    <d v="1899-12-30T12:55:00"/>
    <d v="1899-12-30T13:32:00"/>
    <n v="37"/>
    <d v="1899-12-30T12:30:00"/>
    <d v="1899-12-30T13:15:00"/>
    <n v="45"/>
    <d v="1899-12-30T12:55:00"/>
    <d v="1899-12-30T13:28:00"/>
    <n v="33"/>
    <d v="1899-12-30T13:08:00"/>
    <d v="1899-12-30T13:23:00"/>
    <d v="1899-12-30T13:28:00"/>
    <n v="33"/>
    <n v="15"/>
    <d v="1899-12-30T13:30:00"/>
    <d v="1899-12-30T15:05:00"/>
    <n v="95"/>
    <d v="1899-12-30T15:05:00"/>
    <d v="1899-12-30T17:18:00"/>
    <n v="133"/>
    <s v="SHME OR 16"/>
    <s v="General"/>
    <s v="No"/>
    <s v="Langenberg, Bret James, Do"/>
    <s v="PROCTOPLASTY; FOR PROLAPSE OF MUCOUS MEMBRANE_x000a_HEMORRHOIDECTOMY, INTERNAL, BY LIGATION OTHER THAN RUBBER BAND; 2 ORMORE HEMORRHOID COLUMNS/GROUPS_x000a_ULTRASONIC GUIDANCE, INTRAOPERATIVE"/>
    <s v="HEMORRHOIDAL TISSUE AND ARTERY LIGATION WITH RECTOANAL REPAIR - N/A"/>
    <s v="Fri"/>
    <m/>
    <m/>
    <m/>
    <s v="LANGENBERG, BRET JAMES"/>
    <m/>
    <s v="Bret James Langenberg, DO"/>
    <m/>
    <s v="Langenberg"/>
  </r>
  <r>
    <d v="2026-08-21T00:00:00"/>
    <s v="6620058"/>
    <s v="Kareem, Akram S"/>
    <s v="Outpatient"/>
    <x v="1"/>
    <n v="3901446206"/>
    <s v="811483104"/>
    <d v="1970-10-12T00:00:00"/>
    <s v="Ngo, Donald Hanh, MD"/>
    <s v="General"/>
    <s v="2"/>
    <d v="1899-12-30T07:36:00"/>
    <d v="1899-12-30T10:09:00"/>
    <n v="153"/>
    <d v="1899-12-30T07:30:00"/>
    <d v="1899-12-30T08:45:00"/>
    <n v="75"/>
    <d v="1899-12-30T07:36:00"/>
    <d v="1899-12-30T10:04:00"/>
    <n v="148"/>
    <d v="1899-12-30T08:02:00"/>
    <d v="1899-12-30T10:02:00"/>
    <d v="1899-12-30T10:04:00"/>
    <n v="148"/>
    <n v="120"/>
    <d v="1899-12-30T10:06:00"/>
    <d v="1899-12-30T10:56:00"/>
    <n v="50"/>
    <m/>
    <m/>
    <m/>
    <s v="SHME OR 16"/>
    <s v="General"/>
    <s v="No"/>
    <s v="Langenberg, Bret James, Do"/>
    <s v="REPAIR OF ANTERIOR ABDOMINAL HERNIA(S) (IE, EPIGASTRIC, INCISIONAL, VENTRAL, UMBILICAL, SPIGELIAN), INITIAL, TOTAL LENGTH OF DEFECT(S); GREATER THAN 10 CM, INCARCERATED OR STRANGULATED"/>
    <s v="OPEN REPAIR BILATERAL FLANK HERNIAS WITH MESH - Bilateral"/>
    <s v="Fri"/>
    <m/>
    <m/>
    <m/>
    <s v="LANGENBERG, BRET JAMES"/>
    <m/>
    <s v="Bret James Langenberg, DO"/>
    <m/>
    <s v="Langenberg"/>
  </r>
  <r>
    <d v="2026-08-21T00:00:00"/>
    <s v="6620072"/>
    <s v="Talbott, Tory E"/>
    <s v="Outpatient"/>
    <x v="1"/>
    <n v="3901446207"/>
    <s v="811483110"/>
    <d v="1998-01-22T00:00:00"/>
    <s v="Ngo, Donald Hanh, MD"/>
    <s v="General"/>
    <s v="3"/>
    <d v="1899-12-30T11:39:00"/>
    <d v="1899-12-30T12:39:00"/>
    <n v="60"/>
    <d v="1899-12-30T11:50:00"/>
    <d v="1899-12-30T12:35:00"/>
    <n v="45"/>
    <d v="1899-12-30T11:39:00"/>
    <d v="1899-12-30T12:35:00"/>
    <n v="56"/>
    <d v="1899-12-30T11:52:00"/>
    <d v="1899-12-30T12:19:00"/>
    <d v="1899-12-30T12:35:00"/>
    <n v="56"/>
    <n v="27"/>
    <d v="1899-12-30T12:37:02"/>
    <d v="1899-12-30T13:30:00"/>
    <n v="53"/>
    <d v="1899-12-30T13:31:00"/>
    <d v="1899-12-30T14:50:00"/>
    <n v="79"/>
    <s v="SHME OR 15"/>
    <s v="General"/>
    <s v="No"/>
    <s v="Langenberg, Bret James, Do"/>
    <s v="LAPAROSCOPY, SURGICAL; CHOLECYSTECTOMY"/>
    <s v="LAPAROSCOPIC CHOLECYSTECTOMY WITH LIVER BIOPSY - N/A"/>
    <s v="Fri"/>
    <m/>
    <m/>
    <m/>
    <s v="LANGENBERG, BRET JAMES"/>
    <m/>
    <s v="Bret James Langenberg, DO"/>
    <m/>
    <s v="Langenberg"/>
  </r>
  <r>
    <d v="2026-08-21T00:00:00"/>
    <s v="6442449"/>
    <s v="Pilco, Marcelo I"/>
    <s v="Outpatient"/>
    <x v="1"/>
    <n v="3901423366"/>
    <s v="810675900"/>
    <d v="1973-04-16T00:00:00"/>
    <s v="Rayan, Hany A, MD"/>
    <s v="General"/>
    <s v="2"/>
    <d v="1899-12-30T11:00:00"/>
    <d v="1899-12-30T12:38:00"/>
    <n v="98"/>
    <d v="1899-12-30T10:30:00"/>
    <d v="1899-12-30T12:00:00"/>
    <n v="90"/>
    <d v="1899-12-30T10:56:00"/>
    <d v="1899-12-30T12:35:00"/>
    <n v="99"/>
    <d v="1899-12-30T11:21:00"/>
    <d v="1899-12-30T12:25:00"/>
    <d v="1899-12-30T12:35:00"/>
    <n v="99"/>
    <n v="64"/>
    <d v="1899-12-30T12:37:00"/>
    <d v="1899-12-30T15:20:00"/>
    <n v="163"/>
    <d v="1899-12-30T15:20:00"/>
    <d v="1899-12-30T16:25:00"/>
    <n v="65"/>
    <s v="SHME OR 10"/>
    <s v="General"/>
    <s v="Yes"/>
    <s v="Lim, Lian, Md"/>
    <s v="LAPAROSCOPY, SURGICAL; CHOLECYSTECTOMY"/>
    <s v="ROBOTIC CHOLECYSTECTOMY, POSSIBLE OPEN - N/A"/>
    <s v="Fri"/>
    <m/>
    <m/>
    <m/>
    <s v="LIM, LIAN"/>
    <m/>
    <s v="Lian Lim, MD"/>
    <m/>
    <s v="Lim"/>
  </r>
  <r>
    <d v="2026-08-21T00:00:00"/>
    <s v="6626958"/>
    <s v="Rankin, Michele"/>
    <s v="Outpatient"/>
    <x v="1"/>
    <n v="3901447519"/>
    <s v="811484256"/>
    <d v="1959-06-02T00:00:00"/>
    <s v="Luu, Tiffany, MD"/>
    <s v="Regional"/>
    <s v="2"/>
    <d v="1899-12-30T07:27:00"/>
    <d v="1899-12-30T09:59:00"/>
    <n v="152"/>
    <d v="1899-12-30T07:30:00"/>
    <d v="1899-12-30T09:45:00"/>
    <n v="135"/>
    <d v="1899-12-30T07:26:00"/>
    <d v="1899-12-30T09:55:00"/>
    <n v="149"/>
    <d v="1899-12-30T08:05:00"/>
    <d v="1899-12-30T09:30:00"/>
    <d v="1899-12-30T09:55:00"/>
    <n v="149"/>
    <n v="85"/>
    <d v="1899-12-30T09:56:17"/>
    <d v="1899-12-30T10:40:00"/>
    <n v="44"/>
    <m/>
    <m/>
    <m/>
    <s v="SHME OR 04"/>
    <s v="Orthopedics"/>
    <s v="No"/>
    <s v="Fabi, David William, Md"/>
    <s v="ARTHROPLASTY, ACETABULAR AND PROXIMAL FEMORAL PROSTHETIC REPLACEMENT(TOTAL HIP ARTHROPLASTY), WITH OR WITHOUT AUTOGRAFT OR ALLOGRAFT"/>
    <s v="TOTAL ANTERIOR RIGHT HIP ARTHROPLASTY - Right"/>
    <s v="Fri"/>
    <m/>
    <m/>
    <m/>
    <s v="FABI, DAVID WILLIAM"/>
    <m/>
    <s v="David William Fabi, MD"/>
    <m/>
    <s v="Fabi"/>
  </r>
  <r>
    <d v="2026-08-21T00:00:00"/>
    <s v="6639271"/>
    <s v="Rosenzweig, Judith L"/>
    <s v="Outpatient"/>
    <x v="1"/>
    <n v="3901450588"/>
    <s v="200545258"/>
    <d v="1966-03-01T00:00:00"/>
    <s v="Rayan, Hany A, MD"/>
    <s v="General"/>
    <s v="2"/>
    <d v="1899-12-30T16:22:00"/>
    <d v="1899-12-30T18:02:00"/>
    <n v="100"/>
    <d v="1899-12-30T16:30:00"/>
    <d v="1899-12-30T18:00:00"/>
    <n v="90"/>
    <d v="1899-12-30T16:22:00"/>
    <d v="1899-12-30T17:56:00"/>
    <n v="94"/>
    <d v="1899-12-30T16:40:00"/>
    <d v="1899-12-30T17:47:00"/>
    <d v="1899-12-30T17:56:00"/>
    <n v="94"/>
    <n v="67"/>
    <d v="1899-12-30T18:01:38"/>
    <m/>
    <m/>
    <d v="1899-12-30T19:02:00"/>
    <d v="1899-12-30T20:50:00"/>
    <n v="108"/>
    <s v="SHME OR 10"/>
    <s v="General"/>
    <s v="No"/>
    <s v="Lim, Lian, Md"/>
    <s v="LAPAROSCOPY, SURGICAL; CHOLECYSTECTOMY"/>
    <s v="ROBOTIC CHOLECYSTECTOMY, POSSIBLE OPEN - N/A"/>
    <s v="Fri"/>
    <m/>
    <m/>
    <m/>
    <s v="LIM, LIAN"/>
    <m/>
    <s v="Lian Lim, MD"/>
    <m/>
    <s v="Lim"/>
  </r>
  <r>
    <d v="2026-08-21T00:00:00"/>
    <s v="6640735"/>
    <s v="Garcia Navarro, Blanca Estela"/>
    <s v="Outpatient"/>
    <x v="1"/>
    <n v="3901450152"/>
    <s v="110029787"/>
    <d v="1970-03-23T00:00:00"/>
    <s v="Fan, Ting-Wei, MD"/>
    <s v="General"/>
    <s v="3"/>
    <d v="1899-12-30T13:04:00"/>
    <d v="1899-12-30T13:45:00"/>
    <n v="41"/>
    <d v="1899-12-30T12:45:00"/>
    <d v="1899-12-30T13:30:00"/>
    <n v="45"/>
    <d v="1899-12-30T13:04:00"/>
    <d v="1899-12-30T13:38:00"/>
    <n v="34"/>
    <d v="1899-12-30T13:17:00"/>
    <d v="1899-12-30T13:33:00"/>
    <d v="1899-12-30T13:38:00"/>
    <n v="34"/>
    <n v="16"/>
    <d v="1899-12-30T13:42:00"/>
    <d v="1899-12-30T14:44:00"/>
    <n v="62"/>
    <d v="1899-12-30T14:45:00"/>
    <d v="1899-12-30T15:24:00"/>
    <n v="39"/>
    <s v="SHME OR 06"/>
    <s v="Urology"/>
    <s v="No"/>
    <s v="Unterberg, Stephen Harold, Md"/>
    <s v="LITHOTRIPSY, EXTRACORPOREAL SHOCK WAVE"/>
    <s v="LEFT EXTRACORPOREAL SHOCK WAVE LITHOTRIPSY - Left"/>
    <s v="Fri"/>
    <m/>
    <m/>
    <m/>
    <s v="UNTERBERG, STEPHEN HAROLD"/>
    <m/>
    <s v="Stephen Harold Unterberg, MD"/>
    <m/>
    <s v="Unterberg"/>
  </r>
  <r>
    <d v="2026-08-21T00:00:00"/>
    <s v="6641037"/>
    <s v="Alrifai, Manar M"/>
    <s v="Outpatient"/>
    <x v="1"/>
    <n v="3901450212"/>
    <s v="810419258"/>
    <d v="1972-02-14T00:00:00"/>
    <s v="Fan, Ting-Wei, MD"/>
    <s v="General"/>
    <s v="2"/>
    <d v="1899-12-30T14:19:00"/>
    <d v="1899-12-30T15:31:00"/>
    <n v="72"/>
    <d v="1899-12-30T14:00:00"/>
    <d v="1899-12-30T15:00:00"/>
    <n v="60"/>
    <d v="1899-12-30T14:19:00"/>
    <d v="1899-12-30T15:23:00"/>
    <n v="64"/>
    <d v="1899-12-30T14:45:00"/>
    <d v="1899-12-30T15:18:00"/>
    <d v="1899-12-30T15:23:00"/>
    <n v="64"/>
    <n v="33"/>
    <d v="1899-12-30T15:27:00"/>
    <d v="1899-12-30T17:20:00"/>
    <n v="113"/>
    <d v="1899-12-30T17:20:00"/>
    <d v="1899-12-30T18:40:00"/>
    <n v="80"/>
    <s v="SHME OR 06"/>
    <s v="Urology"/>
    <s v="No"/>
    <s v="Unterberg, Stephen Harold, Md"/>
    <s v="CYSTOURETHROSCOPY, WITH URETEROSCOPY AND/OR PYELOSCOPY; WITHLITHOTRIPSY INCLUDING INSERTION OF INDWELLING URETERAL STENT (EG,GIBBONS OR DOUBLE-J TYPE)"/>
    <s v="CYSTOSCOPY, LEFT RETROGRADE PYELOGRAM, LEFT URETEROSCOPY, LEFT LASER LITHOTRIPSY, LEFT URETERAL STENT INSERTION - Left"/>
    <s v="Fri"/>
    <m/>
    <m/>
    <m/>
    <s v="UNTERBERG, STEPHEN HAROLD"/>
    <m/>
    <s v="Stephen Harold Unterberg, MD"/>
    <m/>
    <s v="Unterberg"/>
  </r>
  <r>
    <d v="2026-08-21T00:00:00"/>
    <s v="6663566"/>
    <s v="Denny, Tara"/>
    <s v="Outpatient"/>
    <x v="1"/>
    <n v="3901454385"/>
    <s v="811489247"/>
    <d v="1973-12-25T00:00:00"/>
    <s v="Fan, Ting-Wei, MD"/>
    <s v="General"/>
    <s v="2"/>
    <d v="1899-12-30T16:04:00"/>
    <d v="1899-12-30T17:44:00"/>
    <n v="100"/>
    <d v="1899-12-30T15:30:00"/>
    <d v="1899-12-30T16:30:00"/>
    <n v="60"/>
    <d v="1899-12-30T16:04:00"/>
    <d v="1899-12-30T17:35:00"/>
    <n v="91"/>
    <d v="1899-12-30T16:30:00"/>
    <d v="1899-12-30T17:32:00"/>
    <d v="1899-12-30T17:35:00"/>
    <n v="91"/>
    <n v="62"/>
    <d v="1899-12-30T17:45:00"/>
    <d v="1899-12-30T18:20:08"/>
    <n v="35"/>
    <d v="1899-12-30T18:20:10"/>
    <d v="1899-12-30T19:20:00"/>
    <n v="60"/>
    <s v="SHME OR 06"/>
    <s v="Urology"/>
    <s v="No"/>
    <s v="Unterberg, Stephen Harold, Md"/>
    <s v="CYSTOURETHROSCOPY, WITH URETEROSCOPY AND/OR PYELOSCOPY; WITHLITHOTRIPSY INCLUDING INSERTION OF INDWELLING URETERAL STENT (EG,GIBBONS OR DOUBLE-J TYPE)"/>
    <s v="CYSTOSCOPY, RIGHT URETEROSCOPY, RIGHT LASER LITHOTRIPSY, RIGHT URETERAL STENT EXCHANGE - Right"/>
    <s v="Fri"/>
    <m/>
    <m/>
    <m/>
    <s v="UNTERBERG, STEPHEN HAROLD"/>
    <m/>
    <s v="Stephen Harold Unterberg, MD"/>
    <m/>
    <s v="Unterberg"/>
  </r>
  <r>
    <d v="2026-08-21T00:00:00"/>
    <s v="6665803"/>
    <s v="Ponce, Raul"/>
    <s v="Inpatient"/>
    <x v="0"/>
    <n v="3400730039"/>
    <s v="810114450"/>
    <d v="1950-12-11T00:00:00"/>
    <s v="Ramos, Joshua Neftalie, MD"/>
    <s v="General"/>
    <s v="3"/>
    <d v="1899-12-30T12:41:00"/>
    <d v="1899-12-30T15:13:00"/>
    <n v="152"/>
    <d v="1899-12-30T12:00:00"/>
    <d v="1899-12-30T15:00:00"/>
    <n v="180"/>
    <d v="1899-12-30T12:41:00"/>
    <d v="1899-12-30T15:04:00"/>
    <n v="143"/>
    <d v="1899-12-30T13:09:00"/>
    <d v="1899-12-30T14:56:00"/>
    <d v="1899-12-30T15:04:00"/>
    <n v="143"/>
    <n v="107"/>
    <d v="1899-12-30T15:06:00"/>
    <d v="1899-12-30T17:15:00"/>
    <n v="129"/>
    <m/>
    <m/>
    <m/>
    <s v="SHME OR 07"/>
    <s v="General"/>
    <s v="Yes"/>
    <s v="Dieffenbach, Bryan Vinson, Md"/>
    <s v="THROMBOENDARTERECTOMY, INCLUDING PATCH GRAFT, IF PERFORMED; COMMONFEMORAL"/>
    <s v="LEFT FEMORAL ENDARTERECTOMY, ILEOFEMORAL THROMBECTOMY, POSSIBLE ANGIOGRAM - Left"/>
    <s v="Fri"/>
    <m/>
    <m/>
    <m/>
    <s v="DIEFFENBACH, BRYAN VINSON_x000a_FERNANDEZ, NATHANIAL"/>
    <s v="Panel 1: Dr. Dieffenbach, Bryan Vinson, MD / Fernandez, Nathanial, MD"/>
    <s v="Bryan Vinson Dieffenbach, MD"/>
    <m/>
    <s v="Dieffenbach"/>
  </r>
  <r>
    <d v="2026-08-21T00:00:00"/>
    <s v="6668651"/>
    <s v="Guillotte, Roland C"/>
    <s v="Inpatient"/>
    <x v="0"/>
    <n v="3901454953"/>
    <s v="110077757"/>
    <d v="1965-02-19T00:00:00"/>
    <s v="Chung, Michelle Sheryl, MD"/>
    <s v="Regional"/>
    <s v="3"/>
    <d v="1899-12-30T14:38:00"/>
    <d v="1899-12-30T17:31:00"/>
    <n v="173"/>
    <d v="1899-12-30T14:30:00"/>
    <d v="1899-12-30T17:30:00"/>
    <n v="180"/>
    <d v="1899-12-30T14:38:00"/>
    <d v="1899-12-30T17:27:00"/>
    <n v="169"/>
    <d v="1899-12-30T15:38:00"/>
    <d v="1899-12-30T17:17:00"/>
    <d v="1899-12-30T17:27:00"/>
    <n v="169"/>
    <n v="99"/>
    <d v="1899-12-30T17:30:00"/>
    <d v="1899-12-30T18:24:00"/>
    <n v="54"/>
    <m/>
    <m/>
    <m/>
    <s v="SHME OR 05"/>
    <s v="General"/>
    <s v="No"/>
    <s v="Giurgiu, Dan I.N., Md"/>
    <s v="LAPAROSCOPY, SURGICAL; ENTERECTOMY, RESECTION OF SMALL INTESTINE, SINGLERESECTION AND ANASTOMOSIS"/>
    <s v="ROBOT RESECTION OF SMALL INTESTINE, POSSIBLE OPEN - N/A"/>
    <s v="Fri"/>
    <m/>
    <m/>
    <m/>
    <s v="GIURGIU, DAN I.N."/>
    <m/>
    <s v="Dan I.N. Giurgiu, MD (619-330-8330)"/>
    <m/>
    <s v="Giurgiu"/>
  </r>
  <r>
    <d v="2026-08-21T00:00:00"/>
    <s v="6669745"/>
    <s v="Greene, Samuel A"/>
    <s v="Inpatient"/>
    <x v="0"/>
    <n v="3901440848"/>
    <s v="610549711"/>
    <d v="1963-06-10T00:00:00"/>
    <s v="Ramos, Joshua Neftalie, MD"/>
    <s v="General"/>
    <s v="4"/>
    <d v="1899-12-30T07:49:00"/>
    <d v="1899-12-30T11:50:00"/>
    <n v="241"/>
    <d v="1899-12-30T07:30:00"/>
    <d v="1899-12-30T11:30:00"/>
    <n v="240"/>
    <d v="1899-12-30T07:49:00"/>
    <d v="1899-12-30T11:41:00"/>
    <n v="232"/>
    <d v="1899-12-30T08:52:00"/>
    <d v="1899-12-30T11:33:00"/>
    <d v="1899-12-30T11:41:00"/>
    <n v="232"/>
    <n v="161"/>
    <d v="1899-12-30T11:43:00"/>
    <d v="1899-12-30T12:30:00"/>
    <n v="47"/>
    <m/>
    <m/>
    <m/>
    <s v="SHME OR 07"/>
    <s v="Vascular"/>
    <s v="Yes"/>
    <s v="Fernandez, Nathanial, Md"/>
    <s v="BYPASS GRAFT, WITH VEIN; FEMORAL-ANTERIOR TIBIAL, POSTERIOR TIBIAL,PERONEAL ARTERY OR OTHER DISTAL VESSELS"/>
    <s v="RIGHT FEMORAL TO POSTERIOR TIBIAL BYPASS WITH CRYOVEIN - Right"/>
    <s v="Fri"/>
    <m/>
    <s v="ED/IP/IC"/>
    <m/>
    <s v="FERNANDEZ, NATHANIAL_x000a_DIEFFENBACH, BRYAN VINSON"/>
    <s v="Panel 1: Dr. Fernandez, Nathanial, MD / Dieffenbach, Bryan Vinson, MD"/>
    <s v="Nathanial Fernandez, MD"/>
    <m/>
    <s v="Fernandez"/>
  </r>
  <r>
    <d v="2026-08-21T00:00:00"/>
    <s v="6474054"/>
    <s v="Hegarty, John E III"/>
    <s v="Outpatient"/>
    <x v="1"/>
    <n v="3901434274"/>
    <s v="810802522"/>
    <d v="1983-09-19T00:00:00"/>
    <s v="Rayan, Hany A, MD"/>
    <s v="Regional"/>
    <s v="2"/>
    <d v="1899-12-30T07:35:00"/>
    <d v="1899-12-30T10:36:00"/>
    <n v="181"/>
    <d v="1899-12-30T07:30:00"/>
    <d v="1899-12-30T10:00:00"/>
    <n v="150"/>
    <d v="1899-12-30T07:35:00"/>
    <d v="1899-12-30T10:30:00"/>
    <n v="175"/>
    <d v="1899-12-30T08:05:00"/>
    <d v="1899-12-30T10:22:00"/>
    <d v="1899-12-30T10:30:00"/>
    <n v="175"/>
    <n v="137"/>
    <d v="1899-12-30T10:33:00"/>
    <d v="1899-12-30T11:50:00"/>
    <n v="77"/>
    <d v="1899-12-30T11:50:00"/>
    <d v="1899-12-30T12:45:00"/>
    <n v="55"/>
    <s v="SHME OR 10"/>
    <s v="General"/>
    <s v="No"/>
    <s v="Lim, Lian, Md"/>
    <s v="REPAIR OF ANTERIOR ABDOMINAL HERNIA(S) (IE, EPIGASTRIC, INCISIONAL, VENTRAL, UMBILICAL, SPIGELIAN), ANY APPROACH (IE, OPEN, LAPAROSCOPIC, ROBOTIC), INITIAL, INCLUDING IMPLANTATION OF MESH OR OTHER"/>
    <s v="ROBOTIC VENTRAL HERNIA REPAIR WITH MESH, POSSIBLE OPEN - N/A"/>
    <s v="Fri"/>
    <m/>
    <m/>
    <m/>
    <s v="LIM, LIAN"/>
    <m/>
    <s v="Lian Lim, MD"/>
    <m/>
    <s v="Lim"/>
  </r>
  <r>
    <d v="2026-08-21T00:00:00"/>
    <s v="6674174"/>
    <s v="Lewis, Irene"/>
    <s v="Inpatient"/>
    <x v="0"/>
    <n v="3901439197"/>
    <s v="811096796"/>
    <d v="1995-10-31T00:00:00"/>
    <s v="Ramos, Joshua Neftalie, MD"/>
    <s v="General"/>
    <s v="3"/>
    <d v="1899-12-30T15:45:00"/>
    <d v="1899-12-30T17:46:00"/>
    <n v="121"/>
    <d v="1899-12-30T15:30:00"/>
    <d v="1899-12-30T17:00:00"/>
    <n v="90"/>
    <d v="1899-12-30T15:45:00"/>
    <d v="1899-12-30T17:37:00"/>
    <n v="112"/>
    <d v="1899-12-30T16:14:00"/>
    <d v="1899-12-30T17:31:00"/>
    <d v="1899-12-30T17:37:00"/>
    <n v="112"/>
    <n v="77"/>
    <d v="1899-12-30T17:40:00"/>
    <d v="1899-12-30T18:19:00"/>
    <n v="39"/>
    <m/>
    <m/>
    <m/>
    <s v="SHME OR 07"/>
    <s v="General"/>
    <s v="No"/>
    <s v="Dieffenbach, Bryan Vinson, Md"/>
    <s v="EXCISION OF INFECTED GRAFT; EXTREMITY"/>
    <s v="COMPLETE EXCISION OF INFECTED LEFT CEPHALIC VEIN - Left"/>
    <s v="Fri"/>
    <m/>
    <s v="ED/IP/IC"/>
    <m/>
    <s v="DIEFFENBACH, BRYAN VINSON"/>
    <m/>
    <s v="Bryan Vinson Dieffenbach, MD"/>
    <m/>
    <s v="Dieffenbach"/>
  </r>
  <r>
    <d v="2026-08-21T00:00:00"/>
    <s v="6675292"/>
    <s v="Silva, Selena E"/>
    <s v="Inpatient"/>
    <x v="0"/>
    <n v="3400731534"/>
    <s v="400441661"/>
    <d v="1999-06-23T00:00:00"/>
    <s v="Luu, Tiffany, MD"/>
    <s v="General"/>
    <s v="2"/>
    <d v="1899-12-30T10:17:00"/>
    <d v="1899-12-30T11:12:00"/>
    <n v="55"/>
    <d v="1899-12-30T10:15:00"/>
    <d v="1899-12-30T11:15:00"/>
    <n v="60"/>
    <d v="1899-12-30T10:17:00"/>
    <d v="1899-12-30T11:10:00"/>
    <n v="53"/>
    <d v="1899-12-30T10:42:00"/>
    <d v="1899-12-30T11:03:00"/>
    <d v="1899-12-30T11:10:00"/>
    <n v="53"/>
    <n v="21"/>
    <d v="1899-12-30T11:11:27"/>
    <d v="1899-12-30T12:10:32"/>
    <n v="59"/>
    <m/>
    <m/>
    <m/>
    <s v="SHME OR 03"/>
    <s v="Dentistry"/>
    <s v="No"/>
    <s v="Scholer, Travis, Dmd"/>
    <s v="EXTRAORAL INCISION AND DRAINAGE OF ABSCESS, CYST, OR HEMATOMA OF FLOOROF MOUTH; SUBMANDIBULAR"/>
    <s v="EXAM UNDER ANESTHESIA, INCISION AND DRAINAGE OF RIGHT PTERYGOMANDIBULAR SPACE AND RIGHT SUBMANDIBULAR SPACE, EXTRACTION OF TOOTH #31, POSSIBLE EXTRACTION OF ANY INDICATED TEETH, AND ANY INDICATED PROCEDURE - Right"/>
    <s v="Fri"/>
    <m/>
    <m/>
    <m/>
    <s v="SCHOLER, TRAVIS"/>
    <m/>
    <s v="Travis Scholer, DMD"/>
    <m/>
    <s v="Scholer"/>
  </r>
  <r>
    <d v="2026-08-21T00:00:00"/>
    <s v="6675667"/>
    <s v="Bogard, Clarence N"/>
    <s v="Inpatient"/>
    <x v="0"/>
    <n v="3901456092"/>
    <s v="811101043"/>
    <d v="1946-04-15T00:00:00"/>
    <s v="Patel, Lance Kirit, MD"/>
    <s v="Regional"/>
    <s v="4"/>
    <d v="1899-12-30T12:57:00"/>
    <d v="1899-12-30T15:32:00"/>
    <n v="155"/>
    <d v="1899-12-30T12:30:00"/>
    <d v="1899-12-30T14:30:00"/>
    <n v="120"/>
    <d v="1899-12-30T12:57:00"/>
    <d v="1899-12-30T15:22:00"/>
    <n v="145"/>
    <d v="1899-12-30T13:46:00"/>
    <d v="1899-12-30T15:19:00"/>
    <d v="1899-12-30T15:22:00"/>
    <n v="145"/>
    <n v="93"/>
    <d v="1899-12-30T15:23:36"/>
    <d v="1899-12-30T17:01:00"/>
    <n v="98"/>
    <m/>
    <m/>
    <m/>
    <s v="SHME OR 04"/>
    <s v="Orthopedics"/>
    <s v="No"/>
    <s v="Dromsky, David Michael, Md"/>
    <s v="OPEN TREATMENT OF FEMORAL FRACTURE, PROXIMAL END, NECK, INTERNALFIXATION OR PROSTHETIC REPLACEMENT"/>
    <s v="RIGHT HIP HEMIARTHROPLASTY - Right"/>
    <s v="Fri"/>
    <m/>
    <m/>
    <m/>
    <s v="DROMSKY, DAVID MICHAEL"/>
    <m/>
    <s v="David Michael Dromsky, MD"/>
    <m/>
    <s v="Dromsky"/>
  </r>
  <r>
    <d v="2026-08-21T00:00:00"/>
    <s v="6677523"/>
    <s v="De Noriega, Alejandrina O"/>
    <s v="Inpatient"/>
    <x v="0"/>
    <n v="3901452693"/>
    <s v="100669478"/>
    <d v="1939-02-14T00:00:00"/>
    <s v="Patel, Lance Kirit, MD"/>
    <s v="Regional"/>
    <s v="3"/>
    <d v="1899-12-30T15:47:00"/>
    <d v="1899-12-30T17:34:00"/>
    <n v="107"/>
    <d v="1899-12-30T14:30:00"/>
    <d v="1899-12-30T16:10:00"/>
    <n v="130"/>
    <d v="1899-12-30T15:47:00"/>
    <d v="1899-12-30T17:24:00"/>
    <n v="97"/>
    <d v="1899-12-30T16:27:00"/>
    <d v="1899-12-30T17:04:00"/>
    <d v="1899-12-30T17:24:00"/>
    <n v="97"/>
    <n v="37"/>
    <d v="1899-12-30T17:25:24"/>
    <d v="1899-12-30T18:46:00"/>
    <n v="81"/>
    <m/>
    <m/>
    <m/>
    <s v="SHME OR 01"/>
    <s v="Orthopedics"/>
    <s v="Yes"/>
    <s v="Dromsky, David Michael, Md"/>
    <s v="TREATMENT OF INTERTROCHANTERIC, PERITROCHANTERIC, OR SUBTROCHANTERICFEMORAL FRACTURE; WITH INTRAMEDULLARY IMPLANT, WITH OR WITHOUTINTERLOCKING SCREWS AND/OR CERCLAGE"/>
    <s v="TREATMENT OF INTERTROCHANTERIC, PERITROCHANTERIC, OR SUBTROCHANTERICFEMORAL FRACTURE; WITH INTRAMEDULLARY IMPLANT, WITH OR WITHOUTINTERLOCKING SCREWS AND/OR CERCLAGE - Left"/>
    <s v="Fri"/>
    <m/>
    <m/>
    <m/>
    <s v="DROMSKY, DAVID MICHAEL"/>
    <m/>
    <s v="David Michael Dromsky, MD"/>
    <m/>
    <s v="Dromsky"/>
  </r>
  <r>
    <d v="2026-08-21T00:00:00"/>
    <s v="6677552"/>
    <s v="Gonzalez, Jennifer C"/>
    <s v="Inpatient"/>
    <x v="0"/>
    <n v="3901455408"/>
    <s v="810204615"/>
    <d v="1999-10-09T00:00:00"/>
    <s v="Feduska, Collin Steven, MD"/>
    <s v="General"/>
    <s v="3"/>
    <d v="1899-12-30T17:18:00"/>
    <d v="1899-12-30T18:21:00"/>
    <n v="63"/>
    <d v="1899-12-30T16:40:00"/>
    <d v="1899-12-30T17:35:00"/>
    <n v="85"/>
    <d v="1899-12-30T17:18:00"/>
    <d v="1899-12-30T18:13:00"/>
    <n v="55"/>
    <d v="1899-12-30T17:41:00"/>
    <d v="1899-12-30T18:09:00"/>
    <d v="1899-12-30T18:13:00"/>
    <n v="55"/>
    <n v="28"/>
    <d v="1899-12-30T18:15:00"/>
    <d v="1899-12-30T18:45:00"/>
    <n v="30"/>
    <m/>
    <m/>
    <m/>
    <s v="SHME OR 04"/>
    <s v="Orthopedics"/>
    <s v="No"/>
    <s v="Dromsky, David Michael, Md"/>
    <s v="INCISION AND DRAINAGE OF ABSCESS (EG, CARBUNCLE, SUPPURATIVEHIDRADENITIS, CUTANEOUS OR SUBCUTANEOUS ABSCESS, CYST, FURUNCLE, ORPARONYCHIA); COMPLICATED OR MULTIPLE"/>
    <s v="INCISION AND DRAINAGE OF ABSCESS (EG, CARBUNCLE, SUPPURATIVEHIDRADENITIS, CUTANEOUS OR SUBCUTANEOUS ABSCESS, CYST, FURUNCLE, ORPARONYCHIA); COMPLICATED OR MULTIPLE - Right"/>
    <s v="Fri"/>
    <m/>
    <m/>
    <m/>
    <s v="DROMSKY, DAVID MICHAEL"/>
    <m/>
    <s v="David Michael Dromsky, MD"/>
    <m/>
    <s v="Dromsky"/>
  </r>
  <r>
    <d v="2026-08-21T00:00:00"/>
    <s v="6677909"/>
    <s v="Luwis, Mirna"/>
    <s v="Outpatient"/>
    <x v="1"/>
    <n v="3901456982"/>
    <s v="810473108"/>
    <d v="1997-07-04T00:00:00"/>
    <s v="Luu, Tiffany, MD"/>
    <s v="General"/>
    <s v="2"/>
    <d v="1899-12-30T11:30:00"/>
    <d v="1899-12-30T12:58:00"/>
    <n v="88"/>
    <d v="1899-12-30T10:30:00"/>
    <d v="1899-12-30T12:15:00"/>
    <n v="135"/>
    <d v="1899-12-30T11:30:00"/>
    <d v="1899-12-30T12:53:00"/>
    <n v="83"/>
    <d v="1899-12-30T11:52:00"/>
    <d v="1899-12-30T12:48:00"/>
    <d v="1899-12-30T12:53:00"/>
    <n v="83"/>
    <n v="56"/>
    <d v="1899-12-30T12:55:44"/>
    <d v="1899-12-30T13:31:00"/>
    <n v="36"/>
    <m/>
    <m/>
    <m/>
    <s v="SHME OR 09"/>
    <s v="General"/>
    <s v="No"/>
    <s v="Price, Erin Michelle, Md"/>
    <s v="LAPAROSCOPY, SURGICAL; CHOLECYSTECTOMY"/>
    <s v="Robotic cholecystectomy, possible laparoscopy, possible open procedure - N/A"/>
    <s v="Fri"/>
    <m/>
    <m/>
    <m/>
    <s v="PRICE, ERIN MICHELLE"/>
    <m/>
    <s v="Erin Michelle Price, MD"/>
    <m/>
    <s v="Price"/>
  </r>
  <r>
    <d v="2026-08-21T00:00:00"/>
    <s v="6678160"/>
    <s v="Abarca, Cassandra A"/>
    <s v="Inpatient"/>
    <x v="0"/>
    <n v="3901456937"/>
    <s v="400271066"/>
    <d v="1989-08-04T00:00:00"/>
    <s v="Feduska, Collin Steven, MD"/>
    <s v="General"/>
    <s v="3"/>
    <d v="1899-12-30T18:34:00"/>
    <d v="1899-12-30T20:32:00"/>
    <n v="118"/>
    <d v="1899-12-30T18:30:00"/>
    <d v="1899-12-30T20:25:00"/>
    <n v="145"/>
    <d v="1899-12-30T18:34:00"/>
    <d v="1899-12-30T20:22:00"/>
    <n v="108"/>
    <d v="1899-12-30T18:51:00"/>
    <d v="1899-12-30T20:19:00"/>
    <d v="1899-12-30T20:22:00"/>
    <n v="108"/>
    <n v="88"/>
    <d v="1899-12-30T20:24:21"/>
    <d v="1899-12-30T21:01:00"/>
    <n v="37"/>
    <m/>
    <m/>
    <m/>
    <s v="SHME OR 05"/>
    <s v="Anesthesiology"/>
    <s v="No"/>
    <s v="Lim, Lian, Md"/>
    <s v="LAPAROSCOPY, SURGICAL; ENTERECTOMY, RESECTION OF SMALL INTESTINE, SINGLERESECTION AND ANASTOMOSIS"/>
    <s v="Robotic reduction of intussusception with small bowel resection, possible open - N/A"/>
    <s v="Fri"/>
    <m/>
    <s v="ED/IP/IC"/>
    <m/>
    <s v="LIM, LIAN"/>
    <m/>
    <s v="Lian Lim, MD"/>
    <m/>
    <s v="Lim"/>
  </r>
  <r>
    <d v="2026-08-21T00:00:00"/>
    <s v="6678868"/>
    <s v="Rodionov, NICOLAY"/>
    <s v="Inpatient"/>
    <x v="0"/>
    <n v="3901456934"/>
    <s v="700956548"/>
    <d v="1936-03-16T00:00:00"/>
    <s v="Oleske, Alexandra Argyro, DO"/>
    <s v="General"/>
    <s v="3"/>
    <d v="1899-12-30T13:53:00"/>
    <d v="1899-12-30T16:08:00"/>
    <n v="135"/>
    <d v="1899-12-30T13:20:00"/>
    <d v="1899-12-30T14:50:00"/>
    <n v="90"/>
    <d v="1899-12-30T13:53:00"/>
    <d v="1899-12-30T16:04:00"/>
    <n v="131"/>
    <d v="1899-12-30T14:19:00"/>
    <d v="1899-12-30T15:58:00"/>
    <d v="1899-12-30T16:04:00"/>
    <n v="131"/>
    <n v="99"/>
    <d v="1899-12-30T16:08:53"/>
    <d v="1899-12-30T17:00:00"/>
    <n v="52"/>
    <m/>
    <m/>
    <m/>
    <s v="SHME OR 09"/>
    <s v="General"/>
    <s v="Yes"/>
    <s v="Price, Erin Michelle, Md"/>
    <s v="LAPAROSCOPY, SURGICAL; CHOLECYSTECTOMY"/>
    <s v="ROBOTIC CHOLECYSTECTOMY, POSSIBLE LAPAROSCOPY, POSSIBLE OPEN PROCEDURE, CHOLANGIOGRAM - N/A"/>
    <s v="Fri"/>
    <m/>
    <m/>
    <m/>
    <s v="GIURGIU, DAN I.N._x000a_PRICE, ERIN MICHELLE"/>
    <s v="Panel 1: Dr. Price, Erin Michelle, MD / Giurgiu, Dan I.N., MD"/>
    <s v="Erin Michelle Price, MD"/>
    <m/>
    <s v="Price"/>
  </r>
  <r>
    <d v="2026-08-21T00:00:00"/>
    <s v="6679875"/>
    <s v="Cegueda Campos, Arnold"/>
    <s v="Inpatient"/>
    <x v="0"/>
    <n v="3901457161"/>
    <s v="811491222"/>
    <d v="1975-01-23T00:00:00"/>
    <s v="Ngo, Donald Hanh, MD"/>
    <s v="General"/>
    <s v="3"/>
    <d v="1899-12-30T15:51:00"/>
    <d v="1899-12-30T16:34:00"/>
    <n v="43"/>
    <d v="1899-12-30T15:30:00"/>
    <d v="1899-12-30T16:35:00"/>
    <n v="95"/>
    <d v="1899-12-30T15:51:00"/>
    <d v="1899-12-30T16:28:00"/>
    <n v="37"/>
    <d v="1899-12-30T16:09:00"/>
    <d v="1899-12-30T16:25:00"/>
    <d v="1899-12-30T16:28:00"/>
    <n v="37"/>
    <n v="16"/>
    <d v="1899-12-30T16:29:48"/>
    <d v="1899-12-30T17:11:00"/>
    <n v="42"/>
    <m/>
    <m/>
    <m/>
    <s v="SHME OR 02"/>
    <s v="Podiatry"/>
    <s v="Yes"/>
    <s v="Brookshier, Trent Rockne, Dpm"/>
    <s v="AMPUTATION, METATARSAL, WITH TOE, SINGLE"/>
    <s v="AMPUTATION, METATARSAL, WITH TOE, SINGLE - Right"/>
    <s v="Fri"/>
    <m/>
    <s v="ED/IP/IC"/>
    <m/>
    <s v="BROOKSHIER, TRENT ROCKNE"/>
    <m/>
    <s v="Trent Rockne Brookshier, DPM"/>
    <m/>
    <s v="Brookshier"/>
  </r>
  <r>
    <d v="2026-08-21T00:00:00"/>
    <s v="6680222"/>
    <s v="McDaniel, Brian Keith"/>
    <s v="Outpatient"/>
    <x v="1"/>
    <n v="3901456990"/>
    <s v="811491127"/>
    <d v="1975-03-03T00:00:00"/>
    <s v="Li, Robin T, MD"/>
    <s v="General"/>
    <s v="3"/>
    <d v="1899-12-30T16:43:00"/>
    <d v="1899-12-30T18:44:00"/>
    <n v="121"/>
    <d v="1899-12-30T15:25:00"/>
    <d v="1899-12-30T17:20:00"/>
    <n v="145"/>
    <d v="1899-12-30T16:43:00"/>
    <d v="1899-12-30T18:34:00"/>
    <n v="111"/>
    <d v="1899-12-30T16:58:00"/>
    <d v="1899-12-30T18:30:00"/>
    <d v="1899-12-30T18:34:00"/>
    <n v="111"/>
    <n v="92"/>
    <d v="1899-12-30T18:35:00"/>
    <d v="1899-12-30T21:50:00"/>
    <n v="195"/>
    <m/>
    <m/>
    <m/>
    <s v="SHME OR 09"/>
    <s v="General"/>
    <s v="Yes"/>
    <s v="Simpson, Amelia Jean, Md"/>
    <s v="LAPAROSCOPY, SURGICAL; CHOLECYSTECTOMY"/>
    <s v="Robotic assisted, possible LAPAROSCOPY, SURGICAL; CHOLECYSTECTOMY - N/A"/>
    <s v="Fri"/>
    <m/>
    <m/>
    <m/>
    <s v="SIMPSON, AMELIA JEAN"/>
    <m/>
    <s v="Amelia Jean Simpson, MD"/>
    <m/>
    <s v="Simpson"/>
  </r>
  <r>
    <d v="2026-08-21T00:00:00"/>
    <s v="6506695"/>
    <s v="Withey, Melanie J"/>
    <s v="Outpatient"/>
    <x v="1"/>
    <n v="3901424842"/>
    <s v="200477220"/>
    <d v="1949-11-02T00:00:00"/>
    <s v="Li, Robin T, MD"/>
    <s v="General"/>
    <s v="3"/>
    <d v="1899-12-30T07:34:00"/>
    <d v="1899-12-30T08:45:00"/>
    <n v="71"/>
    <d v="1899-12-30T07:30:00"/>
    <d v="1899-12-30T09:00:00"/>
    <n v="90"/>
    <d v="1899-12-30T07:34:00"/>
    <d v="1899-12-30T08:39:00"/>
    <n v="65"/>
    <d v="1899-12-30T08:06:00"/>
    <d v="1899-12-30T08:28:00"/>
    <d v="1899-12-30T08:39:00"/>
    <n v="65"/>
    <n v="22"/>
    <d v="1899-12-30T08:40:00"/>
    <d v="1899-12-30T09:16:00"/>
    <n v="36"/>
    <d v="1899-12-30T09:16:00"/>
    <d v="1899-12-30T09:40:00"/>
    <n v="24"/>
    <s v="SHME OR 14"/>
    <s v="Urology"/>
    <s v="No"/>
    <s v="Pe, Mark-Rally Lao, Md"/>
    <s v="INSERTION OR REPLACEMENT OF PERIPHERAL, SACRAL, OR GASTRIC NEUROSTIMULATOR PULSE GENERATOR OR RECEIVER, REQUIRING POCKET CREATION AND CONNECTION BETWEEN ELECTRODE ARRAY AND PULSE GENERATOR OR RECEIVER"/>
    <s v="STAGE 2 PLACEMENT OF AXONICS SACRAL NEUROSTIMULATOR GENERATOR, POSSIBLE REMOVAL OF ELECTRODES - Left"/>
    <s v="Fri"/>
    <m/>
    <m/>
    <m/>
    <s v="PE, MARK-RALLY LAO"/>
    <m/>
    <s v="Mark-Rally Lao Pe, MD"/>
    <m/>
    <s v="Pe"/>
  </r>
  <r>
    <d v="2026-08-22T00:00:00"/>
    <s v="6677558"/>
    <s v="McLemore, Rickey"/>
    <s v="Inpatient"/>
    <x v="0"/>
    <n v="3901456931"/>
    <s v="811491075"/>
    <d v="1953-09-18T00:00:00"/>
    <s v="Chung, Michelle Sheryl, MD"/>
    <s v="General"/>
    <s v="3"/>
    <d v="1899-12-30T07:55:00"/>
    <d v="1899-12-30T09:45:00"/>
    <n v="110"/>
    <d v="1899-12-30T07:30:00"/>
    <d v="1899-12-30T09:30:00"/>
    <n v="120"/>
    <d v="1899-12-30T07:50:00"/>
    <d v="1899-12-30T09:37:00"/>
    <n v="107"/>
    <d v="1899-12-30T08:30:00"/>
    <d v="1899-12-30T09:29:00"/>
    <d v="1899-12-30T09:37:00"/>
    <n v="107"/>
    <n v="59"/>
    <d v="1899-12-30T09:47:01"/>
    <d v="1899-12-30T11:11:00"/>
    <n v="84"/>
    <m/>
    <m/>
    <m/>
    <s v="SHME OR 09"/>
    <s v="Orthopedics"/>
    <s v="Not on file"/>
    <s v="Dromsky, David Michael, Md"/>
    <s v="TREATMENT OF INTERTROCHANTERIC, PERITROCHANTERIC, OR SUBTROCHANTERICFEMORAL FRACTURE; WITH INTRAMEDULLARY IMPLANT, WITH OR WITHOUTINTERLOCKING SCREWS AND/OR CERCLAGE_x000a_MANUAL APPLICATION OF STRESS PERFORMED BY PHYSICIAN OR OTHER QUALIFIEDHEALTH CARE PROFESSIONAL FOR JOINT RADIOGRAPHY, INCLUDING CONTRALATERALJOINT IF INDICATED"/>
    <s v="OPEN TREATMENT OF LEFT INTERTROCHANTERIC FRACTURE W/ INTRAMEDULLARY IMPLANT,STRESS EXAM - Left"/>
    <s v="Sat"/>
    <m/>
    <m/>
    <m/>
    <s v="DROMSKY, DAVID MICHAEL"/>
    <m/>
    <s v="David Michael Dromsky, MD"/>
    <m/>
    <s v="Dromsky"/>
  </r>
  <r>
    <d v="2026-08-22T00:00:00"/>
    <s v="6680883"/>
    <s v="Kendall Spires, Ann M"/>
    <s v="Inpatient"/>
    <x v="0"/>
    <n v="3901457289"/>
    <s v="607728379"/>
    <d v="1956-05-09T00:00:00"/>
    <s v="Rayan, Hany A, MD"/>
    <s v="General"/>
    <s v="2"/>
    <d v="1899-12-30T09:08:00"/>
    <d v="1899-12-30T10:50:00"/>
    <n v="102"/>
    <d v="1899-12-30T07:30:00"/>
    <d v="1899-12-30T08:30:00"/>
    <n v="60"/>
    <d v="1899-12-30T09:08:00"/>
    <d v="1899-12-30T10:44:00"/>
    <n v="96"/>
    <d v="1899-12-30T09:44:00"/>
    <d v="1899-12-30T10:40:00"/>
    <d v="1899-12-30T10:44:00"/>
    <n v="96"/>
    <n v="56"/>
    <d v="1899-12-30T10:47:00"/>
    <d v="1899-12-30T11:16:00"/>
    <n v="29"/>
    <m/>
    <m/>
    <m/>
    <s v="SHME OR 04"/>
    <s v="Orthopedics"/>
    <s v="No"/>
    <s v="Tanaka, Scott Kiyoshi, Md"/>
    <s v="INCISION AND DRAINAGE, PELVIS OR HIP JOINT AREA; DEEP ABSCESS ORHEMATOMA"/>
    <s v="Right hip incision and drainage - Right"/>
    <s v="Sat"/>
    <m/>
    <m/>
    <m/>
    <s v="TANAKA, SCOTT KIYOSHI"/>
    <m/>
    <s v="Scott Kiyoshi Tanaka, MD"/>
    <m/>
    <s v="Tanaka"/>
  </r>
  <r>
    <d v="2026-08-22T00:00:00"/>
    <s v="6680962"/>
    <s v="Johnson, Richard A"/>
    <s v="Inpatient"/>
    <x v="0"/>
    <n v="3901457395"/>
    <s v="810820650"/>
    <d v="1932-04-24T00:00:00"/>
    <s v="Rayan, Hany A, MD"/>
    <s v="Monitor Anesthesia Care"/>
    <s v="2"/>
    <d v="1899-12-30T15:50:00"/>
    <d v="1899-12-30T16:38:00"/>
    <n v="48"/>
    <d v="1899-12-30T16:25:00"/>
    <d v="1899-12-30T18:10:00"/>
    <n v="105"/>
    <d v="1899-12-30T15:50:00"/>
    <d v="1899-12-30T16:32:00"/>
    <n v="42"/>
    <d v="1899-12-30T16:14:00"/>
    <d v="1899-12-30T16:24:00"/>
    <d v="1899-12-30T16:32:00"/>
    <n v="42"/>
    <n v="10"/>
    <d v="1899-12-30T16:37:40"/>
    <d v="1899-12-30T17:21:00"/>
    <n v="44"/>
    <m/>
    <m/>
    <m/>
    <s v="SHME OR 06"/>
    <s v="Plastics"/>
    <s v="Yes"/>
    <s v="Hess, Jason R, Md"/>
    <s v="ADJACENT TISSUE TRANSFER OR REARRANGEMENT, SCALP, ARMS AND/OR LEGS;DEFECT 10 SQ CM OR LESS_x000a_DEBRIDEMENT, MUSCLE AND/OR FASCIA (INCLUDES EPIDERMIS, DERMIS, ANDSUBCUTANEOUS TISSUE, IF PERFORMED); FIRST 20 SQ CM OR LESS"/>
    <s v="incision and drainage of right scalp hematoma, possible local flap repair - Right"/>
    <s v="Sat"/>
    <m/>
    <m/>
    <m/>
    <s v="HESS, JASON R"/>
    <m/>
    <s v="Jason R Hess, MD"/>
    <m/>
    <s v="Hess"/>
  </r>
  <r>
    <d v="2026-08-22T00:00:00"/>
    <s v="6681452"/>
    <s v="Castaneda, Guadalupe"/>
    <s v="Inpatient"/>
    <x v="0"/>
    <n v="3901457596"/>
    <s v="811491476"/>
    <d v="1965-12-10T00:00:00"/>
    <s v="Chung, Michelle Sheryl, MD"/>
    <s v="Regional"/>
    <s v="2"/>
    <d v="1899-12-30T10:12:00"/>
    <d v="1899-12-30T12:30:00"/>
    <n v="138"/>
    <d v="1899-12-30T10:00:00"/>
    <d v="1899-12-30T12:10:00"/>
    <n v="130"/>
    <d v="1899-12-30T10:12:00"/>
    <d v="1899-12-30T12:22:00"/>
    <n v="130"/>
    <d v="1899-12-30T10:46:00"/>
    <d v="1899-12-30T12:16:00"/>
    <d v="1899-12-30T12:22:00"/>
    <n v="130"/>
    <n v="90"/>
    <d v="1899-12-30T12:30:47"/>
    <d v="1899-12-30T13:06:00"/>
    <n v="36"/>
    <m/>
    <m/>
    <m/>
    <s v="SHME OR 05"/>
    <s v="Orthopedics"/>
    <s v="No"/>
    <s v="Dromsky, David Michael, Md"/>
    <s v="OPEN TREATMENT OF BIMALLEOLAR ANKLE FRACTURE (EG, LATERAL AND MEDIALMALLEOLI, OR LATERAL AND POSTERIOR MALLEOLI, OR MEDIAL AND POSTERIORMALLEOLI), INCLUDES INTERNAL FIXATION, WHEN PERFORMED"/>
    <s v="OPEN TREATMENT OF BIMALLEOLAR ANKLE FRACTURE (EG, LATERAL AND MEDIALMALLEOLI, OR LATERAL AND POSTERIOR MALLEOLI, OR MEDIAL AND POSTERIORMALLEOLI), INCLUDES INTERNAL FIXATION, WHEN PERFORMED - Left"/>
    <s v="Sat"/>
    <m/>
    <m/>
    <m/>
    <s v="DROMSKY, DAVID MICHAEL"/>
    <m/>
    <s v="David Michael Dromsky, MD"/>
    <m/>
    <s v="Dromsky"/>
  </r>
  <r>
    <d v="2026-08-22T00:00:00"/>
    <s v="6681456"/>
    <s v="Schwab, Marie T"/>
    <s v="Inpatient"/>
    <x v="0"/>
    <n v="3901457621"/>
    <s v="607484593"/>
    <d v="1950-10-24T00:00:00"/>
    <s v="Rayan, Hany A, MD"/>
    <s v="Regional"/>
    <s v="2"/>
    <d v="1899-12-30T13:06:00"/>
    <d v="1899-12-30T14:18:00"/>
    <n v="72"/>
    <d v="1899-12-30T13:00:00"/>
    <d v="1899-12-30T14:15:00"/>
    <n v="75"/>
    <d v="1899-12-30T13:06:00"/>
    <d v="1899-12-30T14:13:00"/>
    <n v="67"/>
    <d v="1899-12-30T13:44:00"/>
    <d v="1899-12-30T14:03:00"/>
    <d v="1899-12-30T14:13:00"/>
    <n v="67"/>
    <n v="19"/>
    <d v="1899-12-30T14:17:51"/>
    <d v="1899-12-30T15:16:00"/>
    <n v="59"/>
    <m/>
    <m/>
    <m/>
    <s v="SHME OR 09"/>
    <s v="Orthopedics"/>
    <s v="No"/>
    <s v="Dromsky, David Michael, Md"/>
    <s v="APPLICATION OF A UNIPLANE (PINS OR WIRES IN 1 PLANE), UNILATERAL,EXTERNAL FIXATION SYSTEM"/>
    <s v="APPLICATION OF A UNIPLANE (PINS OR WIRES IN 1 PLANE), UNILATERAL,EXTERNAL FIXATION SYSTEM - Right"/>
    <s v="Sat"/>
    <m/>
    <m/>
    <m/>
    <s v="DROMSKY, DAVID MICHAEL"/>
    <m/>
    <s v="David Michael Dromsky, MD"/>
    <m/>
    <s v="Dromsky"/>
  </r>
  <r>
    <d v="2026-08-22T00:00:00"/>
    <s v="6681548"/>
    <s v="Salinas, Carlos A"/>
    <s v="Inpatient"/>
    <x v="0"/>
    <n v="3901457680"/>
    <s v="811491538"/>
    <d v="1995-04-15T00:00:00"/>
    <s v="Feduska, Collin Steven, MD"/>
    <s v="Regional"/>
    <s v="5"/>
    <d v="1899-12-30T00:20:00"/>
    <d v="1899-12-30T01:46:00"/>
    <n v="86"/>
    <d v="1899-12-30T00:10:00"/>
    <d v="1899-12-30T01:15:00"/>
    <n v="80"/>
    <d v="1899-12-30T00:20:00"/>
    <d v="1899-12-30T01:36:00"/>
    <n v="76"/>
    <d v="1899-12-30T00:41:00"/>
    <d v="1899-12-30T01:26:00"/>
    <d v="1899-12-30T01:36:00"/>
    <n v="76"/>
    <n v="45"/>
    <d v="1899-12-30T01:40:00"/>
    <d v="1899-12-30T02:57:37"/>
    <n v="77"/>
    <m/>
    <m/>
    <m/>
    <s v="SHME OR 03"/>
    <s v="Trauma"/>
    <s v="No"/>
    <s v="Trauma, Generic Surgeon"/>
    <s v="EMERGENCY TRAUMA"/>
    <s v="EMERGENCY TRAUMA - N/A"/>
    <s v="Sat"/>
    <m/>
    <s v="ED/IP/IC"/>
    <m/>
    <s v="KRZYZANIAK, MICHAEL JOSEPH_x000a_SIMPSON, AMELIA JEAN"/>
    <s v="Panel 1: Dr. Krzyzaniak, Michael Joseph, MD / Simpson, Amelia Jean, MD"/>
    <s v="Michael Joseph Krzyzaniak, MD"/>
    <m/>
    <s v="Krzyzaniak"/>
  </r>
  <r>
    <d v="2026-08-22T00:00:00"/>
    <s v="6681683"/>
    <s v="Chavez, Michael Mario"/>
    <s v="Inpatient"/>
    <x v="0"/>
    <n v="3901457740"/>
    <s v="811491580"/>
    <d v="1962-11-22T00:00:00"/>
    <s v="Rayan, Hany A, MD"/>
    <s v="General"/>
    <s v="2"/>
    <d v="1899-12-30T07:11:00"/>
    <d v="1899-12-30T09:00:00"/>
    <n v="109"/>
    <d v="1899-12-30T07:30:00"/>
    <d v="1899-12-30T08:35:00"/>
    <n v="80"/>
    <d v="1899-12-30T07:10:00"/>
    <d v="1899-12-30T08:52:00"/>
    <n v="102"/>
    <d v="1899-12-30T07:26:00"/>
    <d v="1899-12-30T08:37:00"/>
    <d v="1899-12-30T08:52:00"/>
    <n v="102"/>
    <n v="71"/>
    <m/>
    <m/>
    <m/>
    <m/>
    <m/>
    <m/>
    <s v="SHME OR 03"/>
    <s v="Trauma"/>
    <s v="No"/>
    <s v="Trauma, Generic Surgeon"/>
    <s v="EMERGENCY TRAUMA"/>
    <s v="EMERGENCY TRAUMA - N/A"/>
    <s v="Sat"/>
    <m/>
    <s v="ED/IP/IC"/>
    <m/>
    <s v="KRZYZANIAK, MICHAEL JOSEPH"/>
    <m/>
    <s v="Michael Joseph Krzyzaniak, MD"/>
    <m/>
    <s v="Krzyzaniak"/>
  </r>
  <r>
    <d v="2026-08-22T00:00:00"/>
    <s v="6681767"/>
    <s v="Levine, Jeffrey N"/>
    <s v="Outpatient"/>
    <x v="1"/>
    <n v="3901457735"/>
    <s v="811490702"/>
    <d v="1960-05-26T00:00:00"/>
    <s v="Rayan, Hany A, MD"/>
    <s v="General"/>
    <s v="2"/>
    <d v="1899-12-30T11:45:00"/>
    <d v="1899-12-30T12:33:00"/>
    <n v="48"/>
    <d v="1899-12-30T11:30:00"/>
    <d v="1899-12-30T12:20:00"/>
    <n v="50"/>
    <d v="1899-12-30T11:45:00"/>
    <d v="1899-12-30T12:26:00"/>
    <n v="41"/>
    <d v="1899-12-30T12:09:00"/>
    <d v="1899-12-30T12:18:00"/>
    <d v="1899-12-30T12:26:00"/>
    <n v="41"/>
    <n v="9"/>
    <d v="1899-12-30T12:27:00"/>
    <d v="1899-12-30T12:57:00"/>
    <n v="30"/>
    <m/>
    <m/>
    <m/>
    <s v="SHME OR 02"/>
    <s v="Urology"/>
    <s v="No"/>
    <s v="Pe, Mark-Rally Lao, Md"/>
    <s v="CYSTOURETHROSCOPY, WITH INSERTION OF INDWELLING URETERAL STENT (EG,GIBBONS OR DOUBLE-J TYPE)"/>
    <s v="CYSTOURETHROSCOPY, WITH INSERTION OF INDWELLING URETERAL STENT (EG,GIBBONS OR DOUBLE-J TYPE) - Left"/>
    <s v="Sat"/>
    <m/>
    <m/>
    <m/>
    <s v="PE, MARK-RALLY LAO"/>
    <m/>
    <s v="Mark-Rally Lao Pe, MD"/>
    <m/>
    <s v="Pe"/>
  </r>
  <r>
    <d v="2026-08-22T00:00:00"/>
    <s v="6682045"/>
    <s v="Higareda, Nathan"/>
    <s v="Inpatient"/>
    <x v="0"/>
    <n v="3901457611"/>
    <s v="811491489"/>
    <d v="2010-07-28T00:00:00"/>
    <s v="Rayan, Hany A, MD"/>
    <s v="General"/>
    <s v="2"/>
    <d v="1899-12-30T14:36:00"/>
    <d v="1899-12-30T15:41:00"/>
    <n v="65"/>
    <d v="1899-12-30T14:00:00"/>
    <d v="1899-12-30T16:05:00"/>
    <n v="125"/>
    <d v="1899-12-30T14:36:00"/>
    <d v="1899-12-30T15:36:00"/>
    <n v="60"/>
    <d v="1899-12-30T15:02:00"/>
    <d v="1899-12-30T15:26:00"/>
    <d v="1899-12-30T15:36:00"/>
    <n v="60"/>
    <n v="24"/>
    <d v="1899-12-30T15:36:42"/>
    <d v="1899-12-30T16:33:00"/>
    <n v="57"/>
    <m/>
    <m/>
    <m/>
    <s v="SHME OR 04"/>
    <s v="Plastics"/>
    <s v="No"/>
    <s v="Hess, Jason R, Md"/>
    <s v="DEBRIDEMENT, MUSCLE AND/OR FASCIA (INCLUDES EPIDERMIS, DERMIS, ANDSUBCUTANEOUS TISSUE, IF PERFORMED); FIRST 20 SQ CM OR LESS_x000a_MUSCLE, MYOCUTANEOUS, OR FASCIOCUTANEOUS FLAP; LOWER EXTREMITY_x000a_SPLIT-THICKNESS AUTOGRAFT, TRUNK, ARMS, LEGS; FIRST 100 SQ CM OR LESS,OR 1% OF BODY AREA OF INFANTS AND CHILDREN (EXCEPT 15050)"/>
    <s v="DEBRIDEMENT, MUSCLE AND/OR FASCIA (INCLUDES EPIDERMIS, DERMIS, ANDSUBCUTANEOUS TISSUE, IF PERFORMED); FIRST 20 SQ CM OR LESS - Left"/>
    <s v="Sat"/>
    <m/>
    <m/>
    <m/>
    <s v="HESS, JASON R"/>
    <m/>
    <s v="Jason R Hess, MD"/>
    <m/>
    <s v="Hess"/>
  </r>
  <r>
    <d v="2026-08-22T00:00:00"/>
    <s v="6682518"/>
    <s v="Wallace, Scott"/>
    <s v="Inpatient"/>
    <x v="0"/>
    <n v="3901456901"/>
    <s v="811010047"/>
    <d v="1962-11-12T00:00:00"/>
    <s v="Li, Robin T, MD"/>
    <s v="General"/>
    <s v="3"/>
    <d v="1899-12-30T17:29:00"/>
    <d v="1899-12-30T19:30:00"/>
    <n v="121"/>
    <d v="1899-12-30T17:15:00"/>
    <d v="1899-12-30T19:35:00"/>
    <n v="140"/>
    <d v="1899-12-30T17:29:00"/>
    <d v="1899-12-30T19:12:00"/>
    <n v="103"/>
    <d v="1899-12-30T18:00:00"/>
    <d v="1899-12-30T19:04:00"/>
    <d v="1899-12-30T19:12:00"/>
    <n v="103"/>
    <n v="64"/>
    <d v="1899-12-30T19:14:11"/>
    <d v="1899-12-30T19:53:04"/>
    <n v="39"/>
    <m/>
    <m/>
    <m/>
    <s v="SHME OR 04"/>
    <s v="General"/>
    <s v="Yes"/>
    <s v="Toman, Jeffrey Robert, Md"/>
    <s v="GASTRORRHAPHY, SUTURE OF PERFORATED DUODENAL OR GASTRIC ULCER, WOUND, ORINJURY"/>
    <s v="Exploratory laparotomy, possible repair of perforation - N/A"/>
    <s v="Sat"/>
    <m/>
    <s v="ED/IP/IC"/>
    <m/>
    <s v="TOMAN, JEFFREY ROBERT"/>
    <m/>
    <s v="Jeffrey Robert Toman, MD"/>
    <m/>
    <s v="Toman"/>
  </r>
  <r>
    <d v="2026-08-23T00:00:00"/>
    <s v="6682505"/>
    <s v="Acosta Garcia, Victor H"/>
    <s v="Inpatient"/>
    <x v="0"/>
    <n v="3901457809"/>
    <s v="811491636"/>
    <d v="1984-04-14T00:00:00"/>
    <s v="Chung, Michelle Sheryl, MD"/>
    <s v="General"/>
    <s v="2"/>
    <d v="1899-12-30T10:09:00"/>
    <d v="1899-12-30T12:27:00"/>
    <n v="138"/>
    <d v="1899-12-30T10:00:00"/>
    <d v="1899-12-30T12:30:00"/>
    <n v="180"/>
    <d v="1899-12-30T10:09:00"/>
    <d v="1899-12-30T12:23:00"/>
    <n v="134"/>
    <d v="1899-12-30T10:38:00"/>
    <d v="1899-12-30T12:09:00"/>
    <d v="1899-12-30T12:23:00"/>
    <n v="134"/>
    <n v="91"/>
    <d v="1899-12-30T12:24:02"/>
    <d v="1899-12-30T13:24:22"/>
    <n v="60"/>
    <m/>
    <m/>
    <m/>
    <s v="SHME OR 04"/>
    <s v="Dentistry"/>
    <s v="No"/>
    <s v="Scholer, Travis, Dmd"/>
    <s v="OPEN TREATMENT OF MANDIBULAR FRACTURE; WITH INTERDENTAL FIXATION_x000a_OPEN TREATMENT OF ORBITAL FLOOR BLOWOUT FRACTURE; COMBINED APPROACH"/>
    <s v="OPEN TREATMENT OF MANDIBULAR FRACTURE; WITH INTERDENTAL FIXATION - Left"/>
    <s v="Sun"/>
    <m/>
    <m/>
    <m/>
    <s v="SCHOLER, TRAVIS"/>
    <m/>
    <s v="Travis Scholer, DMD"/>
    <m/>
    <s v="Scholer"/>
  </r>
  <r>
    <d v="2026-08-23T00:00:00"/>
    <s v="6682886"/>
    <s v="Kanekar, Suresh V"/>
    <s v="Inpatient"/>
    <x v="0"/>
    <n v="3901457918"/>
    <s v="700152670"/>
    <d v="1934-02-19T00:00:00"/>
    <s v="Chung, Michelle Sheryl, MD"/>
    <s v="General"/>
    <s v="2"/>
    <d v="1899-12-30T08:45:00"/>
    <d v="1899-12-30T09:40:00"/>
    <n v="55"/>
    <d v="1899-12-30T08:30:00"/>
    <d v="1899-12-30T09:20:00"/>
    <n v="80"/>
    <d v="1899-12-30T08:45:00"/>
    <d v="1899-12-30T09:37:00"/>
    <n v="52"/>
    <d v="1899-12-30T09:04:00"/>
    <d v="1899-12-30T09:27:00"/>
    <d v="1899-12-30T09:37:00"/>
    <n v="52"/>
    <n v="23"/>
    <d v="1899-12-30T09:40:00"/>
    <d v="1899-12-30T10:24:04"/>
    <n v="44"/>
    <m/>
    <m/>
    <m/>
    <s v="SHME OR 02"/>
    <s v="Urology"/>
    <s v="No"/>
    <s v="Pe, Mark-Rally Lao, Md"/>
    <s v="DRAINAGE OF SCROTAL WALL ABSCESS"/>
    <s v="DRAINAGE OF SCROTAL WALL ABSCESS - Left"/>
    <s v="Sun"/>
    <m/>
    <m/>
    <m/>
    <s v="PE, MARK-RALLY LAO"/>
    <m/>
    <s v="Mark-Rally Lao Pe, MD"/>
    <m/>
    <s v="Pe"/>
  </r>
  <r>
    <d v="2026-08-23T00:00:00"/>
    <s v="6683056"/>
    <s v="Loyola, Evelyn"/>
    <s v="Inpatient"/>
    <x v="0"/>
    <n v="3901457946"/>
    <s v="811396293"/>
    <d v="1941-01-30T00:00:00"/>
    <s v="Chung, Michelle Sheryl, MD"/>
    <s v="General"/>
    <s v="3"/>
    <d v="1899-12-30T13:37:00"/>
    <d v="1899-12-30T15:30:00"/>
    <n v="113"/>
    <d v="1899-12-30T13:00:00"/>
    <d v="1899-12-30T14:45:00"/>
    <n v="135"/>
    <d v="1899-12-30T13:37:00"/>
    <d v="1899-12-30T15:25:00"/>
    <n v="108"/>
    <d v="1899-12-30T14:03:00"/>
    <d v="1899-12-30T15:20:00"/>
    <d v="1899-12-30T15:25:00"/>
    <n v="108"/>
    <n v="77"/>
    <d v="1899-12-30T15:29:44"/>
    <d v="1899-12-30T16:35:49"/>
    <n v="66"/>
    <m/>
    <m/>
    <m/>
    <s v="SHME OR 05"/>
    <s v="Orthopedics"/>
    <s v="Yes"/>
    <s v="Dromsky, David Michael, Md"/>
    <s v="PERCUTANEOUS SKELETAL FIXATION OF POSTERIOR PELVIC BONE FRACTURE AND/ORDISLOCATION, FOR FRACTURE PATTERNS THAT DISRUPT THE PELVIC RING,UNILATERAL (INCLUDES IPSILATERAL ILIUM, SACROILIAC JOINT AND/OR"/>
    <s v="PERCUTANEOUS SKELETAL FIXATION OF POSTERIOR PELVIC BONE FRACTURE AND/ORDISLOCATION, FOR FRACTURE PATTERNS THAT DISRUPT THE PELVIC RING,UNILATERAL (INCLUDES IPSILATERAL ILIUM, SACROILIAC JOINT AND/OR - Left"/>
    <s v="Sun"/>
    <m/>
    <m/>
    <m/>
    <s v="DROMSKY, DAVID MICHAEL"/>
    <m/>
    <s v="David Michael Dromsky, MD"/>
    <m/>
    <s v="Dromsky"/>
  </r>
  <r>
    <d v="2026-08-23T00:00:00"/>
    <s v="6683154"/>
    <s v="Reisman, Marcia"/>
    <s v="Inpatient"/>
    <x v="0"/>
    <n v="3901457923"/>
    <s v="811216567"/>
    <d v="1961-06-10T00:00:00"/>
    <s v="Feduska, Collin Steven, MD"/>
    <s v="General"/>
    <s v="2"/>
    <d v="1899-12-30T14:13:00"/>
    <d v="1899-12-30T15:52:00"/>
    <n v="99"/>
    <d v="1899-12-30T13:30:00"/>
    <d v="1899-12-30T15:20:00"/>
    <n v="140"/>
    <d v="1899-12-30T14:13:00"/>
    <d v="1899-12-30T15:42:00"/>
    <n v="89"/>
    <d v="1899-12-30T14:36:00"/>
    <d v="1899-12-30T15:38:00"/>
    <d v="1899-12-30T15:42:00"/>
    <n v="89"/>
    <n v="62"/>
    <d v="1899-12-30T15:44:52"/>
    <d v="1899-12-30T16:54:59"/>
    <n v="70"/>
    <m/>
    <m/>
    <m/>
    <s v="SHME OR 02"/>
    <s v="General"/>
    <s v="No"/>
    <s v="Toman, Jeffrey Robert, Md"/>
    <s v="LAPAROSCOPY, SURGICAL; CHOLECYSTECTOMY"/>
    <s v="Laparoscopic cholecystectomy, possible open procedure - N/A"/>
    <s v="Sun"/>
    <m/>
    <m/>
    <m/>
    <s v="TOMAN, JEFFREY ROBERT"/>
    <m/>
    <s v="Jeffrey Robert Toman, MD"/>
    <m/>
    <s v="Toman"/>
  </r>
  <r>
    <d v="2026-08-23T00:00:00"/>
    <s v="6683170"/>
    <s v="Paire, Leonard"/>
    <s v="Inpatient"/>
    <x v="0"/>
    <n v="3901457650"/>
    <s v="701865899"/>
    <d v="1963-01-22T00:00:00"/>
    <s v="Feduska, Collin Steven, MD"/>
    <s v="Regional"/>
    <s v="3"/>
    <d v="1899-12-30T10:24:00"/>
    <d v="1899-12-30T14:07:00"/>
    <n v="223"/>
    <d v="1899-12-30T10:00:00"/>
    <d v="1899-12-30T13:00:00"/>
    <n v="210"/>
    <d v="1899-12-30T10:24:00"/>
    <d v="1899-12-30T13:57:00"/>
    <n v="213"/>
    <d v="1899-12-30T10:52:00"/>
    <d v="1899-12-30T13:45:00"/>
    <d v="1899-12-30T13:57:00"/>
    <n v="213"/>
    <n v="173"/>
    <d v="1899-12-30T13:58:30"/>
    <d v="1899-12-30T14:52:00"/>
    <n v="54"/>
    <m/>
    <m/>
    <m/>
    <s v="SHME OR 06"/>
    <s v="General"/>
    <s v="Yes"/>
    <s v="Bansal, Vishal, Md"/>
    <s v="EXPLORATORY LAPAROTOMY, EXPLORATORY CELIOTOMY WITH OR WITHOUT BIOPSY(S)(SEPARATE PROCEDURE)_x000a_REPAIR OF ANTERIOR ABDOMINAL HERNIA(S) (IE, EPIGASTRIC, INCISIONAL, VENTRAL, UMBILICAL, SPIGELIAN), INITIAL, TOTAL LENGTH OF DEFECT(S); 3 CM TO 10 CM, REDUCIBLE"/>
    <s v="EXPLORATORY LAPAROTOMY, EXPLORATORY CELIOTOMY WITH OR WITHOUT BIOPSY(S)(SEPARATE PROCEDURE) - N/A"/>
    <s v="Sun"/>
    <m/>
    <m/>
    <m/>
    <s v="BANSAL, VISHAL_x000a_KROSNER, SETH MICHAEL"/>
    <s v="Panel 1: Dr. Bansal, Vishal, MD / Krosner, Seth Michael, MD"/>
    <s v="Vishal Bansal, MD"/>
    <m/>
    <s v="Bansal"/>
  </r>
  <r>
    <d v="2026-08-23T00:00:00"/>
    <s v="6683215"/>
    <s v="Aguilar de Tapia, Maria Raquel"/>
    <s v="Inpatient"/>
    <x v="0"/>
    <n v="3901458031"/>
    <s v="811440983"/>
    <d v="1940-08-05T00:00:00"/>
    <s v="Chung, Michelle Sheryl, MD"/>
    <s v="General"/>
    <s v="3"/>
    <d v="1899-12-30T16:01:00"/>
    <d v="1899-12-30T17:35:00"/>
    <n v="94"/>
    <d v="1899-12-30T15:30:00"/>
    <d v="1899-12-30T17:10:00"/>
    <n v="130"/>
    <d v="1899-12-30T16:01:00"/>
    <d v="1899-12-30T17:30:00"/>
    <n v="89"/>
    <d v="1899-12-30T16:30:00"/>
    <d v="1899-12-30T17:24:00"/>
    <d v="1899-12-30T17:30:00"/>
    <n v="89"/>
    <n v="54"/>
    <d v="1899-12-30T17:31:00"/>
    <d v="1899-12-30T18:36:31"/>
    <n v="65"/>
    <m/>
    <m/>
    <m/>
    <s v="SHME OR 09"/>
    <s v="Orthopedics"/>
    <s v="No"/>
    <s v="Dromsky, David Michael, Md"/>
    <s v="TREATMENT OF INTERTROCHANTERIC, PERITROCHANTERIC, OR SUBTROCHANTERICFEMORAL FRACTURE; WITH INTRAMEDULLARY IMPLANT, WITH OR WITHOUTINTERLOCKING SCREWS AND/OR CERCLAGE"/>
    <s v="TREATMENT OF INTERTROCHANTERIC, PERITROCHANTERIC, OR SUBTROCHANTERICFEMORAL FRACTURE; WITH INTRAMEDULLARY IMPLANT, WITH OR WITHOUTINTERLOCKING SCREWS AND/OR CERCLAGE - Right"/>
    <s v="Sun"/>
    <m/>
    <m/>
    <m/>
    <s v="DROMSKY, DAVID MICHAEL"/>
    <m/>
    <s v="David Michael Dromsky, MD"/>
    <m/>
    <s v="Dromsky"/>
  </r>
  <r>
    <d v="2026-08-24T00:00:00"/>
    <s v="6574070"/>
    <s v="Bellazetin, Chelsy"/>
    <s v="Outpatient"/>
    <x v="1"/>
    <n v="3901436807"/>
    <s v="810818519"/>
    <d v="1985-08-16T00:00:00"/>
    <s v="Ngo, Donald Hanh, MD"/>
    <s v="General"/>
    <s v="1"/>
    <d v="1899-12-30T07:56:00"/>
    <d v="1899-12-30T12:12:00"/>
    <n v="256"/>
    <d v="1899-12-30T08:00:00"/>
    <d v="1899-12-30T14:00:00"/>
    <n v="360"/>
    <d v="1899-12-30T07:56:00"/>
    <d v="1899-12-30T12:06:00"/>
    <n v="250"/>
    <d v="1899-12-30T08:31:00"/>
    <d v="1899-12-30T11:56:00"/>
    <d v="1899-12-30T12:06:00"/>
    <n v="250"/>
    <n v="205"/>
    <d v="1899-12-30T12:11:00"/>
    <d v="1899-12-30T12:46:00"/>
    <n v="35"/>
    <m/>
    <m/>
    <m/>
    <s v="SHME OR 09"/>
    <s v="Plastics"/>
    <s v="No"/>
    <s v="Garg, Ravi, Md"/>
    <s v="RECONSTRUCTION MIDFACE, LEFORT I; SINGLE PIECE, SEGMENT MOVEMENT IN ANYDIRECTION, REQUIRING BONE GRAFTS (INCLUDES OBTAINING AUTOGRAFTS)_x000a_RECONSTRUCTION MIDFACE, LEFORT I; 3 OR MORE PIECES, SEGMENT MOVEMENT INANY DIRECTION, REQUIRING BONE GRAFTS (INCLUDES OBTAINING AUTOGRAFTS)(EG, UNGRAFTED BILATERAL ALVEOLAR CLEFT OR MULTIPLE OSTEOTO_x000a_RECONSTRUCTION OF MANDIBULAR RAMI AND/OR BODY, SAGITTAL SPLIT; WITHINTERNAL RIGID FIXATION_x000a_IMPRESSION AND CUSTOM PREPARATION; ORAL SURGICAL SPLINT_x000a_GENIOPLASTY; SLIDING OSTEOTOMY, SINGLE PIECE"/>
    <s v="LEFORT 1 MAXILLARY OSTEOTOMY WITH POSSIBLE INTERDENTAL OSTEOTOMIES, BILATERAL SAGITTAL SPLIT MANDIBULAR OSTEOTOMIES, POSSIBLE GENIOPLASTY - Bilateral"/>
    <s v="Mon"/>
    <m/>
    <m/>
    <m/>
    <s v="GARG, RAVI"/>
    <m/>
    <s v="Ravi Garg, MD"/>
    <m/>
    <s v="Garg"/>
  </r>
  <r>
    <d v="2026-08-24T00:00:00"/>
    <s v="6574364"/>
    <s v="Diaz, Jessica K"/>
    <s v="Outpatient"/>
    <x v="1"/>
    <n v="3901446640"/>
    <s v="701285776"/>
    <d v="1986-07-29T00:00:00"/>
    <s v="Rayan, Hany A, MD"/>
    <s v="General"/>
    <s v="2"/>
    <d v="1899-12-30T09:22:00"/>
    <d v="1899-12-30T10:13:00"/>
    <n v="51"/>
    <d v="1899-12-30T09:15:00"/>
    <d v="1899-12-30T10:00:00"/>
    <n v="45"/>
    <d v="1899-12-30T09:22:00"/>
    <d v="1899-12-30T10:09:00"/>
    <n v="47"/>
    <d v="1899-12-30T09:51:00"/>
    <d v="1899-12-30T10:00:00"/>
    <d v="1899-12-30T10:09:00"/>
    <n v="47"/>
    <n v="9"/>
    <d v="1899-12-30T10:10:23"/>
    <d v="1899-12-30T10:53:30"/>
    <n v="43"/>
    <d v="1899-12-30T10:53:31"/>
    <d v="1899-12-30T11:04:33"/>
    <n v="11"/>
    <s v="SHME OR 14"/>
    <s v="Gynecology"/>
    <s v="No"/>
    <s v="Hui, Kim, Md"/>
    <s v="HYSTEROSCOPY, SURGICAL; WITH SAMPLING (BIOPSY) OF ENDOMETRIUM AND/ORPOLYPECTOMY, WITH OR WITHOUT D &amp; C"/>
    <s v="HYSTEROSCOPY DILATION AND CURETTAGE MYOSURE SETUP - N/A"/>
    <s v="Mon"/>
    <m/>
    <m/>
    <m/>
    <s v="HUI, KIM"/>
    <m/>
    <s v="Kim Hui, MD (619-407-1011)"/>
    <m/>
    <s v="Hui"/>
  </r>
  <r>
    <d v="2026-08-24T00:00:00"/>
    <s v="6589137"/>
    <s v="Arreola, Miguel Angel"/>
    <s v="Inpatient"/>
    <x v="0"/>
    <n v="3901439986"/>
    <s v="810940308"/>
    <d v="1955-05-29T00:00:00"/>
    <s v="Saunders, Reed Michael, MD"/>
    <s v="Regional"/>
    <s v="4"/>
    <d v="1899-12-30T08:22:00"/>
    <d v="1899-12-30T16:55:00"/>
    <n v="513"/>
    <d v="1899-12-30T08:00:00"/>
    <d v="1899-12-30T15:00:00"/>
    <n v="420"/>
    <d v="1899-12-30T08:22:00"/>
    <d v="1899-12-30T16:43:00"/>
    <n v="501"/>
    <d v="1899-12-30T10:31:00"/>
    <d v="1899-12-30T16:21:00"/>
    <d v="1899-12-30T16:43:00"/>
    <n v="501"/>
    <n v="350"/>
    <m/>
    <m/>
    <m/>
    <m/>
    <m/>
    <m/>
    <s v="SHME OR 07"/>
    <s v="Cardiothoracic"/>
    <s v="No"/>
    <s v="Williams, David Mccann, Md"/>
    <s v="REPLACEMENT, AORTIC VALVE, OPEN, WITH CARDIOPULMONARY BYPASS; WITH STENTLESSTISSUE VALVE_x000a_ASCENDING AORTA GRAFT, WITH CARDIOPULMONARY BYPASS, WITH AORTIC ROOTREPLACEMENT USING VALVED CONDUIT AND CORONARY RECONSTRUCTION (EG,BENTALL)_x000a_REIMPLANTATION, VISCERAL ARTERY TO INFRARENAL AORTIC PROSTHESIS, EACHARTERY (LIST SEPARATELY IN ADDITION TO CODE FOR PRIMARY PROCEDURE)"/>
    <s v="AORTIC VALVE REPLACEMENT; AORTIC ROOT REPLACEMENT; REIMPLANTATION CORONARY ARTERIES - N/A"/>
    <s v="Mon"/>
    <m/>
    <s v="ED/IP/IC"/>
    <m/>
    <s v="DIEFFENBACH, BRYAN VINSON_x000a_ISLAMI MANUCHEHRY, MOHAMMAD HOSEIN_x000a_WILLIAMS, DAVID MCCANN"/>
    <s v="Panel 1: Dr. Williams, David McCann, MD / Dieffenbach, Bryan Vinson, MD / Islami Manuchehry, Mohammad Hosein, MD"/>
    <s v="David McCann Williams, MD"/>
    <m/>
    <s v="Williams"/>
  </r>
  <r>
    <d v="2026-08-24T00:00:00"/>
    <s v="6595099"/>
    <s v="Jimenez Ramirez, Rafael"/>
    <s v="Outpatient"/>
    <x v="1"/>
    <n v="3901441373"/>
    <s v="700512861"/>
    <d v="1949-07-06T00:00:00"/>
    <s v="Julian, Jeric Israel Burguillos, DO"/>
    <s v="General"/>
    <s v="3"/>
    <d v="1899-12-30T08:01:00"/>
    <d v="1899-12-30T10:38:00"/>
    <n v="157"/>
    <d v="1899-12-30T08:00:00"/>
    <d v="1899-12-30T10:00:00"/>
    <n v="120"/>
    <d v="1899-12-30T08:01:00"/>
    <d v="1899-12-30T10:33:00"/>
    <n v="152"/>
    <d v="1899-12-30T08:26:00"/>
    <d v="1899-12-30T10:28:00"/>
    <d v="1899-12-30T10:33:00"/>
    <n v="152"/>
    <n v="122"/>
    <d v="1899-12-30T10:39:45"/>
    <d v="1899-12-30T13:46:00"/>
    <n v="187"/>
    <d v="1899-12-30T14:12:29"/>
    <d v="1899-12-30T14:34:00"/>
    <n v="22"/>
    <s v="SHME OR 04"/>
    <s v="Orthopedics"/>
    <s v="No"/>
    <s v="Abitbol, Jean-Jacques, Md"/>
    <s v="SPINAL OR LATERAL RECESS STENOSIS]), SINGLE VERTEBRAL S_x000a_LAMINECTOMY, FACETECTOMY AND FORAMINOTOMY (UNILATERAL OR BILATERAL WITH DECOMPRESSION OF SPINAL CORD, CAUDA EQUINA AND/OR NERVE ROOT(S), EG, SPINAL OR LATERAL RECESS STENOSIS), SINGLE VERTEBRAL SEGMEN_x000a_RADIOLOGIC EXAMINATION, SPINE, LUMBOSACRAL; MINIMUM OF 4 VIEWS_x000a_CONTINUOUS INTRAOPERATIVE NEUROPHYSIOLOGY MONITORING IN THE OPERATINGROOM, ONE ON ONE MONITORING REQUIRING PERSONAL ATTENDANCE, EACH 15MINUTES (LIST SEPARATELY IN ADDITION TO CODE FOR PRIMARY PROCED_x000a_CTR MOTR EP STD TRANSCRNL MOTR STIM UPR&amp;LOW LIMB_x000a_NEEDLE ELECTROMYOGRAPHY, EACH EXTREMITY, WITH RELATED PARASPINAL AREAS,WHEN PERFORMED, DONE WITH NERVE CONDUCTION, AMPLITUDE ANDLATENCY/VELOCITY STUDY; LIMITED (LIST SEPARATELY IN ADDITION TO CODEF_x000a_SHORT-LATENCY SOMATOSENSORY EVOKED POTENTIAL STUDY, STIMULATION OFANY/ALL PERIPHERAL NERVES OR SKIN SITES, RECORDING FROM THE CENTRALNERVOUS SYSTEM; IN UPPER AND LOWER LIMBS"/>
    <s v="LAMINECTOMY AND DECOMPRESSION LUMBAR 2 TO LUMBAR 3, LUMBAR 4 TO LUMBAR 5 - Bilateral"/>
    <s v="Mon"/>
    <m/>
    <m/>
    <m/>
    <s v="ABITBOL, JEAN-JACQUES"/>
    <m/>
    <s v="Jean-Jacques Abitbol, MD"/>
    <m/>
    <s v="Abitbol"/>
  </r>
  <r>
    <d v="2026-08-24T00:00:00"/>
    <s v="6595174"/>
    <s v="Weathers, Jamie R"/>
    <s v="Outpatient"/>
    <x v="1"/>
    <n v="3901441399"/>
    <s v="200501396"/>
    <d v="1979-06-04T00:00:00"/>
    <s v="Julian, Jeric Israel Burguillos, DO"/>
    <s v="General"/>
    <s v="3"/>
    <d v="1899-12-30T11:03:00"/>
    <d v="1899-12-30T12:55:00"/>
    <n v="112"/>
    <d v="1899-12-30T10:30:00"/>
    <d v="1899-12-30T12:30:00"/>
    <n v="120"/>
    <d v="1899-12-30T11:03:00"/>
    <d v="1899-12-30T12:50:00"/>
    <n v="107"/>
    <d v="1899-12-30T11:33:00"/>
    <d v="1899-12-30T12:39:00"/>
    <d v="1899-12-30T12:50:00"/>
    <n v="107"/>
    <n v="66"/>
    <d v="1899-12-30T12:54:17"/>
    <d v="1899-12-30T14:28:47"/>
    <n v="94"/>
    <d v="1899-12-30T14:28:49"/>
    <d v="1899-12-30T14:38:23"/>
    <n v="10"/>
    <s v="SHME OR 04"/>
    <s v="Orthopedics"/>
    <s v="No"/>
    <s v="Abitbol, Jean-Jacques, Md"/>
    <s v="SPINAL OR LATERAL RECESS STENOSIS]), SINGLE VERTEBRAL S_x000a_LAMINECTOMY, FACETECTOMY AND FORAMINOTOMY (UNILATERAL OR BILATERAL WITH DECOMPRESSION OF SPINAL CORD, CAUDA EQUINA AND/OR NERVE ROOT(S), EG, SPINAL OR LATERAL RECESS STENOSIS), SINGLE VERTEBRAL SEGMEN_x000a_RADIOLOGIC EXAMINATION, SPINE, LUMBOSACRAL; MINIMUM OF 4 VIEWS_x000a_CONTINUOUS INTRAOPERATIVE NEUROPHYSIOLOGY MONITORING IN THE OPERATINGROOM, ONE ON ONE MONITORING REQUIRING PERSONAL ATTENDANCE, EACH 15MINUTES (LIST SEPARATELY IN ADDITION TO CODE FOR PRIMARY PROCED_x000a_CTR MOTR EP STD TRANSCRNL MOTR STIM UPR&amp;LOW LIMB_x000a_NEEDLE ELECTROMYOGRAPHY, EACH EXTREMITY, WITH RELATED PARASPINAL AREAS,WHEN PERFORMED, DONE WITH NERVE CONDUCTION, AMPLITUDE ANDLATENCY/VELOCITY STUDY; LIMITED (LIST SEPARATELY IN ADDITION TO CODEF_x000a_SHORT-LATENCY SOMATOSENSORY EVOKED POTENTIAL STUDY, STIMULATION OFANY/ALL PERIPHERAL NERVES OR SKIN SITES, RECORDING FROM THE CENTRALNERVOUS SYSTEM; IN UPPER AND LOWER LIMBS"/>
    <s v="BILATERAL LUMBAR FORAMINOTOMIES LUMBAR 4 TO LUMBAR 5 - Bilateral"/>
    <s v="Mon"/>
    <m/>
    <m/>
    <m/>
    <s v="ABITBOL, JEAN-JACQUES"/>
    <m/>
    <s v="Jean-Jacques Abitbol, MD"/>
    <m/>
    <s v="Abitbol"/>
  </r>
  <r>
    <d v="2026-08-24T00:00:00"/>
    <s v="6399832"/>
    <s v="Duncan, Monica E"/>
    <s v="Outpatient"/>
    <x v="1"/>
    <n v="3901404682"/>
    <s v="810175415"/>
    <d v="1981-10-19T00:00:00"/>
    <s v="Rayan, Hany A, MD"/>
    <s v="General"/>
    <s v="2"/>
    <d v="1899-12-30T14:59:00"/>
    <d v="1899-12-30T15:50:00"/>
    <n v="51"/>
    <d v="1899-12-30T14:00:00"/>
    <d v="1899-12-30T14:45:00"/>
    <n v="45"/>
    <d v="1899-12-30T14:59:00"/>
    <d v="1899-12-30T15:44:00"/>
    <n v="45"/>
    <d v="1899-12-30T15:20:00"/>
    <d v="1899-12-30T15:34:00"/>
    <d v="1899-12-30T15:44:00"/>
    <n v="45"/>
    <n v="14"/>
    <d v="1899-12-30T15:45:45"/>
    <d v="1899-12-30T16:10:00"/>
    <n v="25"/>
    <d v="1899-12-30T16:11:00"/>
    <d v="1899-12-30T16:30:00"/>
    <n v="19"/>
    <s v="SHME OR 14"/>
    <s v="Obstetrics"/>
    <s v="No"/>
    <s v="Cardenas, Michael Edward, Md"/>
    <s v="HYSTEROSCOPY, SURGICAL; WITH SAMPLING (BIOPSY) OF ENDOMETRIUM AND/ORPOLYPECTOMY, WITH OR WITHOUT D &amp; C"/>
    <s v="HYSTEROSCOPY, DILATION AND CURETTAGE - N/A"/>
    <s v="Mon"/>
    <m/>
    <m/>
    <m/>
    <s v="CARDENAS, MICHAEL EDWARD"/>
    <m/>
    <s v="Michael Edward Cardenas, MD"/>
    <m/>
    <s v="Cardenas"/>
  </r>
  <r>
    <d v="2026-08-24T00:00:00"/>
    <s v="6619451"/>
    <s v="Bodenhamer, Connor W"/>
    <s v="Outpatient"/>
    <x v="1"/>
    <n v="3901446094"/>
    <s v="612447441"/>
    <d v="2002-05-21T00:00:00"/>
    <s v="Ngo, Donald Hanh, MD"/>
    <s v="General"/>
    <s v="2"/>
    <d v="1899-12-30T13:17:00"/>
    <d v="1899-12-30T18:18:00"/>
    <n v="301"/>
    <d v="1899-12-30T13:30:00"/>
    <d v="1899-12-30T19:30:00"/>
    <n v="360"/>
    <d v="1899-12-30T13:17:00"/>
    <d v="1899-12-30T18:14:00"/>
    <n v="297"/>
    <d v="1899-12-30T13:48:00"/>
    <d v="1899-12-30T18:04:00"/>
    <d v="1899-12-30T18:14:00"/>
    <n v="297"/>
    <n v="256"/>
    <d v="1899-12-30T18:16:49"/>
    <d v="1899-12-30T19:29:00"/>
    <n v="73"/>
    <m/>
    <m/>
    <m/>
    <s v="SHME OR 09"/>
    <s v="Plastics"/>
    <s v="No"/>
    <s v="Garg, Ravi, Md"/>
    <s v="RECONSTRUCTION MIDFACE, LEFORT I; 2 PIECES, SEGMENT MOVEMENT IN ANYDIRECTION, REQUIRING BONE GRAFTS (INCLUDES OBTAINING AUTOGRAFTS) (EG,UNGRAFTED UNILATERAL ALVEOLAR CLEFT)_x000a_RECONSTRUCTION OF MANDIBULAR RAMI AND/OR BODY, SAGITTAL SPLIT; WITHINTERNAL RIGID FIXATION_x000a_IMPRESSION AND CUSTOM PREPARATION; ORAL SURGICAL SPLINT"/>
    <s v="LEFORT 1 MAXILLARY OSTEOTOMY WITH POSSIBLE INTERDENTAL OSTEOTOMIES, BILATERAL SAGITTAL SPLIT MANDIBULAR OSTEOTOMIES - Bilateral"/>
    <s v="Mon"/>
    <m/>
    <m/>
    <m/>
    <s v="GARG, RAVI"/>
    <m/>
    <s v="Ravi Garg, MD"/>
    <m/>
    <s v="Garg"/>
  </r>
  <r>
    <d v="2026-08-24T00:00:00"/>
    <s v="6633916"/>
    <s v="Russell, John"/>
    <s v="Outpatient"/>
    <x v="1"/>
    <n v="3901448734"/>
    <s v="701015957"/>
    <d v="1961-08-15T00:00:00"/>
    <s v="Luu, Tiffany, MD"/>
    <s v="General"/>
    <s v="3"/>
    <d v="1899-12-30T08:48:00"/>
    <d v="1899-12-30T11:44:00"/>
    <n v="176"/>
    <d v="1899-12-30T08:45:00"/>
    <d v="1899-12-30T11:15:00"/>
    <n v="150"/>
    <d v="1899-12-30T08:48:00"/>
    <d v="1899-12-30T11:39:00"/>
    <n v="171"/>
    <d v="1899-12-30T09:12:00"/>
    <d v="1899-12-30T11:31:00"/>
    <d v="1899-12-30T11:39:00"/>
    <n v="171"/>
    <n v="139"/>
    <d v="1899-12-30T11:41:14"/>
    <d v="1899-12-30T12:05:00"/>
    <n v="24"/>
    <m/>
    <m/>
    <m/>
    <s v="SHME OR 10"/>
    <s v="Urology"/>
    <s v="No"/>
    <s v="Salem, Carol Elizabeth, Md"/>
    <s v="LAPAROSCOPY, SURGICAL PROSTATECTOMY, RETROPUBIC RADICAL, INCLUDING NERVESPARING, INCLUDES ROBOTIC ASSISTANCE, WHEN PERFORMED"/>
    <s v="ROBOTIC RADICAL PROSTATECTOMY - N/A"/>
    <s v="Mon"/>
    <m/>
    <m/>
    <m/>
    <s v="SALEM, CAROL ELIZABETH"/>
    <m/>
    <s v="Carol Elizabeth Salem, MD"/>
    <m/>
    <s v="Salem"/>
  </r>
  <r>
    <d v="2026-08-24T00:00:00"/>
    <s v="6450047"/>
    <s v="Uddenberg, Julie A"/>
    <s v="Outpatient"/>
    <x v="1"/>
    <n v="3901414012"/>
    <s v="701047933"/>
    <d v="1977-10-29T00:00:00"/>
    <s v="Rayan, Hany A, MD"/>
    <s v="General"/>
    <s v="2"/>
    <d v="1899-12-30T10:45:00"/>
    <d v="1899-12-30T12:01:00"/>
    <n v="76"/>
    <d v="1899-12-30T10:30:00"/>
    <d v="1899-12-30T11:45:00"/>
    <n v="75"/>
    <d v="1899-12-30T10:45:00"/>
    <d v="1899-12-30T11:56:00"/>
    <n v="71"/>
    <d v="1899-12-30T11:18:00"/>
    <d v="1899-12-30T11:36:00"/>
    <d v="1899-12-30T11:56:00"/>
    <n v="71"/>
    <n v="18"/>
    <d v="1899-12-30T12:00:46"/>
    <d v="1899-12-30T13:45:00"/>
    <n v="105"/>
    <d v="1899-12-30T13:46:00"/>
    <d v="1899-12-30T14:53:00"/>
    <n v="67"/>
    <s v="SHME OR 14"/>
    <s v="Gynecology"/>
    <s v="No"/>
    <s v="Hui, Kim, Md"/>
    <s v="LAPAROSCOPY, SURGICAL; WITH FULGURATION OR EXCISION OF LESIONS OF THEOVARY, PELVIC VISCERA, OR PERITONEAL SURFACE BY ANY METHOD"/>
    <s v="LAPAROSCOPY, FULGURATION OF ENDOMETRIOSIS - N/A"/>
    <s v="Mon"/>
    <m/>
    <m/>
    <m/>
    <s v="HUI, KIM"/>
    <m/>
    <s v="Kim Hui, MD (619-407-1011)"/>
    <m/>
    <s v="Hui"/>
  </r>
  <r>
    <d v="2026-08-24T00:00:00"/>
    <s v="6639830"/>
    <s v="Isaac, Dennis R"/>
    <s v="Outpatient"/>
    <x v="1"/>
    <n v="3901450007"/>
    <s v="607654812"/>
    <d v="1953-04-04T00:00:00"/>
    <s v="Oleske, Alexandra Argyro, DO"/>
    <s v="General"/>
    <s v="3"/>
    <d v="1899-12-30T11:41:00"/>
    <d v="1899-12-30T12:42:00"/>
    <n v="61"/>
    <d v="1899-12-30T11:30:00"/>
    <d v="1899-12-30T12:30:00"/>
    <n v="60"/>
    <d v="1899-12-30T11:41:00"/>
    <d v="1899-12-30T12:36:00"/>
    <n v="55"/>
    <d v="1899-12-30T12:00:00"/>
    <d v="1899-12-30T12:29:00"/>
    <d v="1899-12-30T12:36:00"/>
    <n v="55"/>
    <n v="29"/>
    <d v="1899-12-30T12:42:09"/>
    <d v="1899-12-30T13:31:00"/>
    <n v="49"/>
    <d v="1899-12-30T13:32:00"/>
    <d v="1899-12-30T14:37:36"/>
    <n v="65"/>
    <s v="SHME OR 05"/>
    <s v="Orthopedics"/>
    <s v="Yes"/>
    <s v="Bawa, Maneesh, Md"/>
    <s v="NEUROPLASTY AND/OR TRANSPOSITION; MEDIAN NERVE AT CARPAL TUNNEL"/>
    <s v="LEFT CARPAL TUNNEL RELEASE - Left"/>
    <s v="Mon"/>
    <m/>
    <m/>
    <m/>
    <s v="BAWA, MANEESH"/>
    <m/>
    <s v="Maneesh Bawa, MD"/>
    <m/>
    <s v="Bawa"/>
  </r>
  <r>
    <d v="2026-08-24T00:00:00"/>
    <s v="6643909"/>
    <s v="Musco, Annette P"/>
    <s v="Outpatient"/>
    <x v="1"/>
    <n v="3901450807"/>
    <s v="701690898"/>
    <d v="1947-01-10T00:00:00"/>
    <s v="Kim, Eung Do, MD"/>
    <s v="Monitor Anesthesia Care"/>
    <s v="2"/>
    <d v="1899-12-30T08:01:00"/>
    <d v="1899-12-30T08:49:00"/>
    <n v="48"/>
    <d v="1899-12-30T08:00:00"/>
    <d v="1899-12-30T09:00:00"/>
    <n v="60"/>
    <d v="1899-12-30T08:01:00"/>
    <d v="1899-12-30T08:39:00"/>
    <n v="38"/>
    <d v="1899-12-30T08:18:00"/>
    <d v="1899-12-30T08:35:00"/>
    <d v="1899-12-30T08:39:00"/>
    <n v="38"/>
    <n v="17"/>
    <d v="1899-12-30T08:43:45"/>
    <d v="1899-12-30T09:10:00"/>
    <n v="27"/>
    <d v="1899-12-30T09:11:00"/>
    <d v="1899-12-30T09:48:00"/>
    <n v="37"/>
    <s v="SHME OR 01"/>
    <s v="Orthopedics"/>
    <s v="No"/>
    <s v="Sun, Michael, Md"/>
    <s v="NEUROPLASTY AND/OR TRANSPOSITION; MEDIAN NERVE AT CARPAL TUNNEL"/>
    <s v="RIGHT CARPAL TUNNEL RELEASE - Right"/>
    <s v="Mon"/>
    <m/>
    <m/>
    <m/>
    <s v="SUN, MICHAEL"/>
    <m/>
    <s v="Michael Sun, MD"/>
    <m/>
    <s v="Sun"/>
  </r>
  <r>
    <d v="2026-08-24T00:00:00"/>
    <s v="6648686"/>
    <s v="Pham, Luc The"/>
    <s v="Outpatient"/>
    <x v="1"/>
    <n v="3901451626"/>
    <s v="811487129"/>
    <d v="1961-12-16T00:00:00"/>
    <s v="Oleske, Alexandra Argyro, DO"/>
    <s v="General"/>
    <s v="3"/>
    <d v="1899-12-30T07:57:00"/>
    <d v="1899-12-30T11:11:00"/>
    <n v="194"/>
    <d v="1899-12-30T08:00:00"/>
    <d v="1899-12-30T11:00:00"/>
    <n v="180"/>
    <d v="1899-12-30T07:57:00"/>
    <d v="1899-12-30T11:04:00"/>
    <n v="187"/>
    <d v="1899-12-30T08:35:00"/>
    <d v="1899-12-30T10:54:00"/>
    <d v="1899-12-30T11:04:00"/>
    <n v="187"/>
    <n v="139"/>
    <d v="1899-12-30T11:07:37"/>
    <d v="1899-12-30T11:50:00"/>
    <n v="43"/>
    <d v="1899-12-30T11:50:00"/>
    <d v="1899-12-30T12:10:00"/>
    <n v="20"/>
    <s v="SHME OR 05"/>
    <s v="Orthopedics"/>
    <s v="No"/>
    <s v="Bawa, Maneesh, Md"/>
    <s v="SPINAL OR LATERAL RECESS STENOSIS]), SINGLE VERTEBRAL S_x000a_LAMINECTOMY, FACETECTOMY AND FORAMINOTOMY (UNILATERAL OR BILATERAL WITH DECOMPRESSION OF SPINAL CORD, CAUDA EQUINA AND/OR NERVE ROOT(S), EG, SPINAL OR LATERAL RECESS STENOSIS), SINGLE VERTEBRAL SEGMEN_x000a_LAMINOTOMY (HEMILAMINECTOMY), WITH DECOMPRESSION OF NERVE ROOT(S),INCLUDING PARTIAL FACETECTOMY, FORAMINOTOMY AND/OR EXCISION OFHERNIATED INTERVERTEBRAL DISC; 1 INTERSPACE, LUMBAR_x000a_MICROSURGICAL TECHNIQUES, REQUIRING USE OF OPERATING MICROSCOPE (LISTSEPARATELY IN ADDITION TO CODE FOR PRIMARY PROCEDURE)_x000a_FLUOROSCOPY (SEPARATE PROCEDURE), UP TO 1 HOUR PHYSICIAN OR OTHERQUALIFIED HEALTH CARE PROFESSIONAL TIME, OTHER THAN 71023 OR 71034 (EG,CARDIAC FLUOROSCOPY)"/>
    <s v="LEFT LUMBAR 4- LUMBAR 5 AND LUMBAR 5-SACRAL1 LAMINECTOMY/DISCECTOMY, POSS RIGHT LUMBAR 4-LUMBAR 5 LAMINECTOMY/DISCECTOMY - N/A"/>
    <s v="Mon"/>
    <m/>
    <m/>
    <m/>
    <s v="BAWA, MANEESH"/>
    <m/>
    <s v="Maneesh Bawa, MD"/>
    <m/>
    <s v="Bawa"/>
  </r>
  <r>
    <d v="2026-08-24T00:00:00"/>
    <s v="6657766"/>
    <s v="Asiedu, Zoe Grace"/>
    <s v="Outpatient"/>
    <x v="1"/>
    <n v="3901453170"/>
    <s v="701554623"/>
    <d v="2001-09-10T00:00:00"/>
    <s v="Rayan, Hany A, MD"/>
    <s v="General"/>
    <s v="2"/>
    <d v="1899-12-30T12:39:00"/>
    <d v="1899-12-30T14:26:00"/>
    <n v="107"/>
    <d v="1899-12-30T12:15:00"/>
    <d v="1899-12-30T13:30:00"/>
    <n v="75"/>
    <d v="1899-12-30T12:39:00"/>
    <d v="1899-12-30T14:22:00"/>
    <n v="103"/>
    <d v="1899-12-30T13:28:00"/>
    <d v="1899-12-30T14:07:00"/>
    <d v="1899-12-30T14:22:00"/>
    <n v="103"/>
    <n v="39"/>
    <d v="1899-12-30T14:23:00"/>
    <d v="1899-12-30T15:45:00"/>
    <n v="82"/>
    <d v="1899-12-30T15:46:00"/>
    <d v="1899-12-30T17:35:00"/>
    <n v="109"/>
    <s v="SHME OR 14"/>
    <s v="Gynecology"/>
    <s v="No"/>
    <s v="Hui, Kim, Md"/>
    <s v="LAPAROSCOPY, SURGICAL; WITH FULGURATION OR EXCISION OF LESIONS OF THEOVARY, PELVIC VISCERA, OR PERITONEAL SURFACE BY ANY METHOD"/>
    <s v="LAPAROSCOPIC RIGHT OVARIAN CYST - Right"/>
    <s v="Mon"/>
    <m/>
    <m/>
    <m/>
    <s v="HUI, KIM"/>
    <m/>
    <s v="Kim Hui, MD (619-407-1011)"/>
    <m/>
    <s v="Hui"/>
  </r>
  <r>
    <d v="2026-08-24T00:00:00"/>
    <s v="6661765"/>
    <s v="Bame, Lawrence H"/>
    <s v="Outpatient"/>
    <x v="1"/>
    <n v="3901454052"/>
    <s v="110008911"/>
    <d v="1942-10-15T00:00:00"/>
    <s v="Luu, Tiffany, MD"/>
    <s v="General"/>
    <s v="2"/>
    <d v="1899-12-30T12:55:00"/>
    <d v="1899-12-30T13:42:00"/>
    <n v="47"/>
    <d v="1899-12-30T13:00:00"/>
    <d v="1899-12-30T14:00:00"/>
    <n v="60"/>
    <d v="1899-12-30T12:55:00"/>
    <d v="1899-12-30T13:33:00"/>
    <n v="38"/>
    <d v="1899-12-30T13:12:00"/>
    <d v="1899-12-30T13:26:00"/>
    <d v="1899-12-30T13:33:00"/>
    <n v="38"/>
    <n v="14"/>
    <d v="1899-12-30T13:38:34"/>
    <d v="1899-12-30T14:30:00"/>
    <n v="52"/>
    <d v="1899-12-30T14:30:00"/>
    <d v="1899-12-30T15:03:43"/>
    <n v="33"/>
    <s v="SHME OR 10"/>
    <s v="Urology"/>
    <s v="No"/>
    <s v="Salem, Carol Elizabeth, Md"/>
    <s v="CYSTOURETHROSCOPY, WITH MECHANICAL URETHRAL DILATION AND URETHRAL THERAPEUTIC DRUG DELIVERY BY DRUG-COATED BALLOON CATHETER FOR URETHRAL STRICTURE OR STENOSIS, MALE, INCLUDING FLUOROSCOPY_x000a_CYSTOURETHROSCOPY, WITH BIOPSY(S)_x000a_CYSTOURETHROSCOPY WITH DIRECT VISION INTERNAL URETHROTOMY"/>
    <s v="DIRECT VISUAL INTERNAL URETHROTOMY, OPTILUME, CYSTOSCOPY WITH POSSIBLE BLADDER BIOPSY - N/A"/>
    <s v="Mon"/>
    <m/>
    <m/>
    <m/>
    <s v="SALEM, CAROL ELIZABETH"/>
    <m/>
    <s v="Carol Elizabeth Salem, MD"/>
    <m/>
    <s v="Salem"/>
  </r>
  <r>
    <d v="2026-08-24T00:00:00"/>
    <s v="6662328"/>
    <s v="Jimenez, Salvador D"/>
    <s v="Inpatient"/>
    <x v="0"/>
    <n v="3901454182"/>
    <s v="811380202"/>
    <d v="1956-03-10T00:00:00"/>
    <s v="Julian, Jeric Israel Burguillos, DO"/>
    <s v="General"/>
    <s v="3"/>
    <d v="1899-12-30T13:40:00"/>
    <d v="1899-12-30T16:19:00"/>
    <n v="159"/>
    <d v="1899-12-30T13:00:00"/>
    <d v="1899-12-30T16:00:00"/>
    <n v="180"/>
    <d v="1899-12-30T13:40:00"/>
    <d v="1899-12-30T16:14:00"/>
    <n v="154"/>
    <d v="1899-12-30T14:15:00"/>
    <d v="1899-12-30T15:57:00"/>
    <d v="1899-12-30T16:14:00"/>
    <n v="154"/>
    <n v="102"/>
    <d v="1899-12-30T16:17:23"/>
    <d v="1899-12-30T16:33:58"/>
    <n v="16"/>
    <m/>
    <m/>
    <m/>
    <s v="SHME OR 04"/>
    <s v="General"/>
    <s v="No"/>
    <s v="Toman, Jeffrey Robert, Md"/>
    <s v="LAPAROSCOPY, SURGICAL; COLECTOMY, PARTIAL, WITH REMOVAL OF TERMINALILEUM WITH ILEOCOLOSTOMY"/>
    <s v="LAPAROSCOPIC RIGHT HEMICOLECTOMY, POSSIBLE OPEN PROCEDURE - N/A"/>
    <s v="Mon"/>
    <m/>
    <m/>
    <m/>
    <s v="ISHO, MATHEW S_x000a_TOMAN, JEFFREY ROBERT"/>
    <s v="Panel 1: Dr. Toman, Jeffrey Robert, MD / Isho, Mathew S, MD"/>
    <s v="Jeffrey Robert Toman, MD"/>
    <m/>
    <s v="Toman"/>
  </r>
  <r>
    <d v="2026-08-24T00:00:00"/>
    <s v="6669496"/>
    <s v="Kripton, Melia"/>
    <s v="Inpatient"/>
    <x v="0"/>
    <n v="3901456829"/>
    <s v="700281716"/>
    <d v="1962-09-27T00:00:00"/>
    <s v="Ramos, Joshua Neftalie, MD"/>
    <s v="General"/>
    <s v="3"/>
    <d v="1899-12-30T08:40:00"/>
    <d v="1899-12-30T10:33:00"/>
    <n v="113"/>
    <d v="1899-12-30T08:00:00"/>
    <d v="1899-12-30T09:15:00"/>
    <n v="75"/>
    <d v="1899-12-30T08:40:00"/>
    <d v="1899-12-30T10:24:00"/>
    <n v="104"/>
    <d v="1899-12-30T09:19:00"/>
    <d v="1899-12-30T10:11:00"/>
    <d v="1899-12-30T10:24:00"/>
    <n v="104"/>
    <n v="52"/>
    <d v="1899-12-30T10:26:00"/>
    <d v="1899-12-30T11:00:00"/>
    <n v="34"/>
    <d v="1899-12-30T11:01:00"/>
    <d v="1899-12-30T11:51:00"/>
    <n v="50"/>
    <s v="SHME OR 15"/>
    <s v="General"/>
    <s v="No"/>
    <s v="Taller, Janos, Md"/>
    <s v="LAPAROSCOPY, SURGICAL, GASTRIC RESTRICTIVE PROCEDURE; REMOVAL OFADJUSTABLE GASTRIC RESTRICTIVE DEVICE AND SUBCUTANEOUS PORT COMPONENTS"/>
    <s v="ROBOTIC LAP BAND REMOVAL - N/A"/>
    <s v="Mon"/>
    <m/>
    <m/>
    <m/>
    <s v="TALLER, JANOS_x000a_BERTUCCI, WILLIAM ROBERT"/>
    <s v="Panel 1: Dr. Taller, Janos, MD / Bertucci, William Robert, MD"/>
    <s v="Janos Taller, MD"/>
    <m/>
    <s v="Taller"/>
  </r>
  <r>
    <d v="2026-08-24T00:00:00"/>
    <s v="6672205"/>
    <s v="Becerril SALVATRIERRA, Valentin"/>
    <s v="Outpatient"/>
    <x v="1"/>
    <n v="3901455932"/>
    <s v="810685009"/>
    <d v="1966-02-01T00:00:00"/>
    <s v="Chitlur, Abhijith Harish, MD"/>
    <s v="Regional"/>
    <s v="2"/>
    <d v="1899-12-30T12:34:00"/>
    <d v="1899-12-30T16:10:00"/>
    <n v="216"/>
    <d v="1899-12-30T12:30:00"/>
    <d v="1899-12-30T15:00:00"/>
    <n v="150"/>
    <d v="1899-12-30T12:34:00"/>
    <d v="1899-12-30T16:02:00"/>
    <n v="208"/>
    <d v="1899-12-30T13:23:00"/>
    <d v="1899-12-30T15:56:00"/>
    <d v="1899-12-30T16:02:00"/>
    <n v="208"/>
    <n v="153"/>
    <d v="1899-12-30T16:05:18"/>
    <d v="1899-12-30T16:59:10"/>
    <n v="54"/>
    <d v="1899-12-30T16:59:12"/>
    <d v="1899-12-30T17:30:00"/>
    <n v="31"/>
    <s v="SHME OR 03"/>
    <s v="Orthopedics"/>
    <s v="No"/>
    <s v="Erwteman, Andrew Scot, Md"/>
    <s v="OPEN TREATMENT OF CLAVICULAR FRACTURE, INCLUDES INTERNAL FIXATION, WHENPERFORMED_x000a_OPEN TREATMENT OF ACROMIOCLAVICULAR DISLOCATION, ACUTE OR CHRONIC;"/>
    <s v="OPEN REDUCTION INTERNAL FIXATION LEFT LATERAL CLAVICLE FRACTURE WITH CORACOCLAVICULAR FIXATION - Left"/>
    <s v="Mon"/>
    <m/>
    <m/>
    <m/>
    <s v="ERWTEMAN, ANDREW SCOT"/>
    <m/>
    <s v="Andrew Scot Erwteman, MD"/>
    <m/>
    <s v="Erwteman"/>
  </r>
  <r>
    <d v="2026-08-24T00:00:00"/>
    <s v="6675393"/>
    <s v="Serna, Iris L"/>
    <s v="Inpatient"/>
    <x v="0"/>
    <n v="3901456760"/>
    <s v="701732317"/>
    <d v="1988-01-16T00:00:00"/>
    <s v="Ramos, Joshua Neftalie, MD"/>
    <s v="General"/>
    <s v="3"/>
    <d v="1899-12-30T11:19:00"/>
    <d v="1899-12-30T13:35:00"/>
    <n v="136"/>
    <d v="1899-12-30T10:15:00"/>
    <d v="1899-12-30T12:45:00"/>
    <n v="150"/>
    <d v="1899-12-30T11:14:00"/>
    <d v="1899-12-30T13:26:00"/>
    <n v="132"/>
    <d v="1899-12-30T12:02:00"/>
    <d v="1899-12-30T13:20:00"/>
    <d v="1899-12-30T13:26:00"/>
    <n v="132"/>
    <n v="78"/>
    <d v="1899-12-30T13:28:00"/>
    <d v="1899-12-30T14:21:00"/>
    <n v="53"/>
    <m/>
    <m/>
    <m/>
    <s v="SHME OR 15"/>
    <s v="General"/>
    <s v="No"/>
    <s v="Bertucci, William Robert, Md"/>
    <s v="LAPAROSCOPY, SURGICAL, GASTRIC RESTRICTIVE PROCEDURE; WITH GASTRICBYPASS AND ROUX-EN-Y GASTROENTEROSTOMY (ROUX LIMB 150 CM OR LESS)"/>
    <s v="ROBOTIC GASTRIC BYPASS ROUX-EN-Y - N/A"/>
    <s v="Mon"/>
    <m/>
    <m/>
    <m/>
    <s v="BERTUCCI, WILLIAM ROBERT_x000a_TALLER, JANOS"/>
    <s v="Panel 1: Dr. Bertucci, William Robert, MD / Taller, Janos, MD"/>
    <s v="William Robert Bertucci, MD"/>
    <m/>
    <s v="Bertucci"/>
  </r>
  <r>
    <d v="2026-08-24T00:00:00"/>
    <s v="6677044"/>
    <s v="Marbury, Daniel"/>
    <s v="Inpatient"/>
    <x v="0"/>
    <n v="3901456045"/>
    <s v="810779044"/>
    <d v="1956-03-07T00:00:00"/>
    <s v="Kim, Eung Do, MD"/>
    <s v="General"/>
    <s v="3"/>
    <d v="1899-12-30T09:41:00"/>
    <d v="1899-12-30T14:28:00"/>
    <n v="287"/>
    <d v="1899-12-30T09:30:00"/>
    <d v="1899-12-30T13:30:00"/>
    <n v="240"/>
    <d v="1899-12-30T09:40:00"/>
    <d v="1899-12-30T14:18:00"/>
    <n v="278"/>
    <d v="1899-12-30T11:27:00"/>
    <d v="1899-12-30T14:04:00"/>
    <d v="1899-12-30T14:18:00"/>
    <n v="278"/>
    <n v="157"/>
    <m/>
    <m/>
    <m/>
    <m/>
    <m/>
    <m/>
    <s v="SHME OR 01"/>
    <s v="Neurosurgery"/>
    <s v="No"/>
    <s v="Zauner, Alois, Md"/>
    <s v="CRANIECTOMY FOR EXCISION OF BRAIN TUMOR, INFRATENTORIAL OR POSTERIORFOSSA; EXCEPT MENINGIOMA, CEREBELLOPONTINE ANGLE TUMOR, OR MIDLINE TUMORAT BASE OF SKULL_x000a_MICROSURGICAL TECHNIQUES, REQUIRING USE OF OPERATING MICROSCOPE (LISTSEPARATELY IN ADDITION TO CODE FOR PRIMARY PROCEDURE)_x000a_PATHOLOGY CONSULTATION DURING SURGERY; FIRST TISSUE BLOCK, WITH FROZENSECTION(S), SINGLE SPECIMEN_x000a_STEREOTACTIC COMPUTER-ASSISTED (NAVIGATIONAL) PROCEDURE; CRANIAL,INTRADURAL (LIST SEPARATELY IN ADDITION TO CODE FOR PRIMARY PROCEDURE)_x000a_CONTINUOUS INTRAOPERATIVE NEUROPHYSIOLOGY MONITORING IN THE OPERATINGROOM, ONE ON ONE MONITORING REQUIRING PERSONAL ATTENDANCE, EACH 15MINUTES (LIST SEPARATELY IN ADDITION TO CODE FOR PRIMARY PROCED"/>
    <s v="RIGHT SIDED SUBOCCIPITAL CRANIOTOMY FOR TUMOR RESECTION UNDER GENERAL ANESTHESIA - Right"/>
    <s v="Mon"/>
    <m/>
    <m/>
    <m/>
    <s v="ZAUNER, ALOIS"/>
    <m/>
    <s v="Alois Zauner, MD"/>
    <m/>
    <s v="Zauner"/>
  </r>
  <r>
    <d v="2026-08-24T00:00:00"/>
    <s v="6681862"/>
    <s v="Carr, Norman"/>
    <s v="Inpatient"/>
    <x v="0"/>
    <n v="3901456312"/>
    <s v="700077858"/>
    <d v="1936-05-08T00:00:00"/>
    <s v="Ramos, Joshua Neftalie, MD"/>
    <s v="General"/>
    <s v="3"/>
    <d v="1899-12-30T13:33:00"/>
    <d v="1899-12-30T14:48:00"/>
    <n v="75"/>
    <d v="1899-12-30T13:00:00"/>
    <d v="1899-12-30T16:10:00"/>
    <n v="220"/>
    <d v="1899-12-30T13:33:00"/>
    <d v="1899-12-30T14:39:00"/>
    <n v="66"/>
    <d v="1899-12-30T14:03:00"/>
    <d v="1899-12-30T14:30:00"/>
    <d v="1899-12-30T14:39:00"/>
    <n v="66"/>
    <n v="27"/>
    <d v="1899-12-30T14:46:45"/>
    <d v="1899-12-30T15:40:28"/>
    <n v="54"/>
    <m/>
    <m/>
    <m/>
    <s v="SHME OR 05"/>
    <s v="ENT"/>
    <s v="No"/>
    <s v="Mansfield, Perry Thomas, Md, Frcpc"/>
    <s v="BRONCHOSCOPY, RIGID OR FLEXIBLE, INCLUDING FLUOROSCOPIC GUIDANCE, WHENPERFORMED; WITH THERAPEUTIC ASPIRATION OF TRACHEOBRONCHIAL TREE, INITIAL(EG, DRAINAGE OF LUNG ABSCESS)_x000a_ESOPHAGOSCOPY, FLEXIBLE, TRANSORAL; DIAGNOSTIC, INCLUDING COLLECTIONOF SPECIMEN(S) BY BRUSHING OR WASHING, WHEN PERFORMED (SEPARATEPROCEDURE)_x000a_LARYNGOSCOPY DIRECT, WITH OR WITHOUT TRACHEOSCOPY; DIAGNOSTIC, WITHOPERATING MICROSCOPE OR TELESCOPE_x000a_NASAL/SINUS ENDOSCOPY, SURGICAL; WITH BIOPSY, POLYPECTOMY OR DEBRIDEMENT(SEPARATE PROCEDURE)_x000a_GLOSSECTOMY; LESS THAN ONE-HALF TONGUE"/>
    <s v="PANENDOSCOPY AND LEFT PARTIAL GLOSSECTOMY - Left"/>
    <s v="Mon"/>
    <m/>
    <m/>
    <m/>
    <s v="MANSFIELD, PERRY THOMAS"/>
    <m/>
    <s v="Perry Thomas Mansfield, MD, FRCPC"/>
    <m/>
    <s v="Mansfield"/>
  </r>
  <r>
    <d v="2026-08-24T00:00:00"/>
    <s v="6682184"/>
    <s v="Good, Daniel E"/>
    <s v="Inpatient"/>
    <x v="0"/>
    <n v="3400731861"/>
    <s v="110003118"/>
    <d v="1964-11-14T00:00:00"/>
    <s v="Kim, Eung Do, MD"/>
    <s v="General"/>
    <s v="3"/>
    <d v="1899-12-30T15:27:00"/>
    <d v="1899-12-30T17:35:00"/>
    <n v="128"/>
    <d v="1899-12-30T14:00:00"/>
    <d v="1899-12-30T16:10:00"/>
    <n v="130"/>
    <d v="1899-12-30T15:27:00"/>
    <d v="1899-12-30T17:30:00"/>
    <n v="123"/>
    <d v="1899-12-30T16:12:00"/>
    <d v="1899-12-30T17:16:00"/>
    <d v="1899-12-30T17:30:00"/>
    <n v="123"/>
    <n v="64"/>
    <d v="1899-12-30T17:32:00"/>
    <d v="1899-12-30T18:37:34"/>
    <n v="65"/>
    <m/>
    <m/>
    <m/>
    <s v="SHME OR 01"/>
    <s v="Neurosurgery"/>
    <s v="No"/>
    <s v="Zauner, Alois, Md"/>
    <s v="CREATION OF SHUNT; VENTRICULO-PERITONEAL, -PLEURAL, OTHER TERMINUS"/>
    <s v="INSERTION OF RIGHT SIDED VENTRICULOPERITONEAL SHUNT - Right"/>
    <s v="Mon"/>
    <m/>
    <s v="ED/IP/IC"/>
    <m/>
    <s v="ZAUNER, ALOIS"/>
    <m/>
    <s v="Alois Zauner, MD"/>
    <m/>
    <s v="Zauner"/>
  </r>
  <r>
    <d v="2026-08-24T00:00:00"/>
    <s v="6487828"/>
    <s v="Pena, Liz J"/>
    <s v="Outpatient"/>
    <x v="1"/>
    <n v="3901422331"/>
    <s v="200661730"/>
    <d v="1970-02-08T00:00:00"/>
    <s v="Rayan, Hany A, MD"/>
    <s v="General"/>
    <s v="2"/>
    <d v="1899-12-30T08:09:00"/>
    <d v="1899-12-30T08:52:00"/>
    <n v="43"/>
    <d v="1899-12-30T08:00:00"/>
    <d v="1899-12-30T08:45:00"/>
    <n v="45"/>
    <d v="1899-12-30T08:09:00"/>
    <d v="1899-12-30T08:47:00"/>
    <n v="38"/>
    <d v="1899-12-30T08:30:00"/>
    <d v="1899-12-30T08:38:00"/>
    <d v="1899-12-30T08:47:00"/>
    <n v="38"/>
    <n v="8"/>
    <d v="1899-12-30T08:49:25"/>
    <d v="1899-12-30T10:01:00"/>
    <n v="72"/>
    <d v="1899-12-30T10:02:00"/>
    <d v="1899-12-30T11:08:00"/>
    <n v="66"/>
    <s v="SHME OR 14"/>
    <s v="Gynecology"/>
    <s v="No"/>
    <s v="Hui, Kim, Md"/>
    <s v="EXCISION, BENIGN LESION INCLUDING MARGINS, EXCEPT SKIN TAG (UNLESSLISTED ELSEWHERE), SCALP, NECK, HANDS, FEET, GENITALIA; EXCISED DIAMETER0.6 TO 1.0 CM"/>
    <s v="LIPOMA OF THE LEFT GROIN EXCISION - Left"/>
    <s v="Mon"/>
    <m/>
    <m/>
    <m/>
    <s v="HUI, KIM"/>
    <m/>
    <s v="Kim Hui, MD (619-407-1011)"/>
    <m/>
    <s v="Hui"/>
  </r>
  <r>
    <d v="2026-08-24T00:00:00"/>
    <s v="6683239"/>
    <s v="Simmons, James E"/>
    <s v="Inpatient"/>
    <x v="0"/>
    <n v="3901457734"/>
    <s v="700712101"/>
    <d v="1984-11-20T00:00:00"/>
    <s v="Ramos, Joshua Neftalie, MD"/>
    <s v="Monitor Anesthesia Care"/>
    <s v="3"/>
    <d v="1899-12-30T15:39:00"/>
    <d v="1899-12-30T16:36:00"/>
    <n v="57"/>
    <d v="1899-12-30T16:00:00"/>
    <d v="1899-12-30T16:55:00"/>
    <n v="85"/>
    <d v="1899-12-30T15:39:00"/>
    <d v="1899-12-30T16:27:00"/>
    <n v="48"/>
    <d v="1899-12-30T15:59:00"/>
    <d v="1899-12-30T16:21:00"/>
    <d v="1899-12-30T16:27:00"/>
    <n v="48"/>
    <n v="22"/>
    <d v="1899-12-30T16:31:00"/>
    <d v="1899-12-30T16:56:00"/>
    <n v="25"/>
    <m/>
    <m/>
    <m/>
    <s v="SHME OR 05"/>
    <s v="Podiatry"/>
    <s v="Yes"/>
    <s v="Brookshier, Trent Rockne, Dpm"/>
    <s v="INCISION AND DRAINAGE BELOW FASCIA, WITH OR WITHOUT TENDON SHEATHINVOLVEMENT, FOOT; MULTIPLE AREAS"/>
    <s v="INCISION AND DRAINAGE BELOW FASCIA, WITH OR WITHOUT TENDON SHEATHINVOLVEMENT, FOOT; MULTIPLE AREAS - Right"/>
    <s v="Mon"/>
    <m/>
    <m/>
    <m/>
    <s v="BROOKSHIER, TRENT ROCKNE"/>
    <m/>
    <s v="Trent Rockne Brookshier, DPM"/>
    <m/>
    <s v="Brookshier"/>
  </r>
  <r>
    <d v="2026-08-24T00:00:00"/>
    <s v="6683646"/>
    <s v="Trevillian, Abigail"/>
    <s v="Inpatient"/>
    <x v="0"/>
    <n v="3901457893"/>
    <s v="811491703"/>
    <d v="2005-06-10T00:00:00"/>
    <s v="Chung, Michelle Sheryl, MD"/>
    <s v="General"/>
    <s v="2"/>
    <d v="1899-12-30T11:56:00"/>
    <d v="1899-12-30T15:43:00"/>
    <n v="227"/>
    <d v="1899-12-30T12:00:00"/>
    <d v="1899-12-30T16:25:00"/>
    <n v="295"/>
    <d v="1899-12-30T11:51:00"/>
    <d v="1899-12-30T15:37:00"/>
    <n v="226"/>
    <d v="1899-12-30T12:24:00"/>
    <d v="1899-12-30T15:33:00"/>
    <d v="1899-12-30T15:37:00"/>
    <n v="226"/>
    <n v="189"/>
    <d v="1899-12-30T15:41:24"/>
    <d v="1899-12-30T17:00:23"/>
    <n v="79"/>
    <m/>
    <m/>
    <m/>
    <s v="SHME OR 06"/>
    <s v="Orthopedics"/>
    <s v="No"/>
    <s v="Dromsky, David Michael, Md"/>
    <s v="OPEN TREATMENT OF ACUTE OR CHRONIC ELBOW DISLOCATION_x000a_OPEN TREATMENT OF RADIAL HEAD OR NECK FRACTURE, INCLUDES INTERNALFIXATION OR RADIAL HEAD EXCISION, WHEN PERFORMED;_x000a_REPAIR LATERAL COLLATERAL LIGAMENT, ELBOW, WITH LOCAL TISSUE"/>
    <s v="OPEN TREATMENT OF ACUTE OR CHRONIC ELBOW DISLOCATION - Right"/>
    <s v="Mon"/>
    <m/>
    <m/>
    <m/>
    <s v="DROMSKY, DAVID MICHAEL"/>
    <m/>
    <s v="David Michael Dromsky, MD"/>
    <m/>
    <s v="Dromsky"/>
  </r>
  <r>
    <d v="2026-08-24T00:00:00"/>
    <s v="6683653"/>
    <s v="Bernardino, Julian"/>
    <s v="Outpatient"/>
    <x v="1"/>
    <n v="3901456405"/>
    <s v="811488691"/>
    <d v="1999-05-26T00:00:00"/>
    <s v="Chung, Michelle Sheryl, MD"/>
    <s v="General"/>
    <s v="2"/>
    <d v="1899-12-30T08:02:00"/>
    <d v="1899-12-30T10:44:00"/>
    <n v="162"/>
    <d v="1899-12-30T08:00:00"/>
    <d v="1899-12-30T11:05:00"/>
    <n v="215"/>
    <d v="1899-12-30T08:02:00"/>
    <d v="1899-12-30T10:39:00"/>
    <n v="157"/>
    <d v="1899-12-30T08:31:00"/>
    <d v="1899-12-30T10:35:00"/>
    <d v="1899-12-30T10:39:00"/>
    <n v="157"/>
    <n v="124"/>
    <d v="1899-12-30T10:40:38"/>
    <d v="1899-12-30T11:30:00"/>
    <n v="50"/>
    <m/>
    <m/>
    <m/>
    <s v="SHME OR 06"/>
    <s v="Orthopedics"/>
    <s v="No"/>
    <s v="Quacinella, Michael Andrew, Do, Mph"/>
    <s v="PERCUTANEOUS SKELETAL FIXATION OF CARPOMETACARPAL FRACTURE DISLOCATION,THUMB (BENNETT FRACTURE), WITH MANIPULATION_x000a_OPEN TREATMENT OF CARPAL SCAPHOID (NAVICULAR) FRACTURE, INCLUDESINTERNAL FIXATION, WHEN PERFORMED_x000a_OPEN TREATMENT OF ACROMIOCLAVICULAR DISLOCATION, ACUTE OR CHRONIC;"/>
    <s v="PERCUTANEOUS SKELETAL FIXATION OF CARPOMETACARPAL FRACTURE DISLOCATION,THUMB (BENNETT FRACTURE), WITH MANIPULATION - Right"/>
    <s v="Mon"/>
    <m/>
    <m/>
    <m/>
    <s v="QUACINELLA, MICHAEL ANDREW"/>
    <m/>
    <s v="Michael Andrew Quacinella, DO, MPH"/>
    <m/>
    <s v="Quacinella"/>
  </r>
  <r>
    <d v="2026-08-24T00:00:00"/>
    <s v="6683711"/>
    <s v="Noriega, Veronica L"/>
    <s v="Inpatient"/>
    <x v="0"/>
    <n v="3901457699"/>
    <s v="606664326"/>
    <d v="1988-06-09T00:00:00"/>
    <s v="Ngo, Donald Hanh, MD"/>
    <s v="General"/>
    <s v="3"/>
    <d v="1899-12-30T18:38:00"/>
    <d v="1899-12-30T21:16:00"/>
    <n v="158"/>
    <d v="1899-12-30T16:30:00"/>
    <d v="1899-12-30T18:40:00"/>
    <n v="160"/>
    <d v="1899-12-30T18:38:00"/>
    <d v="1899-12-30T21:09:00"/>
    <n v="151"/>
    <d v="1899-12-30T19:23:00"/>
    <d v="1899-12-30T21:01:00"/>
    <d v="1899-12-30T21:09:00"/>
    <n v="151"/>
    <n v="98"/>
    <d v="1899-12-30T21:15:16"/>
    <d v="1899-12-30T22:23:26"/>
    <n v="68"/>
    <m/>
    <m/>
    <m/>
    <s v="SHME OR 01"/>
    <s v="Neurosurgery"/>
    <s v="No"/>
    <s v="Zauner, Alois, Md"/>
    <s v="CREATION OF SHUNT; VENTRICULO-PERITONEAL, -PLEURAL, OTHER TERMINUS"/>
    <s v="Creation of VENTRICULO-PERITONEAL shunt - Right"/>
    <s v="Mon"/>
    <m/>
    <m/>
    <m/>
    <s v="ZAUNER, ALOIS"/>
    <m/>
    <s v="Alois Zauner, MD"/>
    <m/>
    <s v="Zauner"/>
  </r>
  <r>
    <d v="2026-08-24T00:00:00"/>
    <s v="6684027"/>
    <s v="Yee, Stephanie"/>
    <s v="Inpatient"/>
    <x v="0"/>
    <n v="3901458317"/>
    <s v="811491996"/>
    <d v="1987-06-05T00:00:00"/>
    <s v="Haidar, Jason, DO"/>
    <s v="General"/>
    <s v="2"/>
    <d v="1899-12-30T11:17:00"/>
    <d v="1899-12-30T12:35:00"/>
    <n v="78"/>
    <d v="1899-12-30T10:30:00"/>
    <d v="1899-12-30T11:35:00"/>
    <n v="95"/>
    <d v="1899-12-30T11:17:00"/>
    <d v="1899-12-30T12:30:00"/>
    <n v="73"/>
    <d v="1899-12-30T11:41:00"/>
    <d v="1899-12-30T12:22:00"/>
    <d v="1899-12-30T12:30:00"/>
    <n v="73"/>
    <n v="41"/>
    <d v="1899-12-30T12:32:07"/>
    <d v="1899-12-30T13:30:00"/>
    <n v="58"/>
    <m/>
    <m/>
    <m/>
    <s v="SHME OR 02"/>
    <s v="General"/>
    <s v="No"/>
    <s v="Bansal, Vishal, Md"/>
    <s v="LAPAROSCOPY, SURGICAL, APPENDECTOMY"/>
    <s v="LAPAROSCOPY, SURGICAL, APPENDECTOMY - N/A"/>
    <s v="Mon"/>
    <m/>
    <m/>
    <m/>
    <s v="BANSAL, VISHAL"/>
    <m/>
    <s v="Vishal Bansal, MD"/>
    <m/>
    <s v="Bansal"/>
  </r>
  <r>
    <d v="2026-08-24T00:00:00"/>
    <s v="6684115"/>
    <s v="Kolacz, Rachael F"/>
    <s v="Inpatient"/>
    <x v="0"/>
    <n v="3901458307"/>
    <s v="701120113"/>
    <d v="1991-01-20T00:00:00"/>
    <s v="Haidar, Jason, DO"/>
    <s v="General"/>
    <s v="2"/>
    <d v="1899-12-30T13:19:00"/>
    <d v="1899-12-30T15:53:00"/>
    <n v="154"/>
    <d v="1899-12-30T12:40:00"/>
    <d v="1899-12-30T14:05:00"/>
    <n v="115"/>
    <d v="1899-12-30T13:19:00"/>
    <d v="1899-12-30T15:48:00"/>
    <n v="149"/>
    <d v="1899-12-30T13:47:00"/>
    <d v="1899-12-30T15:41:00"/>
    <d v="1899-12-30T15:48:00"/>
    <n v="149"/>
    <n v="114"/>
    <d v="1899-12-30T15:52:00"/>
    <d v="1899-12-30T17:00:00"/>
    <n v="68"/>
    <m/>
    <m/>
    <m/>
    <s v="SHME OR 02"/>
    <s v="General"/>
    <s v="No"/>
    <s v="Krzyzaniak, Michael Joseph, Md"/>
    <s v="LAPAROSCOPY, SURGICAL; CHOLECYSTECTOMY"/>
    <s v="LAPAROSCOPY, SURGICAL; CHOLECYSTECTOMY - N/A"/>
    <s v="Mon"/>
    <m/>
    <m/>
    <m/>
    <s v="KRZYZANIAK, MICHAEL JOSEPH"/>
    <m/>
    <s v="Michael Joseph Krzyzaniak, MD"/>
    <m/>
    <s v="Krzyzaniak"/>
  </r>
  <r>
    <d v="2026-08-24T00:00:00"/>
    <s v="6684932"/>
    <s v="Barron Murillo, Alicia"/>
    <s v="Emergency"/>
    <x v="0"/>
    <n v="3901458355"/>
    <s v="701523612"/>
    <d v="1998-10-23T00:00:00"/>
    <s v="Li, Robin T, MD"/>
    <s v="Monitor Anesthesia Care"/>
    <s v="2"/>
    <d v="1899-12-30T14:36:00"/>
    <d v="1899-12-30T15:29:00"/>
    <n v="53"/>
    <d v="1899-12-30T14:30:00"/>
    <d v="1899-12-30T15:25:00"/>
    <n v="85"/>
    <d v="1899-12-30T14:36:00"/>
    <d v="1899-12-30T15:21:00"/>
    <n v="45"/>
    <d v="1899-12-30T14:44:00"/>
    <d v="1899-12-30T15:18:00"/>
    <d v="1899-12-30T15:21:00"/>
    <n v="45"/>
    <n v="34"/>
    <d v="1899-12-30T15:22:17"/>
    <d v="1899-12-30T16:07:55"/>
    <n v="45"/>
    <d v="1899-12-30T16:07:56"/>
    <d v="1899-12-30T17:25:43"/>
    <n v="78"/>
    <s v="SHME OR 16"/>
    <s v="Podiatry"/>
    <s v="No"/>
    <s v="Brookshier, Trent Rockne, Dpm"/>
    <s v="INCISION AND DRAINAGE BELOW FASCIA, WITH OR WITHOUT TENDON SHEATHINVOLVEMENT, FOOT; MULTIPLE AREAS"/>
    <s v="INCISION AND DRAINAGE BELOW FASCIA, WITH OR WITHOUT TENDON SHEATHINVOLVEMENT, FOOT; MULTIPLE AREAS - Left"/>
    <s v="Mon"/>
    <m/>
    <m/>
    <m/>
    <s v="BROOKSHIER, TRENT ROCKNE"/>
    <m/>
    <s v="Trent Rockne Brookshier, DPM"/>
    <m/>
    <s v="Brookshier"/>
  </r>
  <r>
    <d v="2026-08-24T00:00:00"/>
    <s v="6685115"/>
    <s v="Duarte Martinez, Guillermo A"/>
    <s v="Inpatient"/>
    <x v="0"/>
    <n v="3901457877"/>
    <s v="305198302"/>
    <d v="1980-06-17T00:00:00"/>
    <s v="Luu, Tiffany, MD"/>
    <s v="General"/>
    <s v="3"/>
    <d v="1899-12-30T18:34:00"/>
    <d v="1899-12-30T20:00:00"/>
    <n v="86"/>
    <d v="1899-12-30T17:30:00"/>
    <d v="1899-12-30T18:55:00"/>
    <n v="115"/>
    <d v="1899-12-30T18:34:00"/>
    <d v="1899-12-30T19:55:00"/>
    <n v="81"/>
    <d v="1899-12-30T19:08:00"/>
    <d v="1899-12-30T19:44:00"/>
    <d v="1899-12-30T19:55:00"/>
    <n v="81"/>
    <n v="36"/>
    <d v="1899-12-30T19:55:00"/>
    <d v="1899-12-30T20:16:00"/>
    <n v="21"/>
    <m/>
    <m/>
    <m/>
    <s v="SHME OR 04"/>
    <s v="Plastics"/>
    <s v="No"/>
    <s v="Hess, Jason R, Md"/>
    <s v="DEBRIDEMENT, MUSCLE AND/OR FASCIA (INCLUDES EPIDERMIS, DERMIS, ANDSUBCUTANEOUS TISSUE, IF PERFORMED); FIRST 20 SQ CM OR LESS_x000a_MUSCLE, MYOCUTANEOUS, OR FASCIOCUTANEOUS FLAP; TRUNK"/>
    <s v="DEBRIDEMENT AND FLAP CLOSURE SACRAL ULCER - N/A"/>
    <s v="Mon"/>
    <m/>
    <m/>
    <m/>
    <s v="HESS, JASON R"/>
    <m/>
    <s v="Jason R Hess, MD"/>
    <m/>
    <s v="Hess"/>
  </r>
  <r>
    <d v="2026-08-24T00:00:00"/>
    <s v="6685394"/>
    <s v="Knutson, Maria D"/>
    <s v="Inpatient"/>
    <x v="0"/>
    <n v="3901458225"/>
    <s v="611651181"/>
    <d v="1975-03-10T00:00:00"/>
    <s v="Chitlur, Abhijith Harish, MD"/>
    <s v="General"/>
    <s v="3"/>
    <d v="1899-12-30T16:57:00"/>
    <d v="1899-12-30T17:47:00"/>
    <n v="50"/>
    <d v="1899-12-30T16:15:00"/>
    <d v="1899-12-30T17:05:00"/>
    <n v="80"/>
    <d v="1899-12-30T16:57:00"/>
    <d v="1899-12-30T17:42:00"/>
    <n v="45"/>
    <d v="1899-12-30T17:24:00"/>
    <d v="1899-12-30T17:35:00"/>
    <d v="1899-12-30T17:42:00"/>
    <n v="45"/>
    <n v="11"/>
    <d v="1899-12-30T17:45:00"/>
    <d v="1899-12-30T18:15:00"/>
    <n v="30"/>
    <m/>
    <m/>
    <m/>
    <s v="SHME OR 03"/>
    <s v="Urology"/>
    <s v="No"/>
    <s v="Pe, Mark-Rally Lao, Md"/>
    <s v="CYSTOURETHROSCOPY, WITH INSERTION OF INDWELLING URETERAL STENT (EG,GIBBONS OR DOUBLE-J TYPE)"/>
    <s v="CYSTOURETHROSCOPY, WITH INSERTION OF INDWELLING URETERAL STENT (EG,GIBBONS OR DOUBLE-J TYPE) - Left"/>
    <s v="Mon"/>
    <m/>
    <m/>
    <m/>
    <s v="PE, MARK-RALLY LAO"/>
    <m/>
    <s v="Mark-Rally Lao Pe, MD"/>
    <m/>
    <s v="Pe"/>
  </r>
  <r>
    <d v="2026-08-24T00:00:00"/>
    <s v="6687253"/>
    <s v="Purdy, Roy"/>
    <s v="Inpatient"/>
    <x v="0"/>
    <n v="3901458812"/>
    <s v="110196857"/>
    <d v="1977-06-26T00:00:00"/>
    <s v="Julian, Jeric Israel Burguillos, DO"/>
    <s v="General"/>
    <s v="3"/>
    <d v="1899-12-30T18:00:00"/>
    <d v="1899-12-30T20:00:00"/>
    <n v="120"/>
    <d v="1899-12-30T17:30:00"/>
    <d v="1899-12-30T20:15:00"/>
    <n v="195"/>
    <d v="1899-12-30T18:00:00"/>
    <d v="1899-12-30T19:54:00"/>
    <n v="114"/>
    <d v="1899-12-30T18:31:00"/>
    <d v="1899-12-30T19:47:00"/>
    <d v="1899-12-30T19:54:00"/>
    <n v="114"/>
    <n v="76"/>
    <d v="1899-12-30T19:55:00"/>
    <d v="1899-12-30T20:30:00"/>
    <n v="35"/>
    <m/>
    <m/>
    <m/>
    <s v="SHME OR 10"/>
    <s v="General"/>
    <s v="No"/>
    <s v="Giurgiu, Dan I.N., Md"/>
    <s v="GASTRORRHAPHY, SUTURE OF PERFORATED DUODENAL OR GASTRIC ULCER, WOUND, ORINJURY"/>
    <s v="robot SUTURE OF PERFORATED DUODENAL OR GASTRIC ULCER, possible open - N/A"/>
    <s v="Mon"/>
    <m/>
    <m/>
    <m/>
    <s v="GIURGIU, DAN I.N."/>
    <m/>
    <s v="Dan I.N. Giurgiu, MD (619-330-8330)"/>
    <m/>
    <s v="Giurgiu"/>
  </r>
  <r>
    <d v="2026-08-24T00:00:00"/>
    <s v="6687328"/>
    <s v="Medina De Cardenas, Maria"/>
    <s v="Inpatient"/>
    <x v="0"/>
    <n v="3901458978"/>
    <s v="811492388"/>
    <d v="1960-08-10T00:00:00"/>
    <s v="Chitlur, Abhijith Harish, MD"/>
    <s v="General"/>
    <s v="4"/>
    <d v="1899-12-30T18:13:00"/>
    <d v="1899-12-30T19:51:00"/>
    <n v="98"/>
    <d v="1899-12-30T18:15:00"/>
    <d v="1899-12-30T20:00:00"/>
    <n v="135"/>
    <d v="1899-12-30T18:13:00"/>
    <d v="1899-12-30T19:43:00"/>
    <n v="90"/>
    <d v="1899-12-30T18:34:00"/>
    <d v="1899-12-30T19:26:00"/>
    <d v="1899-12-30T19:43:00"/>
    <n v="90"/>
    <n v="52"/>
    <m/>
    <m/>
    <m/>
    <m/>
    <m/>
    <m/>
    <s v="SHME OR 06"/>
    <s v="General"/>
    <s v="No"/>
    <s v="Krzyzaniak, Michael Joseph, Md"/>
    <s v="EXPLORATORY LAPAROTOMY, EXPLORATORY CELIOTOMY WITH OR WITHOUT BIOPSY(S)(SEPARATE PROCEDURE)"/>
    <s v="EXPLORATORY LAPAROTOMY, EXPLORATORY CELIOTOMY WITH OR WITHOUT BIOPSY(S)(SEPARATE PROCEDURE) - N/A"/>
    <s v="Mon"/>
    <m/>
    <s v="ED/IP/IC"/>
    <m/>
    <s v="KRZYZANIAK, MICHAEL JOSEPH"/>
    <m/>
    <s v="Michael Joseph Krzyzaniak, MD"/>
    <m/>
    <s v="Krzyzaniak"/>
  </r>
  <r>
    <d v="2026-08-24T00:00:00"/>
    <s v="6494527"/>
    <s v="Watson, James A"/>
    <s v="Inpatient"/>
    <x v="0"/>
    <n v="3901422517"/>
    <s v="810197204"/>
    <d v="1952-11-13T00:00:00"/>
    <s v="Chitlur, Abhijith Harish, MD"/>
    <s v="Regional"/>
    <s v="3"/>
    <d v="1899-12-30T08:09:00"/>
    <d v="1899-12-30T11:41:00"/>
    <n v="212"/>
    <d v="1899-12-30T08:00:00"/>
    <d v="1899-12-30T12:00:00"/>
    <n v="240"/>
    <d v="1899-12-30T08:09:00"/>
    <d v="1899-12-30T11:34:00"/>
    <n v="205"/>
    <d v="1899-12-30T09:01:00"/>
    <d v="1899-12-30T11:29:00"/>
    <d v="1899-12-30T11:34:00"/>
    <n v="205"/>
    <n v="148"/>
    <d v="1899-12-30T11:35:24"/>
    <d v="1899-12-30T12:05:58"/>
    <n v="30"/>
    <m/>
    <m/>
    <m/>
    <s v="SHME OR 03"/>
    <s v="Orthopedics"/>
    <s v="No"/>
    <s v="Erwteman, Andrew Scot, Md"/>
    <s v="REVISION OF TOTAL SHOULDER ARTHROPLASTY, INCLUDING ALLOGRAFT WHENPERFORMED; HUMERAL AND GLENOID COMPONENT"/>
    <s v="REVISION LEFT TOTAL SHOULDER TO REVERSE SHOULDER ARTHROPLASTY - Left"/>
    <s v="Mon"/>
    <m/>
    <m/>
    <m/>
    <s v="ERWTEMAN, ANDREW SCOT"/>
    <m/>
    <s v="Andrew Scot Erwteman, MD"/>
    <m/>
    <s v="Erwteman"/>
  </r>
  <r>
    <d v="2026-08-24T00:00:00"/>
    <s v="6508357"/>
    <s v="Lopez, William G"/>
    <s v="Inpatient"/>
    <x v="0"/>
    <n v="3901425133"/>
    <s v="200564356"/>
    <d v="1964-07-02T00:00:00"/>
    <s v="Vasant, Kris Kishore, MD"/>
    <s v="Regional"/>
    <s v="4"/>
    <d v="1899-12-30T06:30:00"/>
    <d v="1899-12-30T15:48:00"/>
    <n v="558"/>
    <d v="1899-12-30T06:15:00"/>
    <d v="1899-12-30T12:15:00"/>
    <n v="360"/>
    <d v="1899-12-30T06:30:00"/>
    <d v="1899-12-30T15:21:00"/>
    <n v="531"/>
    <d v="1899-12-30T09:58:00"/>
    <d v="1899-12-30T15:02:00"/>
    <d v="1899-12-30T15:21:00"/>
    <n v="531"/>
    <n v="304"/>
    <m/>
    <m/>
    <m/>
    <m/>
    <m/>
    <m/>
    <s v="SHME OR 08"/>
    <s v="Cardiothoracic"/>
    <s v="No"/>
    <s v="Hemp, James Robert, Md"/>
    <s v="REPLACEMENT, AORTIC VALVE, OPEN, WITH CARDIOPULMONARY BYPASS; WITH PROSTHETICVALVE OTHER THAN HOMOGRAFT OR STENTLESS VALVE_x000a_MEDIASTINOTOMY WITH EXPLORATION, DRAINAGE, REMOVAL OF FOREIGN BODY, ORBIOPSY; TRANSTHORACIC APPROACH, INCLUDING EITHER TRANSTHORACIC OR MEDIANSTERNOTOMY"/>
    <s v="PORT ACCESS BIOPROSTHETIC AORTIC VALVE REPLACEMENT; POSSIBLE STERNOTOMY; PERC RETRO CARDIO CATH - N/A"/>
    <s v="Mon"/>
    <m/>
    <m/>
    <m/>
    <s v="HEMP, JAMES ROBERT_x000a_ISLAMI MANUCHEHRY, MOHAMMAD HOSEIN"/>
    <s v="Panel 1: Dr. Hemp, James Robert, MD / Islami Manuchehry, Mohammad Hosein, MD"/>
    <s v="James Robert Hemp, MD"/>
    <m/>
    <s v="Hemp"/>
  </r>
  <r>
    <d v="2026-08-25T00:00:00"/>
    <s v="6549099"/>
    <s v="Mitchell, Dwayne Edward"/>
    <s v="Outpatient"/>
    <x v="1"/>
    <n v="3901432430"/>
    <s v="811473166"/>
    <d v="1969-01-31T00:00:00"/>
    <s v="Patel, Lance Kirit, MD"/>
    <s v="Regional"/>
    <s v="2"/>
    <d v="1899-12-30T07:30:00"/>
    <d v="1899-12-30T10:01:00"/>
    <n v="151"/>
    <d v="1899-12-30T07:30:00"/>
    <d v="1899-12-30T09:30:00"/>
    <n v="120"/>
    <d v="1899-12-30T07:30:00"/>
    <d v="1899-12-30T09:51:00"/>
    <n v="141"/>
    <d v="1899-12-30T08:04:00"/>
    <d v="1899-12-30T09:46:00"/>
    <d v="1899-12-30T09:51:00"/>
    <n v="141"/>
    <n v="102"/>
    <d v="1899-12-30T09:56:25"/>
    <d v="1899-12-30T10:33:15"/>
    <n v="37"/>
    <d v="1899-12-30T10:38:00"/>
    <d v="1899-12-30T12:00:00"/>
    <n v="82"/>
    <s v="SHME OR 01"/>
    <s v="Orthopedics"/>
    <s v="No"/>
    <s v="Kansara, Devanshu Velji, Md"/>
    <s v="ARTHROPLASTY, KNEE, CONDYLE AND PLATEAU; MEDIAL AND LATERAL COMPARTMENTSWITH OR WITHOUT PATELLA RESURFACING (TOTAL KNEE ARTHROPLASTY)"/>
    <s v="RIGHT TOTAL KNEE ARTHROPLASTY - Right"/>
    <s v="Tue"/>
    <m/>
    <m/>
    <m/>
    <s v="KANSARA, DEVANSHU VELJI"/>
    <m/>
    <s v="Devanshu Velji Kansara, MD"/>
    <m/>
    <s v="Kansara"/>
  </r>
  <r>
    <d v="2026-08-25T00:00:00"/>
    <s v="6550043"/>
    <s v="Samaniego, RENE G"/>
    <s v="Outpatient"/>
    <x v="1"/>
    <n v="3901432541"/>
    <s v="811473927"/>
    <d v="1957-07-26T00:00:00"/>
    <s v="Feduska, Collin Steven, MD"/>
    <s v="Regional"/>
    <s v="2"/>
    <d v="1899-12-30T07:32:00"/>
    <d v="1899-12-30T12:39:00"/>
    <n v="307"/>
    <d v="1899-12-30T07:30:00"/>
    <d v="1899-12-30T11:00:00"/>
    <n v="210"/>
    <d v="1899-12-30T07:32:00"/>
    <d v="1899-12-30T12:29:00"/>
    <n v="297"/>
    <d v="1899-12-30T08:05:00"/>
    <d v="1899-12-30T12:26:00"/>
    <d v="1899-12-30T12:29:00"/>
    <n v="297"/>
    <n v="261"/>
    <d v="1899-12-30T12:30:43"/>
    <d v="1899-12-30T13:11:42"/>
    <n v="41"/>
    <d v="1899-12-30T13:18:00"/>
    <d v="1899-12-30T14:06:00"/>
    <n v="48"/>
    <s v="SHME OR 04"/>
    <s v="Podiatry"/>
    <s v="No"/>
    <s v="Lee, Ryan Yen Choy, Dpm"/>
    <s v="ARTHRODESIS, MIDTARSAL OR TARSOMETATARSAL, MULTIPLE OR TRANSVERSE;_x000a_GASTROCNEMIUS RECESSION (EG, STRAYER PROCEDURE)"/>
    <s v="ARTHRODESIS, METATARSAL CUNEIFORM JOINTS, NAVICULAR CUNEIFORM JOINTS 1 THROUGH 3, GASTROC RECESSION, RIGHT FOOT - Right"/>
    <s v="Tue"/>
    <m/>
    <m/>
    <m/>
    <s v="LEE, RYAN YEN CHOY"/>
    <m/>
    <s v="Ryan Yen Choy Lee, DPM"/>
    <m/>
    <s v="Lee"/>
  </r>
  <r>
    <d v="2026-08-25T00:00:00"/>
    <s v="6345158"/>
    <s v="Luna, April Renae"/>
    <s v="Outpatient"/>
    <x v="1"/>
    <n v="3901402117"/>
    <s v="811273740"/>
    <d v="1994-04-28T00:00:00"/>
    <s v="Vasant, Kris Kishore, MD"/>
    <s v="Regional"/>
    <s v="2"/>
    <d v="1899-12-30T07:38:00"/>
    <d v="1899-12-30T10:04:00"/>
    <n v="146"/>
    <d v="1899-12-30T07:30:00"/>
    <d v="1899-12-30T10:30:00"/>
    <n v="180"/>
    <d v="1899-12-30T07:38:00"/>
    <d v="1899-12-30T09:59:00"/>
    <n v="141"/>
    <d v="1899-12-30T07:53:00"/>
    <d v="1899-12-30T09:54:00"/>
    <d v="1899-12-30T09:59:00"/>
    <n v="141"/>
    <n v="121"/>
    <d v="1899-12-30T10:00:00"/>
    <d v="1899-12-30T11:47:00"/>
    <n v="107"/>
    <d v="1899-12-30T11:48:00"/>
    <d v="1899-12-30T12:39:00"/>
    <n v="51"/>
    <s v="SHME OR 10"/>
    <s v="Gynecology"/>
    <s v="No"/>
    <s v="Sandoval, Rebeca, Md"/>
    <s v="LAPAROSCOPY, SURGICAL, WITH TOTAL HYSTERECTOMY, FOR UTERUS GREATER THAN250 G; WITH REMOVAL OF TUBE(S) AND/OR OVARY(S)_x000a_ENTEROLYSIS (FREEING OF INTESTINAL ADHESION) (SEPARATE PROCEDURE)_x000a_CYSTOURETHROSCOPY, WITH URETERAL CATHETERIZATION, WITH OR WITHOUTIRRIGATION, INSTILLATION, OR URETEROPYELOGRAPHY, EXCLUSIVE OF RADIOLOGICSERVICE;"/>
    <s v="ROBOTIC ASSISTED TOTAL LAPAROSCOPIC HYSTERECTOMY WITH BILATERAL SALPINGECTOMY, LEFT OVARIAN CYSTECTOMY, RIGHT OOPHORECTOMY - Bilateral"/>
    <s v="Tue"/>
    <m/>
    <m/>
    <m/>
    <s v="DICKS, BRIAN MICHAEL_x000a_RIVERA, LOUIS_x000a_SANDOVAL, REBECA"/>
    <s v="Panel 1: Dr. Sandoval, Rebeca, MD_x000a_Panel 2: Dr. Rivera, Louis, MD_x000a_Panel 3: Dr. Dicks, Brian Michael, MD"/>
    <s v="Rebeca Sandoval, MD_x000a_Louis Rivera, MD_x000a_Brian Michael Dicks, MD"/>
    <m/>
    <s v="Sandoval, Rivera, Dicks"/>
  </r>
  <r>
    <d v="2026-08-25T00:00:00"/>
    <s v="6560430"/>
    <s v="Martin, Linda"/>
    <s v="Inpatient"/>
    <x v="0"/>
    <n v="3901434254"/>
    <s v="811474966"/>
    <d v="1945-05-01T00:00:00"/>
    <s v="Patel, Lance Kirit, MD"/>
    <s v="Regional"/>
    <s v="2"/>
    <d v="1899-12-30T10:32:00"/>
    <d v="1899-12-30T13:31:00"/>
    <n v="179"/>
    <d v="1899-12-30T10:00:00"/>
    <d v="1899-12-30T12:00:00"/>
    <n v="120"/>
    <d v="1899-12-30T10:32:00"/>
    <d v="1899-12-30T13:21:00"/>
    <n v="169"/>
    <d v="1899-12-30T11:11:00"/>
    <d v="1899-12-30T13:09:00"/>
    <d v="1899-12-30T13:21:00"/>
    <n v="169"/>
    <n v="118"/>
    <d v="1899-12-30T13:21:49"/>
    <d v="1899-12-30T14:21:31"/>
    <n v="60"/>
    <m/>
    <m/>
    <m/>
    <s v="SHME OR 01"/>
    <s v="Orthopedics"/>
    <s v="No"/>
    <s v="Kansara, Devanshu Velji, Md"/>
    <s v="ARTHROPLASTY, KNEE, CONDYLE AND PLATEAU; MEDIAL AND LATERAL COMPARTMENTSWITH OR WITHOUT PATELLA RESURFACING (TOTAL KNEE ARTHROPLASTY)"/>
    <s v="LEFT TOTAL KNEE ARTHROPLASTY - Left"/>
    <s v="Tue"/>
    <m/>
    <m/>
    <m/>
    <s v="KANSARA, DEVANSHU VELJI"/>
    <m/>
    <s v="Devanshu Velji Kansara, MD"/>
    <m/>
    <s v="Kansara"/>
  </r>
  <r>
    <d v="2026-08-25T00:00:00"/>
    <s v="6560520"/>
    <s v="Roder, Peter S"/>
    <s v="Outpatient"/>
    <x v="1"/>
    <n v="3901434266"/>
    <s v="810110528"/>
    <d v="1963-06-08T00:00:00"/>
    <s v="Patel, Lance Kirit, MD"/>
    <s v="Regional"/>
    <s v="2"/>
    <d v="1899-12-30T14:06:00"/>
    <d v="1899-12-30T16:20:00"/>
    <n v="134"/>
    <d v="1899-12-30T12:30:00"/>
    <d v="1899-12-30T14:30:00"/>
    <n v="120"/>
    <d v="1899-12-30T14:06:00"/>
    <d v="1899-12-30T16:10:00"/>
    <n v="124"/>
    <d v="1899-12-30T14:37:00"/>
    <d v="1899-12-30T16:07:00"/>
    <d v="1899-12-30T16:10:00"/>
    <n v="124"/>
    <n v="90"/>
    <d v="1899-12-30T16:11:29"/>
    <d v="1899-12-30T17:24:25"/>
    <n v="73"/>
    <d v="1899-12-30T17:26:00"/>
    <d v="1899-12-30T18:07:00"/>
    <n v="41"/>
    <s v="SHME OR 01"/>
    <s v="Orthopedics"/>
    <s v="No"/>
    <s v="Kansara, Devanshu Velji, Md"/>
    <s v="ARTHROPLASTY, KNEE, CONDYLE AND PLATEAU; MEDIAL AND LATERAL COMPARTMENTSWITH OR WITHOUT PATELLA RESURFACING (TOTAL KNEE ARTHROPLASTY)"/>
    <s v="RIGHT TOTAL KNEE ARTHROPLASTY - Right"/>
    <s v="Tue"/>
    <m/>
    <m/>
    <m/>
    <s v="KANSARA, DEVANSHU VELJI"/>
    <m/>
    <s v="Devanshu Velji Kansara, MD"/>
    <m/>
    <s v="Kansara"/>
  </r>
  <r>
    <d v="2026-08-25T00:00:00"/>
    <s v="6565726"/>
    <s v="Iniguez, Monica Erendira"/>
    <s v="Outpatient"/>
    <x v="1"/>
    <n v="3901435224"/>
    <s v="400439588"/>
    <d v="1975-12-08T00:00:00"/>
    <s v="Vasant, Kris Kishore, MD"/>
    <s v="General"/>
    <s v="2"/>
    <d v="1899-12-30T10:42:00"/>
    <d v="1899-12-30T14:08:00"/>
    <n v="206"/>
    <d v="1899-12-30T11:00:00"/>
    <d v="1899-12-30T13:15:00"/>
    <n v="135"/>
    <d v="1899-12-30T10:42:00"/>
    <d v="1899-12-30T13:58:00"/>
    <n v="196"/>
    <d v="1899-12-30T11:08:00"/>
    <d v="1899-12-30T13:52:00"/>
    <d v="1899-12-30T13:58:00"/>
    <n v="196"/>
    <n v="164"/>
    <d v="1899-12-30T14:03:28"/>
    <d v="1899-12-30T16:16:00"/>
    <n v="133"/>
    <d v="1899-12-30T16:17:00"/>
    <d v="1899-12-30T17:41:00"/>
    <n v="84"/>
    <s v="SHME OR 10"/>
    <s v="Gynecology"/>
    <s v="No"/>
    <s v="Sandoval, Rebeca, Md"/>
    <s v="LAPAROSCOPY, SURGICAL, WITH TOTAL HYSTERECTOMY, FOR UTERUS 250 G ORLESS; WITH REMOVAL OF TUBE(S) AND/OR OVARY(S)"/>
    <s v="ROBOTIC ASSISTED TOTAL LAPAROSCOPIC HYSTERECTOMY WITH BILATERAL SALPINGO-OOPHORECTOMY. - Bilateral"/>
    <s v="Tue"/>
    <m/>
    <m/>
    <m/>
    <s v="SANDOVAL, REBECA"/>
    <m/>
    <s v="Rebeca Sandoval, MD"/>
    <m/>
    <s v="Sandoval"/>
  </r>
  <r>
    <d v="2026-08-25T00:00:00"/>
    <s v="6605180"/>
    <s v="Nguyen, Vinh V"/>
    <s v="Outpatient"/>
    <x v="1"/>
    <n v="3901443108"/>
    <s v="700183321"/>
    <d v="1950-01-02T00:00:00"/>
    <s v="Luu, Tiffany, MD"/>
    <s v="General"/>
    <s v="2"/>
    <d v="1899-12-30T09:26:00"/>
    <d v="1899-12-30T10:09:00"/>
    <n v="43"/>
    <d v="1899-12-30T10:15:00"/>
    <d v="1899-12-30T11:00:00"/>
    <n v="45"/>
    <d v="1899-12-30T09:26:00"/>
    <d v="1899-12-30T10:05:00"/>
    <n v="39"/>
    <d v="1899-12-30T09:37:00"/>
    <d v="1899-12-30T09:59:00"/>
    <d v="1899-12-30T10:05:00"/>
    <n v="39"/>
    <n v="22"/>
    <d v="1899-12-30T10:07:32"/>
    <d v="1899-12-30T11:17:00"/>
    <n v="70"/>
    <d v="1899-12-30T11:19:00"/>
    <d v="1899-12-30T12:10:00"/>
    <n v="51"/>
    <s v="SHME OR 16"/>
    <s v="Urology"/>
    <s v="No"/>
    <s v="Dicks, Brian Michael, Md"/>
    <s v="LITHOTRIPSY, EXTRACORPOREAL SHOCK WAVE_x000a_CYSTOURETHROSCOPY, WITH INSERTION OF INDWELLING URETERAL STENT (EG,GIBBONS OR DOUBLE-J TYPE)"/>
    <s v="LEFT EXTRACORPOREAL SHOCKWAVE LITHOTRIPSY - Left"/>
    <s v="Tue"/>
    <m/>
    <m/>
    <m/>
    <s v="DICKS, BRIAN MICHAEL"/>
    <m/>
    <s v="Brian Michael Dicks, MD"/>
    <m/>
    <s v="Dicks"/>
  </r>
  <r>
    <d v="2026-08-25T00:00:00"/>
    <s v="6391212"/>
    <s v="Spruce, Rosemary A"/>
    <s v="Inpatient"/>
    <x v="0"/>
    <n v="3901402641"/>
    <s v="606826229"/>
    <d v="1946-01-14T00:00:00"/>
    <s v="Sherer, Edward Harding, MD"/>
    <s v="Regional"/>
    <s v="4"/>
    <d v="1899-12-30T06:15:00"/>
    <d v="1899-12-30T12:43:00"/>
    <n v="388"/>
    <d v="1899-12-30T06:15:00"/>
    <d v="1899-12-30T12:15:00"/>
    <n v="360"/>
    <d v="1899-12-30T06:15:00"/>
    <d v="1899-12-30T12:29:00"/>
    <n v="374"/>
    <d v="1899-12-30T08:27:00"/>
    <d v="1899-12-30T11:47:00"/>
    <d v="1899-12-30T12:29:00"/>
    <n v="374"/>
    <n v="200"/>
    <m/>
    <m/>
    <m/>
    <m/>
    <m/>
    <m/>
    <s v="SHME OR 08"/>
    <s v="Cardiothoracic"/>
    <s v="No"/>
    <s v="Hemp, James Robert, Md"/>
    <s v="VALVULOPLASTY, MITRAL VALVE, WITH CARDIOPULMONARY BYPASS; RADICALRECONSTRUCTION, WITH OR WITHOUT RING_x000a_REPLACEMENT, MITRAL VALVE, WITH CARDIOPULMONARY BYPASS_x000a_VALVULOPLASTY, TRICUSPID VALVE; WITH RING INSERTION_x000a_REPLACEMENT, TRICUSPID VALVE, WITH CARDIOPULMONARY BYPASS_x000a_MEDIASTINOTOMY WITH EXPLORATION, DRAINAGE, REMOVAL OF FOREIGN BODY, ORBIOPSY; TRANSTHORACIC APPROACH, INCLUDING EITHER TRANSTHORACIC OR MEDIANSTERNOTOMY"/>
    <s v="ROBOTIC MITRAL VALVE REPAIR; POSSIBLE BIOPROSTHETIC VALVE REPLACEMENT; POSSIBLE TRICUSPID VALVE REPAIR; POSSIBLE BIOPROSTHETIC VALVE REPLACEMENT; POSSIBLE STERNOTOMY - N/A"/>
    <s v="Tue"/>
    <m/>
    <m/>
    <m/>
    <s v="ISLAMI MANUCHEHRY, MOHAMMAD HOSEIN_x000a_HEMP, JAMES ROBERT"/>
    <s v="Panel 1: Dr. Hemp, James Robert, MD / Islami Manuchehry, Mohammad Hosein, MD"/>
    <s v="James Robert Hemp, MD"/>
    <m/>
    <s v="Hemp"/>
  </r>
  <r>
    <d v="2026-08-25T00:00:00"/>
    <s v="6621418"/>
    <s v="Barzi, Erika A"/>
    <s v="Outpatient"/>
    <x v="1"/>
    <n v="3901446613"/>
    <s v="200528556"/>
    <d v="1974-03-06T00:00:00"/>
    <s v="Vasant, Kris Kishore, MD"/>
    <s v="General"/>
    <s v="2"/>
    <d v="1899-12-30T14:38:00"/>
    <d v="1899-12-30T17:21:00"/>
    <n v="163"/>
    <d v="1899-12-30T13:45:00"/>
    <d v="1899-12-30T16:00:00"/>
    <n v="135"/>
    <d v="1899-12-30T14:38:00"/>
    <d v="1899-12-30T17:12:00"/>
    <n v="154"/>
    <d v="1899-12-30T15:05:00"/>
    <d v="1899-12-30T17:05:00"/>
    <d v="1899-12-30T17:12:00"/>
    <n v="154"/>
    <n v="120"/>
    <d v="1899-12-30T17:15:14"/>
    <d v="1899-12-30T18:16:00"/>
    <n v="61"/>
    <d v="1899-12-30T18:17:00"/>
    <d v="1899-12-30T18:31:00"/>
    <n v="14"/>
    <s v="SHME OR 10"/>
    <s v="Gynecology"/>
    <s v="No"/>
    <s v="Sandoval, Rebeca, Md"/>
    <s v="LAPAROSCOPY, SURGICAL, WITH TOTAL HYSTERECTOMY, FOR UTERUS 250 G ORLESS; WITH REMOVAL OF TUBE(S) AND/OR OVARY(S)"/>
    <s v="ROBOTIC ASSISTED TOTAL LAPAROSCOPIC HYSTERECTOMY WITH BILATERAL SALPINGECTOMY - Bilateral"/>
    <s v="Tue"/>
    <m/>
    <m/>
    <m/>
    <s v="SANDOVAL, REBECA"/>
    <m/>
    <s v="Rebeca Sandoval, MD"/>
    <m/>
    <s v="Sandoval"/>
  </r>
  <r>
    <d v="2026-08-25T00:00:00"/>
    <s v="6629417"/>
    <s v="Algharbi, Awf"/>
    <s v="Outpatient"/>
    <x v="1"/>
    <n v="3901447921"/>
    <s v="811484729"/>
    <d v="1961-05-05T00:00:00"/>
    <s v="Luu, Tiffany, MD"/>
    <s v="General"/>
    <s v="2"/>
    <d v="1899-12-30T07:54:00"/>
    <d v="1899-12-30T08:32:00"/>
    <n v="38"/>
    <d v="1899-12-30T07:30:00"/>
    <d v="1899-12-30T08:30:00"/>
    <n v="60"/>
    <d v="1899-12-30T07:54:00"/>
    <d v="1899-12-30T08:28:00"/>
    <n v="34"/>
    <d v="1899-12-30T08:10:00"/>
    <d v="1899-12-30T08:22:00"/>
    <d v="1899-12-30T08:28:00"/>
    <n v="34"/>
    <n v="12"/>
    <d v="1899-12-30T08:27:52"/>
    <d v="1899-12-30T09:16:00"/>
    <n v="49"/>
    <d v="1899-12-30T09:17:00"/>
    <d v="1899-12-30T10:00:00"/>
    <n v="43"/>
    <s v="SHME OR 16"/>
    <s v="Urology"/>
    <s v="No"/>
    <s v="Dicks, Brian Michael, Md"/>
    <s v="LITHOTRIPSY, EXTRACORPOREAL SHOCK WAVE_x000a_CYSTOURETHROSCOPY, WITH INSERTION OF INDWELLING URETERAL STENT (EG,GIBBONS OR DOUBLE-J TYPE)_x000a_UROGRAPHY, RETROGRADE, WITH OR WITHOUT KUB"/>
    <s v="RIGHT EXTRACORPOREAL SHOCK WAVE LITHOTRIPSY, POSSIBLE CYSTOSCOPY, RETORGRADE PYELOGRAM AND STENT PLACEMENT - Right"/>
    <s v="Tue"/>
    <m/>
    <m/>
    <m/>
    <s v="DICKS, BRIAN MICHAEL"/>
    <m/>
    <s v="Brian Michael Dicks, MD"/>
    <m/>
    <s v="Dicks"/>
  </r>
  <r>
    <d v="2026-08-25T00:00:00"/>
    <s v="6634141"/>
    <s v="Magan, Tessie B"/>
    <s v="Outpatient"/>
    <x v="1"/>
    <n v="3901448754"/>
    <s v="305240685"/>
    <d v="1958-12-20T00:00:00"/>
    <s v="Feduska, Collin Steven, MD"/>
    <s v="General"/>
    <s v="3"/>
    <d v="1899-12-30T14:08:00"/>
    <d v="1899-12-30T15:19:00"/>
    <n v="71"/>
    <d v="1899-12-30T13:45:00"/>
    <d v="1899-12-30T15:15:00"/>
    <n v="90"/>
    <d v="1899-12-30T14:08:00"/>
    <d v="1899-12-30T15:09:00"/>
    <n v="61"/>
    <d v="1899-12-30T14:27:00"/>
    <d v="1899-12-30T15:03:00"/>
    <d v="1899-12-30T15:09:00"/>
    <n v="61"/>
    <n v="36"/>
    <d v="1899-12-30T15:11:04"/>
    <d v="1899-12-30T15:54:37"/>
    <n v="43"/>
    <d v="1899-12-30T15:54:39"/>
    <d v="1899-12-30T16:15:00"/>
    <n v="21"/>
    <s v="SHME OR 17"/>
    <s v="General"/>
    <s v="Yes"/>
    <s v="Dieffenbach, Bryan Vinson, Md"/>
    <s v="CREATION OF ARTERIOVENOUS FISTULA BY OTHER THAN DIRECT ARTERIOVENOUSANASTOMOSIS (SEPARATE PROCEDURE); AUTOGENOUS GRAFT"/>
    <s v="LEFT UPPER ARM ARTERIOVENOUS FISTULA VERSUS ARTERIOVENOUS GRAFT - Left"/>
    <s v="Tue"/>
    <m/>
    <m/>
    <m/>
    <s v="DIEFFENBACH, BRYAN VINSON"/>
    <m/>
    <s v="Bryan Vinson Dieffenbach, MD"/>
    <m/>
    <s v="Dieffenbach"/>
  </r>
  <r>
    <d v="2026-08-25T00:00:00"/>
    <s v="6453989"/>
    <s v="Castillo, Maddy E"/>
    <s v="Inpatient"/>
    <x v="0"/>
    <n v="3901426691"/>
    <s v="810981564"/>
    <d v="1974-01-18T00:00:00"/>
    <s v="Baja, Diosdado An Jr., MD"/>
    <s v="General"/>
    <s v="2"/>
    <d v="1899-12-30T07:34:00"/>
    <d v="1899-12-30T10:31:00"/>
    <n v="177"/>
    <d v="1899-12-30T07:30:00"/>
    <d v="1899-12-30T11:00:00"/>
    <n v="210"/>
    <d v="1899-12-30T07:34:00"/>
    <d v="1899-12-30T10:27:00"/>
    <n v="173"/>
    <d v="1899-12-30T08:01:00"/>
    <d v="1899-12-30T10:23:00"/>
    <d v="1899-12-30T10:27:00"/>
    <n v="173"/>
    <n v="142"/>
    <d v="1899-12-30T10:30:16"/>
    <d v="1899-12-30T11:11:00"/>
    <n v="41"/>
    <m/>
    <m/>
    <m/>
    <s v="SHME OR 14"/>
    <s v="General"/>
    <s v="No"/>
    <s v="Lim, Lian, Md"/>
    <s v="LAPAROSCOPY, SURGICAL, GASTRIC RESTRICTIVE PROCEDURE; WITH GASTRICBYPASS AND ROUX-EN-Y GASTROENTEROSTOMY (ROUX LIMB 150 CM OR LESS)"/>
    <s v="ROBOTIC ROUX-EN-Y GASTRIC BYPASS, POSSIBLE OPEN - N/A"/>
    <s v="Tue"/>
    <m/>
    <m/>
    <m/>
    <s v="LIM, LIAN"/>
    <m/>
    <s v="Lian Lim, MD"/>
    <m/>
    <s v="Lim"/>
  </r>
  <r>
    <d v="2026-08-25T00:00:00"/>
    <s v="6641776"/>
    <s v="Gonzalez, Carlos"/>
    <s v="Outpatient"/>
    <x v="1"/>
    <n v="3901450326"/>
    <s v="100794848"/>
    <d v="1968-10-21T00:00:00"/>
    <s v="Fan, Ting-Wei, MD"/>
    <s v="General"/>
    <s v="2"/>
    <d v="1899-12-30T07:52:00"/>
    <d v="1899-12-30T10:11:00"/>
    <n v="139"/>
    <d v="1899-12-30T07:30:00"/>
    <d v="1899-12-30T09:30:00"/>
    <n v="120"/>
    <d v="1899-12-30T07:52:00"/>
    <d v="1899-12-30T10:02:00"/>
    <n v="130"/>
    <d v="1899-12-30T08:05:00"/>
    <d v="1899-12-30T09:59:00"/>
    <d v="1899-12-30T10:02:00"/>
    <n v="130"/>
    <n v="114"/>
    <d v="1899-12-30T10:05:23"/>
    <d v="1899-12-30T11:45:00"/>
    <n v="100"/>
    <d v="1899-12-30T11:49:37"/>
    <d v="1899-12-30T12:09:35"/>
    <n v="20"/>
    <s v="SHME OR 02"/>
    <s v="ENT"/>
    <s v="No"/>
    <s v="Coulter, Michael Jack, Md"/>
    <s v="RHINOPLASTY, PRIMARY; INCLUDING MAJOR SEPTAL REPAIR_x000a_SUBMUCOUS RESECTION INFERIOR TURBINATE, PARTIAL OR COMPLETE, ANY METHOD_x000a_NASAL ENDOSCOPY, DIAGNOSTIC, UNILATERAL OR BILATERAL (SEPARATEPROCEDURE)_x000a_REPAIR OF NASAL VESTIBULAR STENOSIS (EG, SPREADER GRAFTING, LATERALNASAL WALL RECONSTRUCTION)"/>
    <s v="RHINOSEPTOPLASTY, REPAIR OF NASAL VESTIBULAR STENOSIS, BILATERAL INFERIOR TURBINATE REDUCTION, NASAL ENDOSCOPY - N/A"/>
    <s v="Tue"/>
    <m/>
    <m/>
    <m/>
    <s v="COULTER, MICHAEL JACK"/>
    <m/>
    <s v="Michael Jack Coulter, MD"/>
    <m/>
    <s v="Coulter"/>
  </r>
  <r>
    <d v="2026-08-25T00:00:00"/>
    <s v="6650420"/>
    <s v="Galgo, Jeriel A"/>
    <s v="Outpatient"/>
    <x v="1"/>
    <n v="3901451908"/>
    <s v="811486542"/>
    <d v="1997-05-28T00:00:00"/>
    <s v="Fan, Ting-Wei, MD"/>
    <s v="General"/>
    <s v="2"/>
    <d v="1899-12-30T10:29:00"/>
    <d v="1899-12-30T12:07:00"/>
    <n v="98"/>
    <d v="1899-12-30T10:00:00"/>
    <d v="1899-12-30T11:30:00"/>
    <n v="90"/>
    <d v="1899-12-30T10:29:00"/>
    <d v="1899-12-30T11:57:00"/>
    <n v="88"/>
    <d v="1899-12-30T10:41:00"/>
    <d v="1899-12-30T11:45:00"/>
    <d v="1899-12-30T11:57:00"/>
    <n v="88"/>
    <n v="64"/>
    <d v="1899-12-30T12:01:05"/>
    <d v="1899-12-30T12:45:00"/>
    <n v="44"/>
    <d v="1899-12-30T12:45:00"/>
    <d v="1899-12-30T13:09:28"/>
    <n v="24"/>
    <s v="SHME OR 02"/>
    <s v="ENT"/>
    <s v="No"/>
    <s v="Coulter, Michael Jack, Md"/>
    <s v="SEPTOPLASTY OR SUBMUCOUS RESECTION, WITH OR WITHOUT CARTILAGE SCORING,CONTOURING OR REPLACEMENT WITH GRAFT_x000a_SUBMUCOUS RESECTION INFERIOR TURBINATE, PARTIAL OR COMPLETE, ANY METHOD_x000a_ABLATION, SOFT TISSUE OF INFERIOR TURBINATES, UNILATERAL OR BILATERAL,ANY METHOD (EG, ELECTROCAUTERY, RADIOFREQUENCY ABLATION, OR TISSUEVOLUME REDUCTION); INTRAMURAL (IE, SUBMUCOSAL)_x000a_NASAL/SINUS ENDOSCOPY, SURGICAL; WITH CONCHA BULLOSA RESECTION"/>
    <s v="SEPTOPLASTY, BILATERAL INFERIOR TURBINATE REDUCTION AND COBLATION, CONCHA BULLOSA RESECTION - N/A"/>
    <s v="Tue"/>
    <m/>
    <m/>
    <m/>
    <s v="COULTER, MICHAEL JACK"/>
    <m/>
    <s v="Michael Jack Coulter, MD"/>
    <m/>
    <s v="Coulter"/>
  </r>
  <r>
    <d v="2026-08-25T00:00:00"/>
    <s v="6654039"/>
    <s v="Rodriguez Ramos, Ana J"/>
    <s v="Outpatient"/>
    <x v="1"/>
    <n v="3901452574"/>
    <s v="810484506"/>
    <d v="1963-01-25T00:00:00"/>
    <s v="Luu, Tiffany, MD"/>
    <s v="General"/>
    <s v="2"/>
    <d v="1899-12-30T10:36:00"/>
    <d v="1899-12-30T11:19:00"/>
    <n v="43"/>
    <d v="1899-12-30T11:30:00"/>
    <d v="1899-12-30T12:30:00"/>
    <n v="60"/>
    <d v="1899-12-30T10:36:00"/>
    <d v="1899-12-30T11:16:00"/>
    <n v="40"/>
    <d v="1899-12-30T10:46:00"/>
    <d v="1899-12-30T11:10:00"/>
    <d v="1899-12-30T11:16:00"/>
    <n v="40"/>
    <n v="24"/>
    <d v="1899-12-30T11:18:02"/>
    <d v="1899-12-30T11:53:54"/>
    <n v="35"/>
    <d v="1899-12-30T11:53:56"/>
    <d v="1899-12-30T12:15:09"/>
    <n v="22"/>
    <s v="SHME OR 16"/>
    <s v="Urology"/>
    <s v="Yes"/>
    <s v="Dicks, Brian Michael, Md"/>
    <s v="LITHOTRIPSY, EXTRACORPOREAL SHOCK WAVE_x000a_CYSTOURETHROSCOPY, WITH INSERTION OF INDWELLING URETERAL STENT (EG,GIBBONS OR DOUBLE-J TYPE)_x000a_UROGRAPHY, RETROGRADE, WITH OR WITHOUT KUB"/>
    <s v="LEFT EXTRACORPOREAL SHOCKWAVE LITHOTRIPSY, CYSTOSCOPY LEFT URETERAL STENT REMOVAL - Left"/>
    <s v="Tue"/>
    <m/>
    <s v="ED/IP/IC"/>
    <m/>
    <s v="DICKS, BRIAN MICHAEL"/>
    <m/>
    <s v="Brian Michael Dicks, MD"/>
    <m/>
    <s v="Dicks"/>
  </r>
  <r>
    <d v="2026-08-25T00:00:00"/>
    <s v="6654455"/>
    <s v="Avelar, Jenna J"/>
    <s v="Outpatient"/>
    <x v="1"/>
    <n v="3901452658"/>
    <s v="811007135"/>
    <d v="1996-12-03T00:00:00"/>
    <s v="Luu, Tiffany, MD"/>
    <s v="General"/>
    <s v="2"/>
    <d v="1899-12-30T08:45:00"/>
    <d v="1899-12-30T09:19:00"/>
    <n v="34"/>
    <d v="1899-12-30T09:00:00"/>
    <d v="1899-12-30T09:45:00"/>
    <n v="45"/>
    <d v="1899-12-30T08:45:00"/>
    <d v="1899-12-30T09:15:00"/>
    <n v="30"/>
    <d v="1899-12-30T08:57:00"/>
    <d v="1899-12-30T09:09:00"/>
    <d v="1899-12-30T09:15:00"/>
    <n v="30"/>
    <n v="12"/>
    <d v="1899-12-30T09:17:00"/>
    <d v="1899-12-30T09:45:00"/>
    <n v="28"/>
    <d v="1899-12-30T09:46:00"/>
    <d v="1899-12-30T10:30:00"/>
    <n v="44"/>
    <s v="SHME OR 16"/>
    <s v="Urology"/>
    <s v="No"/>
    <s v="Dicks, Brian Michael, Md"/>
    <s v="LITHOTRIPSY, EXTRACORPOREAL SHOCK WAVE"/>
    <s v="RIGHT EXTRACORPOREAL SHOCKWAVE LITHOTRIPSY - Right"/>
    <s v="Tue"/>
    <m/>
    <m/>
    <m/>
    <s v="DICKS, BRIAN MICHAEL"/>
    <m/>
    <s v="Brian Michael Dicks, MD"/>
    <m/>
    <s v="Dicks"/>
  </r>
  <r>
    <d v="2026-08-25T00:00:00"/>
    <s v="6658063"/>
    <s v="Creed, James L"/>
    <s v="Outpatient"/>
    <x v="1"/>
    <n v="3901453207"/>
    <s v="602471205"/>
    <d v="1960-11-26T00:00:00"/>
    <s v="Luu, Tiffany, MD"/>
    <s v="General"/>
    <s v="2"/>
    <d v="1899-12-30T11:59:00"/>
    <d v="1899-12-30T12:41:00"/>
    <n v="42"/>
    <d v="1899-12-30T13:00:00"/>
    <d v="1899-12-30T13:45:00"/>
    <n v="45"/>
    <d v="1899-12-30T11:59:00"/>
    <d v="1899-12-30T12:38:00"/>
    <n v="39"/>
    <d v="1899-12-30T12:12:00"/>
    <d v="1899-12-30T12:33:00"/>
    <d v="1899-12-30T12:38:00"/>
    <n v="39"/>
    <n v="21"/>
    <d v="1899-12-30T12:39:07"/>
    <d v="1899-12-30T13:16:00"/>
    <n v="37"/>
    <d v="1899-12-30T13:17:00"/>
    <d v="1899-12-30T14:11:00"/>
    <n v="54"/>
    <s v="SHME OR 16"/>
    <s v="Urology"/>
    <s v="No"/>
    <s v="Dicks, Brian Michael, Md"/>
    <s v="LITHOTRIPSY, EXTRACORPOREAL SHOCK WAVE"/>
    <s v="LEFT EXTRACORPOREAL SHOCKWAVE LITHOTRIPSY - Left"/>
    <s v="Tue"/>
    <m/>
    <m/>
    <m/>
    <s v="DICKS, BRIAN MICHAEL"/>
    <m/>
    <s v="Brian Michael Dicks, MD"/>
    <m/>
    <s v="Dicks"/>
  </r>
  <r>
    <d v="2026-08-25T00:00:00"/>
    <s v="6658180"/>
    <s v="Aguiar, Cass"/>
    <s v="Outpatient"/>
    <x v="1"/>
    <n v="3901453220"/>
    <s v="810337126"/>
    <d v="1991-09-16T00:00:00"/>
    <s v="Luu, Tiffany, MD"/>
    <s v="General"/>
    <s v="2"/>
    <d v="1899-12-30T12:57:00"/>
    <d v="1899-12-30T13:57:00"/>
    <n v="60"/>
    <d v="1899-12-30T14:15:00"/>
    <d v="1899-12-30T15:15:00"/>
    <n v="60"/>
    <d v="1899-12-30T12:57:00"/>
    <d v="1899-12-30T13:54:00"/>
    <n v="57"/>
    <d v="1899-12-30T13:28:00"/>
    <d v="1899-12-30T13:49:00"/>
    <d v="1899-12-30T13:54:00"/>
    <n v="57"/>
    <n v="21"/>
    <d v="1899-12-30T13:55:31"/>
    <d v="1899-12-30T14:43:17"/>
    <n v="48"/>
    <d v="1899-12-30T14:43:19"/>
    <d v="1899-12-30T15:00:00"/>
    <n v="17"/>
    <s v="SHME OR 16"/>
    <s v="Urology"/>
    <s v="No"/>
    <s v="Pe, Mark-Rally Lao, Md"/>
    <s v="LITHOTRIPSY, EXTRACORPOREAL SHOCK WAVE_x000a_CYSTOURETHROSCOPY, WITH INSERTION OF INDWELLING URETERAL STENT (EG,GIBBONS OR DOUBLE-J TYPE)"/>
    <s v="LEFT EXTRACORPOREAL SHOCKWAVE LITHOTRIPSY, CYSTOSCOPY POSSIBLE LEFT URETERAL STENT PLACEMENT - Left"/>
    <s v="Tue"/>
    <m/>
    <m/>
    <m/>
    <s v="PE, MARK-RALLY LAO"/>
    <m/>
    <s v="Mark-Rally Lao Pe, MD"/>
    <m/>
    <s v="Pe"/>
  </r>
  <r>
    <d v="2026-08-25T00:00:00"/>
    <s v="6667066"/>
    <s v="Ramirez, Jose L"/>
    <s v="Inpatient"/>
    <x v="0"/>
    <n v="3901455095"/>
    <s v="810245062"/>
    <d v="1958-11-29T00:00:00"/>
    <s v="Ngo, Donald Hanh, MD"/>
    <s v="General"/>
    <s v="3"/>
    <d v="1899-12-30T07:34:00"/>
    <d v="1899-12-30T15:22:00"/>
    <n v="468"/>
    <d v="1899-12-30T07:30:00"/>
    <d v="1899-12-30T15:30:00"/>
    <n v="480"/>
    <d v="1899-12-30T07:34:00"/>
    <d v="1899-12-30T15:14:00"/>
    <n v="460"/>
    <d v="1899-12-30T08:37:00"/>
    <d v="1899-12-30T14:51:00"/>
    <d v="1899-12-30T15:14:00"/>
    <n v="460"/>
    <n v="374"/>
    <m/>
    <m/>
    <m/>
    <m/>
    <m/>
    <m/>
    <s v="SHME OR 05"/>
    <s v="ENT"/>
    <s v="Yes"/>
    <s v="Brumund, Kevin Thomas, Md"/>
    <s v="EXCISION, MALIGNANT LESION INCLUDING MARGINS, SCALP, NECK, HANDS, FEET,GENITALIA; EXCISED DIAMETER OVER 4.0 CM_x000a_RADICAL RESECTION OF TUMOR (EG, SARCOMA), SOFT TISSUE OF FACE ORSCALP; 2 CM OR GREATER_x000a_RADICAL RESECTION OF TUMOR (EG, SARCOMA), SOFT TISSUE OF NECK ORANTERIOR THORAX; 5 CM OR GREATER_x000a_EXCISION EXTERNAL EAR; PARTIAL, SIMPLE REPAIR_x000a_EXCISION OF PAROTID TUMOR OR PAROTID GLAND; LATERAL LOBE, WITHDISSECTION AND PRESERVATION OF FACIAL NERVE_x000a_CERVICAL LYMPHADENECTOMY (MODIFIED RADICAL NECK DISSECTION)_x000a_FREE SKIN FLAP WITH MICROVASCULAR ANASTOMOSIS_x000a_FREE MUSCLE OR MYOCUTANEOUS FLAP WITH MICROVASCULAR ANASTOMOSIS_x000a_SPLIT-THICKNESS AUTOGRAFT, TRUNK, ARMS, LEGS; FIRST 100 SQ CM OR LESS,OR 1% OF BODY AREA OF INFANTS AND CHILDREN (EXCEPT 15050)_x000a_NERVE GRAFT (INCLUDES OBTAINING GRAFT), HEAD OR NECK; MORE THAN 4 CMLENGTH_x000a_MUSCLE, MYOCUTANEOUS, OR FASCIOCUTANEOUS FLAP; HEAD AND NECK WITH NAMED VASCULAR PEDICLE (IE, BUCCINATORS, GENIOGLOSSUS, TEMPORALIS, MASSETER, STERNOCLEIDOMASTOID, LEVATOR SCAPULAE)_x000a_MUSCLE, MYOCUTANEOUS, OR FASCIOCUTANEOUS FLAP; TRUNK_x000a_ADJACENT TISSUE TRANSFER OR REARRANGEMENT, FOREHEAD, CHEEKS, CHIN,MOUTH, NECK, AXILLAE, GENITALIA, HANDS AND/OR FEET; DEFECT 10.1 SQ CM TO30.0 SQ CM_x000a_ADJACENT TISSUE TRANSFER OR REARRANGEMENT, ANY AREA; DEFECT 30.1 SQ CMTO 60.0 SQ CM_x000a_ADJACENT TISSUE TRANSFER OR REARRANGEMENT, ANY AREA; EACH ADDITIONAL30.0 SQ CM, OR PART THEREOF (LIST SEPARATELY IN ADDITION TO CODE FORPRIMARY PROCEDURE)"/>
    <s v="WIDE EXCISION AND RADICAL RESECTION OF RIGHT FACIAL AND NECK TUMOR, RIGHT PARTIAL AURICULECTOMY, RIGHT PAROTIDECTOMY AND RIGHT NECK DISSECTION - Right"/>
    <s v="Tue"/>
    <m/>
    <m/>
    <m/>
    <s v="BRUMUND, KEVIN THOMAS_x000a_GARG, RAVI_x000a_GARG, RAVI_x000a_GARG, RAVI"/>
    <s v="Panel 1: Dr. Brumund, Kevin Thomas, MD_x000a_Panel 2: Dr. Garg, Ravi, MD"/>
    <s v="Kevin Thomas Brumund, MD_x000a_Ravi Garg, MD"/>
    <m/>
    <s v="Brumund, Garg"/>
  </r>
  <r>
    <d v="2026-08-25T00:00:00"/>
    <s v="6667594"/>
    <s v="Keidar, Danit"/>
    <s v="Outpatient"/>
    <x v="1"/>
    <n v="3901455128"/>
    <s v="700977857"/>
    <d v="1967-12-12T00:00:00"/>
    <s v="Narla, Vinod Venkat, MD"/>
    <s v="General"/>
    <s v="2"/>
    <d v="1899-12-30T13:19:00"/>
    <d v="1899-12-30T14:07:00"/>
    <n v="48"/>
    <d v="1899-12-30T13:00:00"/>
    <d v="1899-12-30T14:00:00"/>
    <n v="60"/>
    <d v="1899-12-30T13:19:00"/>
    <d v="1899-12-30T13:59:00"/>
    <n v="40"/>
    <d v="1899-12-30T13:32:00"/>
    <d v="1899-12-30T13:53:00"/>
    <d v="1899-12-30T13:59:00"/>
    <n v="40"/>
    <n v="21"/>
    <d v="1899-12-30T14:04:21"/>
    <d v="1899-12-30T15:01:00"/>
    <n v="57"/>
    <d v="1899-12-30T15:02:00"/>
    <d v="1899-12-30T15:32:00"/>
    <n v="30"/>
    <s v="SHME OR 04"/>
    <s v="Orthopedics"/>
    <s v="No"/>
    <s v="Kuhn, Kevin Matthew, Md"/>
    <s v="REMOVAL OF IMPLANT; DEEP (EG, BURIED WIRE, PIN, SCREW, METAL BAND, NAIL,ROD OR PLATE)_x000a_MANUAL APPLICATION OF STRESS PERFORMED BY PHYSICIAN OR OTHER QUALIFIEDHEALTH CARE PROFESSIONAL FOR JOINT RADIOGRAPHY, INCLUDING CONTRALATERALJOINT IF INDICATED"/>
    <s v="LEFT KNEE HARDWARE REMOVAL,STRESS EXAM - Left"/>
    <s v="Tue"/>
    <m/>
    <m/>
    <m/>
    <s v="KUHN, KEVIN MATTHEW"/>
    <m/>
    <s v="Kevin Matthew Kuhn, MD"/>
    <m/>
    <s v="Kuhn"/>
  </r>
  <r>
    <d v="2026-08-25T00:00:00"/>
    <s v="6668067"/>
    <s v="Alcasid, Jorge"/>
    <s v="Inpatient"/>
    <x v="0"/>
    <n v="3901455213"/>
    <s v="611498551"/>
    <d v="1946-11-02T00:00:00"/>
    <s v="Baja, Diosdado An Jr., MD"/>
    <s v="Regional"/>
    <s v="4"/>
    <d v="1899-12-30T14:05:00"/>
    <d v="1899-12-30T19:37:00"/>
    <n v="332"/>
    <d v="1899-12-30T14:00:00"/>
    <d v="1899-12-30T17:00:00"/>
    <n v="180"/>
    <d v="1899-12-30T14:05:00"/>
    <d v="1899-12-30T19:31:00"/>
    <n v="326"/>
    <d v="1899-12-30T14:45:00"/>
    <d v="1899-12-30T19:21:00"/>
    <d v="1899-12-30T19:31:00"/>
    <n v="326"/>
    <n v="276"/>
    <d v="1899-12-30T19:35:28"/>
    <d v="1899-12-30T20:00:00"/>
    <n v="25"/>
    <m/>
    <m/>
    <m/>
    <s v="SHME OR 14"/>
    <s v="General"/>
    <s v="Yes"/>
    <s v="Toman, Jeffrey Robert, Md"/>
    <s v="LAPAROSCOPY, SURGICAL; COLECTOMY, PARTIAL, WITH ANASTOMOSIS, WITHCOLOPROCTOSTOMY (LOW PELVIC ANASTOMOSIS)"/>
    <s v="HAND ASSISTED-LARASCOPIC LOW ANTERIOR RESECTION, POSSIBLE MOBILIZATION OF SPLENIC FLEXURE, POSSIBLE OPEN PROCEDURE, AND FLEXIBLE SIGMOIDOSCOPY - N/A"/>
    <s v="Tue"/>
    <m/>
    <s v="ED/IP/IC"/>
    <m/>
    <s v="TOMAN, JEFFREY ROBERT_x000a_CASTEEL, CHRISTINA MARIE"/>
    <s v="Panel 1: Dr. Toman, Jeffrey Robert, MD / Casteel, Christina Marie, MD"/>
    <s v="Jeffrey Robert Toman, MD"/>
    <m/>
    <s v="Toman"/>
  </r>
  <r>
    <d v="2026-08-25T00:00:00"/>
    <s v="6669502"/>
    <s v="Ospina, Beatriz V."/>
    <s v="Inpatient"/>
    <x v="0"/>
    <n v="3901456837"/>
    <s v="811489927"/>
    <d v="1975-12-23T00:00:00"/>
    <s v="Narla, Vinod Venkat, MD"/>
    <s v="General"/>
    <s v="2"/>
    <d v="1899-12-30T07:29:00"/>
    <d v="1899-12-30T09:05:00"/>
    <n v="96"/>
    <d v="1899-12-30T07:30:00"/>
    <d v="1899-12-30T09:15:00"/>
    <n v="105"/>
    <d v="1899-12-30T07:29:00"/>
    <d v="1899-12-30T08:58:00"/>
    <n v="89"/>
    <d v="1899-12-30T08:00:00"/>
    <d v="1899-12-30T08:51:00"/>
    <d v="1899-12-30T08:58:00"/>
    <n v="89"/>
    <n v="51"/>
    <d v="1899-12-30T08:59:23"/>
    <d v="1899-12-30T09:11:00"/>
    <n v="12"/>
    <m/>
    <m/>
    <m/>
    <s v="SHME OR 15"/>
    <s v="General"/>
    <s v="No"/>
    <s v="Taller, Janos, Md"/>
    <s v="LAPAROSCOPY, SURGICAL, GASTRIC RESTRICTIVE PROCEDURE; LONGITUDINALGASTRECTOMY (IE, SLEEVE GASTRECTOMY)"/>
    <s v="ROBOTIC GASTRIC SLEEVE - N/A"/>
    <s v="Tue"/>
    <m/>
    <m/>
    <m/>
    <s v="TALLER, JANOS_x000a_BERTUCCI, WILLIAM ROBERT"/>
    <s v="Panel 1: Dr. Taller, Janos, MD / Bertucci, William Robert, MD"/>
    <s v="Janos Taller, MD"/>
    <s v="Bertucci, William Robert"/>
    <s v="Taller"/>
  </r>
  <r>
    <d v="2026-08-25T00:00:00"/>
    <s v="6670407"/>
    <s v="Metz, Patrick J"/>
    <s v="Outpatient"/>
    <x v="1"/>
    <n v="3901455633"/>
    <s v="701106327"/>
    <d v="1986-08-30T00:00:00"/>
    <s v="Luu, Tiffany, MD"/>
    <s v="General"/>
    <s v="2"/>
    <d v="1899-12-30T14:12:00"/>
    <d v="1899-12-30T15:03:00"/>
    <n v="51"/>
    <d v="1899-12-30T15:45:00"/>
    <d v="1899-12-30T16:45:00"/>
    <n v="60"/>
    <d v="1899-12-30T14:12:00"/>
    <d v="1899-12-30T14:59:00"/>
    <n v="47"/>
    <d v="1899-12-30T14:40:00"/>
    <d v="1899-12-30T14:54:00"/>
    <d v="1899-12-30T14:59:00"/>
    <n v="47"/>
    <n v="14"/>
    <d v="1899-12-30T15:00:00"/>
    <d v="1899-12-30T15:44:00"/>
    <n v="44"/>
    <d v="1899-12-30T15:45:00"/>
    <d v="1899-12-30T16:45:00"/>
    <n v="60"/>
    <s v="SHME OR 16"/>
    <s v="Urology"/>
    <s v="No"/>
    <s v="Pe, Mark-Rally Lao, Md"/>
    <s v="LITHOTRIPSY, EXTRACORPOREAL SHOCK WAVE_x000a_CYSTOURETHROSCOPY, WITH INSERTION OF INDWELLING URETERAL STENT (EG,GIBBONS OR DOUBLE-J TYPE)_x000a_UROGRAPHY, RETROGRADE, WITH OR WITHOUT KUB"/>
    <s v="LEFT EXTRACORPOREAL SHOCK WAVE LITHOTRIPSY, POSSIBLE CYSTOSCOPY, RETROGRADE PYELOGRAM, URETERAL STENT PLACEMENT - Left"/>
    <s v="Tue"/>
    <m/>
    <m/>
    <m/>
    <s v="PE, MARK-RALLY LAO"/>
    <m/>
    <s v="Mark-Rally Lao Pe, MD"/>
    <m/>
    <s v="Pe"/>
  </r>
  <r>
    <d v="2026-08-25T00:00:00"/>
    <s v="6674329"/>
    <s v="Roberts, Rosa H"/>
    <s v="Outpatient"/>
    <x v="1"/>
    <n v="3901456386"/>
    <s v="701722293"/>
    <d v="1959-01-20T00:00:00"/>
    <s v="Fan, Ting-Wei, MD"/>
    <s v="General"/>
    <s v="2"/>
    <d v="1899-12-30T13:54:00"/>
    <d v="1899-12-30T15:16:00"/>
    <n v="82"/>
    <d v="1899-12-30T13:30:00"/>
    <d v="1899-12-30T15:15:00"/>
    <n v="105"/>
    <d v="1899-12-30T13:54:00"/>
    <d v="1899-12-30T15:09:00"/>
    <n v="75"/>
    <d v="1899-12-30T14:24:00"/>
    <d v="1899-12-30T15:06:00"/>
    <d v="1899-12-30T15:09:00"/>
    <n v="75"/>
    <n v="42"/>
    <d v="1899-12-30T15:38:18"/>
    <d v="1899-12-30T16:31:00"/>
    <n v="53"/>
    <d v="1899-12-30T16:32:00"/>
    <d v="1899-12-30T16:51:00"/>
    <n v="19"/>
    <s v="SHME OR 02"/>
    <s v="Orthopedics"/>
    <s v="No"/>
    <s v="Tanaka, Scott Kiyoshi, Md"/>
    <s v="OPEN TREATMENT OF DISTAL RADIAL INTRA-ARTICULAR FRACTURE OR EPIPHYSEALSEPARATION; WITH INTERNAL FIXATION OF 3 OR MORE FRAGMENTS_x000a_FLUOROSCOPY (SEPARATE PROCEDURE), UP TO 1 HOUR PHYSICIAN OR OTHERQUALIFIED HEALTH CARE PROFESSIONAL TIME, OTHER THAN 71023 OR 71034 (EG,CARDIAC FLUOROSCOPY)"/>
    <s v="OPEN REDUCTION INTERNAL FIXATION LEFT DISTAL RADIUS - Left"/>
    <s v="Tue"/>
    <m/>
    <m/>
    <m/>
    <s v="TANAKA, SCOTT KIYOSHI"/>
    <m/>
    <s v="Scott Kiyoshi Tanaka, MD"/>
    <m/>
    <s v="Tanaka"/>
  </r>
  <r>
    <d v="2026-08-25T00:00:00"/>
    <s v="6675408"/>
    <s v="Baca Villanueva, Carlos"/>
    <s v="Inpatient"/>
    <x v="0"/>
    <n v="3901456838"/>
    <s v="100976937"/>
    <d v="1990-12-23T00:00:00"/>
    <s v="Narla, Vinod Venkat, MD"/>
    <s v="General"/>
    <s v="2"/>
    <d v="1899-12-30T09:53:00"/>
    <d v="1899-12-30T11:57:00"/>
    <n v="124"/>
    <d v="1899-12-30T09:45:00"/>
    <d v="1899-12-30T12:15:00"/>
    <n v="150"/>
    <d v="1899-12-30T09:53:00"/>
    <d v="1899-12-30T11:50:00"/>
    <n v="117"/>
    <d v="1899-12-30T10:23:00"/>
    <d v="1899-12-30T11:42:00"/>
    <d v="1899-12-30T11:50:00"/>
    <n v="117"/>
    <n v="79"/>
    <d v="1899-12-30T11:51:15"/>
    <d v="1899-12-30T12:17:00"/>
    <n v="26"/>
    <m/>
    <m/>
    <m/>
    <s v="SHME OR 15"/>
    <s v="General"/>
    <s v="No"/>
    <s v="Bertucci, William Robert, Md"/>
    <s v="LAPAROSCOPY, SURGICAL, GASTRIC RESTRICTIVE PROCEDURE; WITH GASTRICBYPASS AND ROUX-EN-Y GASTROENTEROSTOMY (ROUX LIMB 150 CM OR LESS)"/>
    <s v="ROBOTIC GASTRIC BYPASS ROUX-EN-Y - N/A"/>
    <s v="Tue"/>
    <m/>
    <m/>
    <m/>
    <s v="BERTUCCI, WILLIAM ROBERT_x000a_TALLER, JANOS"/>
    <s v="Panel 1: Dr. Bertucci, William Robert, MD / Taller, Janos, MD"/>
    <s v="William Robert Bertucci, MD"/>
    <s v="Taller, Janos"/>
    <s v="Bertucci"/>
  </r>
  <r>
    <d v="2026-08-25T00:00:00"/>
    <s v="6679930"/>
    <s v="Wilson, James"/>
    <s v="Inpatient"/>
    <x v="0"/>
    <n v="3901453323"/>
    <s v="811488633"/>
    <d v="1962-10-29T00:00:00"/>
    <s v="Kim, Eung Do, MD"/>
    <s v="General"/>
    <s v="3"/>
    <d v="1899-12-30T07:30:00"/>
    <d v="1899-12-30T15:24:00"/>
    <n v="474"/>
    <d v="1899-12-30T07:30:00"/>
    <d v="1899-12-30T11:30:00"/>
    <n v="240"/>
    <d v="1899-12-30T07:30:00"/>
    <d v="1899-12-30T15:21:00"/>
    <n v="471"/>
    <d v="1899-12-30T08:21:00"/>
    <d v="1899-12-30T15:17:00"/>
    <d v="1899-12-30T15:21:00"/>
    <n v="471"/>
    <n v="416"/>
    <d v="1899-12-30T15:23:00"/>
    <d v="1899-12-30T16:31:00"/>
    <n v="68"/>
    <m/>
    <m/>
    <m/>
    <s v="SHME OR 07"/>
    <s v="Vascular"/>
    <s v="No"/>
    <s v="Fernandez, Nathanial, Md"/>
    <s v="BYPASS GRAFT, WITH VEIN; FEMORAL-ANTERIOR TIBIAL, POSTERIOR TIBIAL,PERONEAL ARTERY OR OTHER DISTAL VESSELS"/>
    <s v="RIGHT FEMORAL TO POSTERIOR TIBIAL BYPASS WITH VEIN - Right"/>
    <s v="Tue"/>
    <m/>
    <s v="ED/IP/IC"/>
    <m/>
    <s v="FERNANDEZ, NATHANIAL"/>
    <m/>
    <s v="Nathanial Fernandez, MD"/>
    <m/>
    <s v="Fernandez"/>
  </r>
  <r>
    <d v="2026-08-25T00:00:00"/>
    <s v="6683224"/>
    <s v="Jennings, Curtis A"/>
    <s v="Inpatient"/>
    <x v="0"/>
    <n v="3901455644"/>
    <s v="700444906"/>
    <d v="1968-10-03T00:00:00"/>
    <s v="Luu, Tiffany, MD"/>
    <s v="General"/>
    <s v="3"/>
    <d v="1899-12-30T17:27:00"/>
    <d v="1899-12-30T18:03:00"/>
    <n v="36"/>
    <d v="1899-12-30T17:15:00"/>
    <d v="1899-12-30T18:00:00"/>
    <n v="45"/>
    <d v="1899-12-30T17:27:00"/>
    <d v="1899-12-30T17:58:00"/>
    <n v="31"/>
    <d v="1899-12-30T17:37:00"/>
    <d v="1899-12-30T17:54:00"/>
    <d v="1899-12-30T17:58:00"/>
    <n v="31"/>
    <n v="17"/>
    <d v="1899-12-30T17:59:46"/>
    <d v="1899-12-30T18:48:04"/>
    <n v="49"/>
    <m/>
    <m/>
    <m/>
    <s v="SHME OR 05"/>
    <s v="Podiatry"/>
    <s v="Yes"/>
    <s v="Lee, Ryan Yen Choy, Dpm"/>
    <s v="INCISION AND DRAINAGE BELOW FASCIA, WITH OR WITHOUT TENDON SHEATHINVOLVEMENT, FOOT; MULTIPLE AREAS"/>
    <s v="RIGHT FOOT INCISION AND DEBRIDEMENT OF ALL NONVIABLE SOFT TISSUE AND BONE, WITH POSSIBLE DELAYED PRIMARY CLOSURE VERSUS POSSIBLE SKIN SUBSTITUTE APPLICATION - Right"/>
    <s v="Tue"/>
    <m/>
    <m/>
    <m/>
    <s v="LEE, RYAN YEN CHOY"/>
    <m/>
    <s v="Ryan Yen Choy Lee, DPM"/>
    <m/>
    <s v="Lee"/>
  </r>
  <r>
    <d v="2026-08-25T00:00:00"/>
    <s v="6684631"/>
    <s v="Lewis, Irene"/>
    <s v="Inpatient"/>
    <x v="0"/>
    <n v="3901439197"/>
    <s v="811096796"/>
    <d v="1995-10-31T00:00:00"/>
    <s v="Fan, Ting-Wei, MD"/>
    <s v="General"/>
    <s v="3"/>
    <d v="1899-12-30T12:33:00"/>
    <d v="1899-12-30T13:26:00"/>
    <n v="53"/>
    <d v="1899-12-30T12:30:00"/>
    <d v="1899-12-30T13:15:00"/>
    <n v="45"/>
    <d v="1899-12-30T12:33:00"/>
    <d v="1899-12-30T13:20:00"/>
    <n v="47"/>
    <d v="1899-12-30T12:55:00"/>
    <d v="1899-12-30T13:11:00"/>
    <d v="1899-12-30T13:20:00"/>
    <n v="47"/>
    <n v="16"/>
    <d v="1899-12-30T13:23:07"/>
    <d v="1899-12-30T14:23:00"/>
    <n v="60"/>
    <m/>
    <m/>
    <m/>
    <s v="SHME OR 17"/>
    <s v="General"/>
    <s v="No"/>
    <s v="Dieffenbach, Bryan Vinson, Md"/>
    <s v="INCISION AND DRAINAGE, COMPLEX, POSTOPERATIVE WOUND INFECTION"/>
    <s v="LEFT ARM EXPLORATION AND WASHOUT - Left"/>
    <s v="Tue"/>
    <m/>
    <s v="ED/IP/IC"/>
    <m/>
    <s v="DIEFFENBACH, BRYAN VINSON"/>
    <m/>
    <s v="Bryan Vinson Dieffenbach, MD"/>
    <m/>
    <s v="Dieffenbach"/>
  </r>
  <r>
    <d v="2026-08-25T00:00:00"/>
    <s v="6685027"/>
    <s v="Reyes, Cathy"/>
    <s v="Inpatient"/>
    <x v="0"/>
    <n v="3901458036"/>
    <s v="700927230"/>
    <d v="1954-01-28T00:00:00"/>
    <s v="Saunders, Reed Michael, MD"/>
    <s v="General"/>
    <s v="3"/>
    <d v="1899-12-30T11:49:00"/>
    <d v="1899-12-30T16:26:00"/>
    <n v="277"/>
    <d v="1899-12-30T11:15:00"/>
    <d v="1899-12-30T15:15:00"/>
    <n v="240"/>
    <d v="1899-12-30T11:49:00"/>
    <d v="1899-12-30T16:20:00"/>
    <n v="271"/>
    <d v="1899-12-30T13:03:00"/>
    <d v="1899-12-30T15:41:00"/>
    <d v="1899-12-30T16:20:00"/>
    <n v="271"/>
    <n v="158"/>
    <m/>
    <m/>
    <m/>
    <m/>
    <m/>
    <m/>
    <s v="SHME OR 09"/>
    <s v="Neurosurgery"/>
    <s v="No"/>
    <s v="Zauner, Alois, Md"/>
    <s v="CRANIECTOMY, TREPHINATION, BONE FLAP CRANIOTOMY; FOR EXCISION OF BRAINTUMOR, SUPRATENTORIAL, EXCEPT MENINGIOMA_x000a_MICROSURGICAL TECHNIQUES, REQUIRING USE OF OPERATING MICROSCOPE (LISTSEPARATELY IN ADDITION TO CODE FOR PRIMARY PROCEDURE)_x000a_PATHOLOGY CONSULTATION DURING SURGERY; FIRST TISSUE BLOCK, WITH FROZENSECTION(S), SINGLE SPECIMEN_x000a_STEREOTACTIC COMPUTER-ASSISTED (NAVIGATIONAL) PROCEDURE; CRANIAL,INTRADURAL (LIST SEPARATELY IN ADDITION TO CODE FOR PRIMARY PROCEDURE)_x000a_CONTINUOUS INTRAOPERATIVE NEUROPHYSIOLOGY MONITORING IN THE OPERATINGROOM, ONE ON ONE MONITORING REQUIRING PERSONAL ATTENDANCE, EACH 15MINUTES (LIST SEPARATELY IN ADDITION TO CODE FOR PRIMARY PROCED"/>
    <s v="RIGHT SIDED CRANIOTOMY FOR TUMOR RESECTION - Right"/>
    <s v="Tue"/>
    <m/>
    <m/>
    <m/>
    <s v="ZAUNER, ALOIS"/>
    <m/>
    <s v="Alois Zauner, MD"/>
    <m/>
    <s v="Zauner"/>
  </r>
  <r>
    <d v="2026-08-25T00:00:00"/>
    <s v="6685123"/>
    <s v="Bale, Fred"/>
    <s v="Inpatient"/>
    <x v="0"/>
    <n v="3901456774"/>
    <s v="810475645"/>
    <d v="1944-01-25T00:00:00"/>
    <s v="Li, Robin T, MD"/>
    <s v="Monitor Anesthesia Care"/>
    <s v="3"/>
    <d v="1899-12-30T16:13:00"/>
    <d v="1899-12-30T16:58:00"/>
    <n v="45"/>
    <d v="1899-12-30T16:00:00"/>
    <d v="1899-12-30T16:45:00"/>
    <n v="45"/>
    <d v="1899-12-30T16:13:00"/>
    <d v="1899-12-30T16:51:00"/>
    <n v="38"/>
    <d v="1899-12-30T16:20:00"/>
    <d v="1899-12-30T16:47:00"/>
    <d v="1899-12-30T16:51:00"/>
    <n v="38"/>
    <n v="27"/>
    <d v="1899-12-30T16:53:58"/>
    <d v="1899-12-30T18:29:00"/>
    <n v="96"/>
    <m/>
    <m/>
    <m/>
    <s v="SHME OR 05"/>
    <s v="Podiatry"/>
    <s v="No"/>
    <s v="Rice, Brittany Michelle Caridad, Dpm"/>
    <s v="AMPUTATION, TOE; METATARSOPHALANGEAL JOINT"/>
    <s v="LEFT FOOT SECOND TOE AMPUTATION WITH DEBRIDEMENT OF ALL NONVIABLE SOFT TISSUE AND BONE - Left"/>
    <s v="Tue"/>
    <m/>
    <s v="ED/IP/IC"/>
    <m/>
    <s v="RICE, BRITTANY MICHELLE CARIDAD"/>
    <m/>
    <s v="Brittany Michelle Caridad Rice, DPM"/>
    <m/>
    <s v="Rice"/>
  </r>
  <r>
    <d v="2026-08-25T00:00:00"/>
    <s v="6685780"/>
    <s v="Schwab, Marie T"/>
    <s v="Inpatient"/>
    <x v="0"/>
    <n v="3901457621"/>
    <s v="607484593"/>
    <d v="1950-10-24T00:00:00"/>
    <s v="Narla, Vinod Venkat, MD"/>
    <s v="General"/>
    <s v="2"/>
    <d v="1899-12-30T14:47:00"/>
    <d v="1899-12-30T17:05:00"/>
    <n v="138"/>
    <d v="1899-12-30T14:30:00"/>
    <d v="1899-12-30T17:15:00"/>
    <n v="165"/>
    <d v="1899-12-30T14:47:00"/>
    <d v="1899-12-30T16:58:00"/>
    <n v="131"/>
    <d v="1899-12-30T15:16:00"/>
    <d v="1899-12-30T16:54:00"/>
    <d v="1899-12-30T16:58:00"/>
    <n v="131"/>
    <n v="98"/>
    <d v="1899-12-30T17:02:57"/>
    <d v="1899-12-30T17:40:00"/>
    <n v="38"/>
    <m/>
    <m/>
    <m/>
    <s v="SHME OR 06"/>
    <s v="Orthopedics"/>
    <s v="No"/>
    <s v="Quacinella, Michael Andrew, Do, Mph"/>
    <s v="OPEN TREATMENT OF FRACTURE OF WEIGHT BEARING ARTICULAR SURFACE/PORTIONOF DISTAL TIBIA (EG, PILON OR TIBIAL PLAFOND), WITH INTERNAL FIXATION,WHEN PERFORMED; OF BOTH TIBIA AND FIBULA_x000a_REMOVAL, UNDER ANESTHESIA, OF EXTERNAL FIXATION SYSTEM_x000a_MANUAL APPLICATION OF STRESS PERFORMED BY PHYSICIAN OR OTHER QUALIFIEDHEALTH CARE PROFESSIONAL FOR JOINT RADIOGRAPHY, INCLUDING CONTRALATERALJOINT IF INDICATED"/>
    <s v="OPEN REDUCTION INTERNAL FIXATOR RIGHT PILON FRACTURE,REMOVAL EXTERNAL FIXATOR,STRESS EXAM - Right"/>
    <s v="Tue"/>
    <m/>
    <m/>
    <m/>
    <s v="QUACINELLA, MICHAEL ANDREW"/>
    <m/>
    <s v="Michael Andrew Quacinella, DO, MPH"/>
    <m/>
    <s v="Quacinella"/>
  </r>
  <r>
    <d v="2026-08-25T00:00:00"/>
    <s v="6687404"/>
    <s v="Millis, Elliott"/>
    <s v="Inpatient"/>
    <x v="0"/>
    <n v="3901456509"/>
    <s v="701432093"/>
    <d v="1987-08-05T00:00:00"/>
    <s v="Narla, Vinod Venkat, MD"/>
    <s v="General"/>
    <s v="4"/>
    <d v="1899-12-30T17:54:00"/>
    <d v="1899-12-30T19:35:00"/>
    <n v="101"/>
    <d v="1899-12-30T17:00:00"/>
    <d v="1899-12-30T18:30:00"/>
    <n v="90"/>
    <d v="1899-12-30T17:54:00"/>
    <d v="1899-12-30T19:27:00"/>
    <n v="93"/>
    <d v="1899-12-30T18:27:00"/>
    <d v="1899-12-30T19:21:00"/>
    <d v="1899-12-30T19:27:00"/>
    <n v="93"/>
    <n v="54"/>
    <d v="1899-12-30T19:29:20"/>
    <d v="1899-12-30T20:01:00"/>
    <n v="32"/>
    <m/>
    <m/>
    <m/>
    <s v="SHME OR 01"/>
    <s v="Plastics"/>
    <s v="No"/>
    <s v="Hess, Jason R, Md"/>
    <s v="EXCISION, ISCHIAL PRESSURE ULCER, WITH OSTECTOMY, IN PREPARATION FORMUSCLE OR MYOCUTANEOUS FLAP OR SKIN GRAFT CLOSURE"/>
    <s v="EXCISION, ISCHIAL PRESSURE ULCER, WITH OSTECTOMY, IN PREPARATION FORMUSCLE OR MYOCUTANEOUS FLAP OR SKIN GRAFT CLOSURE - Bilateral"/>
    <s v="Tue"/>
    <m/>
    <s v="ED/IP/IC"/>
    <m/>
    <s v="HESS, JASON R"/>
    <m/>
    <s v="Jason R Hess, MD"/>
    <m/>
    <s v="Hess"/>
  </r>
  <r>
    <d v="2026-08-25T00:00:00"/>
    <s v="6687411"/>
    <s v="Hensel, Frederick R"/>
    <s v="Inpatient"/>
    <x v="0"/>
    <n v="3901458205"/>
    <s v="700252573"/>
    <d v="1940-08-18T00:00:00"/>
    <s v="Luu, Tiffany, MD"/>
    <s v="General"/>
    <s v="3"/>
    <d v="1899-12-30T16:21:00"/>
    <d v="1899-12-30T17:12:00"/>
    <n v="51"/>
    <d v="1899-12-30T15:35:00"/>
    <d v="1899-12-30T16:35:00"/>
    <n v="60"/>
    <d v="1899-12-30T16:21:00"/>
    <d v="1899-12-30T17:08:00"/>
    <n v="47"/>
    <d v="1899-12-30T16:43:00"/>
    <d v="1899-12-30T16:56:00"/>
    <d v="1899-12-30T17:08:00"/>
    <n v="47"/>
    <n v="13"/>
    <d v="1899-12-30T17:09:27"/>
    <d v="1899-12-30T17:51:00"/>
    <n v="42"/>
    <m/>
    <m/>
    <m/>
    <s v="SHME OR 17"/>
    <s v="General"/>
    <s v="No"/>
    <s v="Giurgiu, Dan I.N., Md"/>
    <s v="INCISION AND DRAINAGE OF ABSCESS (EG, CARBUNCLE, SUPPURATIVEHIDRADENITIS, CUTANEOUS OR SUBCUTANEOUS ABSCESS, CYST, FURUNCLE, ORPARONYCHIA); COMPLICATED OR MULTIPLE"/>
    <s v="INCISION AND DRAINAGE OF ABSCESS RIGHT BUTTOCK and supperficial scrotal (skin) abscess - Right"/>
    <s v="Tue"/>
    <m/>
    <m/>
    <m/>
    <s v="GIURGIU, DAN I.N."/>
    <m/>
    <s v="Dan I.N. Giurgiu, MD (619-330-8330)"/>
    <m/>
    <s v="Giurgiu"/>
  </r>
  <r>
    <d v="2026-08-25T00:00:00"/>
    <s v="6687448"/>
    <s v="Guerrero, Blanca E"/>
    <s v="Inpatient"/>
    <x v="0"/>
    <n v="3901458242"/>
    <s v="701298221"/>
    <d v="1950-04-03T00:00:00"/>
    <s v="Epps, Michelle Tatum, MD"/>
    <s v="General"/>
    <s v="2"/>
    <d v="1899-12-30T20:02:00"/>
    <d v="1899-12-30T21:35:00"/>
    <n v="93"/>
    <d v="1899-12-30T19:00:00"/>
    <d v="1899-12-30T20:00:00"/>
    <n v="90"/>
    <d v="1899-12-30T20:02:00"/>
    <d v="1899-12-30T21:29:00"/>
    <n v="87"/>
    <d v="1899-12-30T20:46:00"/>
    <d v="1899-12-30T21:25:00"/>
    <d v="1899-12-30T21:29:00"/>
    <n v="87"/>
    <n v="39"/>
    <d v="1899-12-30T21:31:00"/>
    <d v="1899-12-30T22:01:00"/>
    <n v="30"/>
    <m/>
    <m/>
    <m/>
    <s v="SHME OR 04"/>
    <s v="Neurosurgery"/>
    <s v="No"/>
    <s v="Zauner, Alois, Md"/>
    <s v="INCISION AND DRAINAGE, COMPLEX, POSTOPERATIVE WOUND INFECTION"/>
    <s v="INCISION AND DRAINAGE, COMPLEX, POSTOPERATIVE WOUND INFECTION - Right"/>
    <s v="Tue"/>
    <m/>
    <m/>
    <m/>
    <s v="ZAUNER, ALOIS"/>
    <m/>
    <s v="Alois Zauner, MD"/>
    <m/>
    <s v="Zauner"/>
  </r>
  <r>
    <d v="2026-08-25T00:00:00"/>
    <s v="6687451"/>
    <s v="Gonzalez Vasquez, Felipe"/>
    <s v="Inpatient"/>
    <x v="0"/>
    <n v="3901458825"/>
    <s v="811492282"/>
    <d v="1967-01-04T00:00:00"/>
    <s v="Patel, Lance Kirit, MD"/>
    <s v="General"/>
    <s v="4"/>
    <d v="1899-12-30T17:46:00"/>
    <d v="1899-12-30T19:13:00"/>
    <n v="87"/>
    <d v="1899-12-30T15:35:00"/>
    <d v="1899-12-30T17:15:00"/>
    <n v="130"/>
    <d v="1899-12-30T17:46:00"/>
    <d v="1899-12-30T18:58:00"/>
    <n v="72"/>
    <d v="1899-12-30T18:10:00"/>
    <d v="1899-12-30T18:46:00"/>
    <d v="1899-12-30T18:58:00"/>
    <n v="72"/>
    <n v="36"/>
    <m/>
    <m/>
    <m/>
    <m/>
    <m/>
    <m/>
    <s v="SHME OR 09"/>
    <s v="Neurosurgery"/>
    <s v="No"/>
    <s v="Zauner, Alois, Md"/>
    <s v="BURR HOLE(S) WITH EVACUATION AND/OR DRAINAGE OF HEMATOMA, EXTRADURAL ORSUBDURAL"/>
    <s v="Left sided burr hole for evacuation of subdural hematoma under general anesthesia - Left"/>
    <s v="Tue"/>
    <m/>
    <m/>
    <m/>
    <s v="ZAUNER, ALOIS"/>
    <m/>
    <s v="Alois Zauner, MD"/>
    <m/>
    <s v="Zauner"/>
  </r>
  <r>
    <d v="2026-08-25T00:00:00"/>
    <s v="6687552"/>
    <s v="Medina De Cardenas, Maria"/>
    <s v="Inpatient"/>
    <x v="0"/>
    <n v="3901458978"/>
    <s v="811492388"/>
    <d v="1960-08-10T00:00:00"/>
    <s v="Epps, Michelle Tatum, MD"/>
    <s v="General"/>
    <s v="4"/>
    <d v="1899-12-30T10:24:00"/>
    <d v="1899-12-30T13:47:00"/>
    <n v="203"/>
    <d v="1899-12-30T10:00:00"/>
    <d v="1899-12-30T11:35:00"/>
    <n v="125"/>
    <d v="1899-12-30T10:24:00"/>
    <d v="1899-12-30T13:37:00"/>
    <n v="193"/>
    <d v="1899-12-30T10:54:00"/>
    <d v="1899-12-30T13:13:00"/>
    <d v="1899-12-30T13:37:00"/>
    <n v="193"/>
    <n v="139"/>
    <m/>
    <m/>
    <m/>
    <m/>
    <m/>
    <m/>
    <s v="SHME OR 06"/>
    <s v="General"/>
    <s v="No"/>
    <s v="Krzyzaniak, Michael Joseph, Md"/>
    <s v="REOPENING OF RECENT LAPAROTOMY"/>
    <s v="REOPENING OF RECENT LAPAROTOMY - N/A"/>
    <s v="Tue"/>
    <m/>
    <s v="ED/IP/IC"/>
    <m/>
    <s v="KRZYZANIAK, MICHAEL JOSEPH_x000a_SIMPSON, AMELIA JEAN"/>
    <s v="Panel 1: Dr. Krzyzaniak, Michael Joseph, MD / Simpson, Amelia Jean, MD"/>
    <s v="Michael Joseph Krzyzaniak, MD"/>
    <m/>
    <s v="Krzyzaniak"/>
  </r>
  <r>
    <d v="2026-08-25T00:00:00"/>
    <s v="6687824"/>
    <s v="Nunez Rios, Angel Fernando"/>
    <s v="Inpatient"/>
    <x v="0"/>
    <n v="3901459038"/>
    <s v="811492431"/>
    <d v="1985-10-24T00:00:00"/>
    <s v="Saunders, Reed Michael, MD"/>
    <s v="General"/>
    <s v="4"/>
    <d v="1899-12-30T07:40:00"/>
    <d v="1899-12-30T10:50:00"/>
    <n v="190"/>
    <d v="1899-12-30T07:30:00"/>
    <d v="1899-12-30T10:00:00"/>
    <n v="180"/>
    <d v="1899-12-30T07:44:00"/>
    <d v="1899-12-30T10:45:00"/>
    <n v="181"/>
    <d v="1899-12-30T08:45:00"/>
    <d v="1899-12-30T10:26:00"/>
    <d v="1899-12-30T10:45:00"/>
    <n v="181"/>
    <n v="101"/>
    <m/>
    <m/>
    <m/>
    <m/>
    <m/>
    <m/>
    <s v="SHME OR 09"/>
    <s v="Neurosurgery"/>
    <s v="Yes"/>
    <s v="Zauner, Alois, Md"/>
    <s v="CRANIECTOMY OR CRANIOTOMY FOR EVACUATION OF HEMATOMA, SUPRATENTORIAL;EXTRADURAL OR SUBDURAL_x000a_MICROSURGICAL TECHNIQUES, REQUIRING USE OF OPERATING MICROSCOPE (LISTSEPARATELY IN ADDITION TO CODE FOR PRIMARY PROCEDURE)_x000a_STEREOTACTIC COMPUTER-ASSISTED (NAVIGATIONAL) PROCEDURE; CRANIAL,INTRADURAL (LIST SEPARATELY IN ADDITION TO CODE FOR PRIMARY PROCEDURE)"/>
    <s v="CRANIECTOMY OR CRANIOTOMY FOR EVACUATION OF HEMATOMA, SUPRATENTORIAL;EXTRADURAL OR SUBDURAL - Left"/>
    <s v="Tue"/>
    <m/>
    <s v="ED/IP/IC"/>
    <m/>
    <s v="ZAUNER, ALOIS"/>
    <m/>
    <s v="Alois Zauner, MD"/>
    <m/>
    <s v="Zauner"/>
  </r>
  <r>
    <d v="2026-08-25T00:00:00"/>
    <s v="6688734"/>
    <s v="Williams, Anabella"/>
    <s v="Inpatient"/>
    <x v="0"/>
    <n v="3901458971"/>
    <s v="811492382"/>
    <d v="1964-09-21T00:00:00"/>
    <s v="Epps, Michelle Tatum, MD"/>
    <s v="Regional"/>
    <s v="3"/>
    <d v="1899-12-30T17:47:00"/>
    <d v="1899-12-30T19:33:00"/>
    <n v="106"/>
    <d v="1899-12-30T17:45:00"/>
    <d v="1899-12-30T19:45:00"/>
    <n v="120"/>
    <d v="1899-12-30T17:47:00"/>
    <d v="1899-12-30T19:30:00"/>
    <n v="103"/>
    <d v="1899-12-30T18:14:00"/>
    <d v="1899-12-30T19:25:00"/>
    <d v="1899-12-30T19:30:00"/>
    <n v="103"/>
    <n v="71"/>
    <d v="1899-12-30T19:36:04"/>
    <d v="1899-12-30T20:41:09"/>
    <n v="65"/>
    <m/>
    <m/>
    <m/>
    <s v="SHME OR 06"/>
    <s v="Orthopedics"/>
    <s v="No"/>
    <s v="Quacinella, Michael Andrew, Do, Mph"/>
    <s v="OPEN TREATMENT OF TRIMALLEOLAR ANKLE FRACTURE, INCLUDES INTERNALFIXATION, WHEN PERFORMED, MEDIAL AND/OR LATERAL MALLEOLUS; WITHOUTFIXATION OF POSTERIOR LIP_x000a_MANUAL APPLICATION OF STRESS PERFORMED BY PHYSICIAN OR OTHER QUALIFIEDHEALTH CARE PROFESSIONAL FOR JOINT RADIOGRAPHY, INCLUDING CONTRALATERALJOINT IF INDICATED"/>
    <s v="OPEN REDUCTION INTERNAL FIXATOR TRIMALLEOLAR ANKLE FRACTURE,STRESS EXAM - Right"/>
    <s v="Tue"/>
    <m/>
    <m/>
    <m/>
    <s v="QUACINELLA, MICHAEL ANDREW"/>
    <m/>
    <s v="Michael Andrew Quacinella, DO, MPH"/>
    <m/>
    <s v="Quacinella"/>
  </r>
  <r>
    <d v="2026-08-25T00:00:00"/>
    <s v="6689657"/>
    <s v="Villa, Cristian"/>
    <s v="Inpatient"/>
    <x v="0"/>
    <n v="3901459188"/>
    <s v="811492581"/>
    <d v="1977-07-04T00:00:00"/>
    <s v="Kim, Eung Do, MD"/>
    <s v="General"/>
    <s v="2"/>
    <d v="1899-12-30T16:36:00"/>
    <d v="1899-12-30T22:21:00"/>
    <n v="345"/>
    <d v="1899-12-30T13:00:00"/>
    <d v="1899-12-30T20:25:00"/>
    <n v="475"/>
    <d v="1899-12-30T16:36:00"/>
    <d v="1899-12-30T22:17:00"/>
    <n v="341"/>
    <d v="1899-12-30T17:24:00"/>
    <d v="1899-12-30T22:14:00"/>
    <d v="1899-12-30T22:17:00"/>
    <n v="341"/>
    <n v="290"/>
    <d v="1899-12-30T22:23:38"/>
    <d v="1899-12-30T23:11:06"/>
    <n v="48"/>
    <m/>
    <m/>
    <m/>
    <s v="SHME OR 07"/>
    <s v="Orthopedics"/>
    <s v="No"/>
    <s v="Bawa, Maneesh, Md"/>
    <s v="DEBRIDEMENT INCLUDING REMOVAL OF FOREIGN MATERIAL AT THE SITE OF AN OPENFRACTURE AND/OR AN OPEN DISLOCATION (EG, EXCISIONAL DEBRIDEMENT); SKIN,SUBCUTANEOUS TISSUE, MUSCLE FASCIA, MUSCLE, AND BONE_x000a_CLOSED TREATMENT OF FRACTURE OF WEIGHT BEARING ARTICULAR PORTION OFDISTAL TIBIA (EG, PILON OR TIBIAL PLAFOND), WITH OR WITHOUT ANESTHESIA;WITH SKELETAL TRACTION AND/OR REQUIRING MANIPULATION_x000a_OPEN TREATMENT OF FRACTURE OF WEIGHT BEARING ARTICULAR SURFACE/PORTIONOF DISTAL TIBIA (EG, PILON OR TIBIAL PLAFOND), WITH INTERNAL FIXATION,WHEN PERFORMED; OF FIBULA ONLY_x000a_APPLICATION OF A UNIPLANE (PINS OR WIRES IN 1 PLANE), UNILATERAL,EXTERNAL FIXATION SYSTEM_x000a_MANUAL APPLICATION OF STRESS PERFORMED BY PHYSICIAN OR OTHER QUALIFIEDHEALTH CARE PROFESSIONAL FOR JOINT RADIOGRAPHY, INCLUDING CONTRALATERALJOINT IF INDICATED_x000a_BYPASS GRAFT, WITH VEIN; FEMORAL-ANTERIOR TIBIAL, POSTERIOR TIBIAL,PERONEAL ARTERY OR OTHER DISTAL VESSELS"/>
    <s v="DEBRIDEMENT INCLUDING REMOVAL OF FOREIGN MATERIAL AT THE SITE OF AN OPENFRACTURE AND/OR AN OPEN DISLOCATION (EG, EXCISIONAL DEBRIDEMENT); SKIN,SUBCUTANEOUS TISSUE, MUSCLE FASCIA, MUSCLE, AND BONE - Left"/>
    <s v="Tue"/>
    <m/>
    <s v="ED/IP/IC"/>
    <m/>
    <s v="FERNANDEZ, NATHANIAL_x000a_BAWA, MANEESH"/>
    <s v="Panel 1: Dr. Bawa, Maneesh, MD_x000a_Panel 2: Dr. Fernandez, Nathanial, MD"/>
    <s v="Maneesh Bawa, MD_x000a_Nathanial Fernandez, MD"/>
    <m/>
    <s v="Bawa, Fernandez"/>
  </r>
  <r>
    <d v="2026-08-25T00:00:00"/>
    <s v="6690244"/>
    <s v="Franzen, Ellis L"/>
    <s v="Inpatient"/>
    <x v="0"/>
    <n v="3901459184"/>
    <s v="810250107"/>
    <d v="1977-02-18T00:00:00"/>
    <s v="Billys, James Brian, MD"/>
    <s v="Regional"/>
    <s v="1"/>
    <d v="1899-12-30T16:03:00"/>
    <d v="1899-12-30T19:41:00"/>
    <n v="218"/>
    <d v="1899-12-30T16:00:00"/>
    <d v="1899-12-30T18:00:00"/>
    <n v="120"/>
    <d v="1899-12-30T16:03:00"/>
    <d v="1899-12-30T19:36:00"/>
    <n v="213"/>
    <d v="1899-12-30T16:31:00"/>
    <d v="1899-12-30T19:29:00"/>
    <d v="1899-12-30T19:36:00"/>
    <n v="213"/>
    <n v="178"/>
    <d v="1899-12-30T19:38:00"/>
    <d v="1899-12-30T20:13:11"/>
    <n v="35"/>
    <m/>
    <m/>
    <m/>
    <s v="SHME OR 02"/>
    <s v="Orthopedics"/>
    <s v="No"/>
    <s v="Tanaka, Scott Kiyoshi, Md"/>
    <s v="DEBRIDEMENT INCLUDING REMOVAL OF FOREIGN MATERIAL AT THE SITE OF AN OPENFRACTURE AND/OR AN OPEN DISLOCATION (EG, EXCISIONAL DEBRIDEMENT); SKIN,SUBCUTANEOUS TISSUE, MUSCLE FASCIA, MUSCLE, AND BONE_x000a_OPEN TREATMENT OF RADIAL SHAFT FRACTURE, INCLUDES INTERNAL FIXATION,WHEN PERFORMED, AND CLOSED TREATMENT OF DISTAL RADIOULNAR JOINTDISLOCATION (GALEAZZI FRACTURE/ DISLOCATION), INCLUDES PERCUTANEOUS_x000a_OPEN TREATMENT OF CARPAL SCAPHOID (NAVICULAR) FRACTURE, INCLUDESINTERNAL FIXATION, WHEN PERFORMED_x000a_MANUAL APPLICATION OF STRESS PERFORMED BY PHYSICIAN OR OTHER QUALIFIEDHEALTH CARE PROFESSIONAL FOR JOINT RADIOGRAPHY, INCLUDING CONTRALATERALJOINT IF INDICATED"/>
    <s v="Irrigation and debridement, Open reduction internal fixation right radius - Right"/>
    <s v="Tue"/>
    <m/>
    <m/>
    <m/>
    <s v="TANAKA, SCOTT KIYOSHI"/>
    <m/>
    <s v="Scott Kiyoshi Tanaka, MD"/>
    <m/>
    <s v="Tanaka"/>
  </r>
  <r>
    <d v="2026-08-25T00:00:00"/>
    <s v="6690632"/>
    <s v="Burman, Rebecca L"/>
    <s v="Emergency"/>
    <x v="0"/>
    <n v="3901459286"/>
    <s v="603301346"/>
    <d v="1990-07-28T00:00:00"/>
    <s v="Julian, Jeric Israel Burguillos, DO"/>
    <s v="General"/>
    <s v="2"/>
    <d v="1899-12-30T15:12:00"/>
    <d v="1899-12-30T16:59:00"/>
    <n v="107"/>
    <d v="1899-12-30T15:00:00"/>
    <d v="1899-12-30T16:20:00"/>
    <n v="80"/>
    <d v="1899-12-30T15:12:00"/>
    <d v="1899-12-30T16:51:00"/>
    <n v="99"/>
    <d v="1899-12-30T15:46:00"/>
    <d v="1899-12-30T16:46:00"/>
    <d v="1899-12-30T16:51:00"/>
    <n v="99"/>
    <n v="60"/>
    <d v="1899-12-30T16:55:00"/>
    <d v="1899-12-30T18:50:00"/>
    <n v="115"/>
    <d v="1899-12-30T18:51:00"/>
    <d v="1899-12-30T19:43:00"/>
    <n v="52"/>
    <s v="SHME OR 04"/>
    <s v="Gynecology"/>
    <s v="No"/>
    <s v="Jaime, Cindy Margarita, Md"/>
    <s v="LAPAROSCOPY, SURGICAL; WITH FULGURATION OR EXCISION OF LESIONS OF THEOVARY, PELVIC VISCERA, OR PERITONEAL SURFACE BY ANY METHOD"/>
    <s v="LAPAROSCOPY, SURGICAL; WITH FULGURATION OR EXCISION OF LESIONS OF THEOVARY, PELVIC VISCERA, OR PERITONEAL SURFACE BY ANY METHOD - Right"/>
    <s v="Tue"/>
    <m/>
    <m/>
    <m/>
    <s v="JAIME, CINDY MARGARITA"/>
    <m/>
    <s v="Cindy Margarita Jaime, MD"/>
    <m/>
    <s v="Jaime"/>
  </r>
  <r>
    <d v="2026-08-25T00:00:00"/>
    <s v="6508832"/>
    <s v="Aguilar, Judith H"/>
    <s v="Outpatient"/>
    <x v="1"/>
    <n v="3901434983"/>
    <s v="811185404"/>
    <d v="1982-08-31T00:00:00"/>
    <s v="Baja, Diosdado An Jr., MD"/>
    <s v="General"/>
    <s v="2"/>
    <d v="1899-12-30T11:19:00"/>
    <d v="1899-12-30T12:58:00"/>
    <n v="99"/>
    <d v="1899-12-30T11:30:00"/>
    <d v="1899-12-30T13:30:00"/>
    <n v="120"/>
    <d v="1899-12-30T11:19:00"/>
    <d v="1899-12-30T12:53:00"/>
    <n v="94"/>
    <d v="1899-12-30T11:43:00"/>
    <d v="1899-12-30T12:46:00"/>
    <d v="1899-12-30T12:53:00"/>
    <n v="94"/>
    <n v="63"/>
    <d v="1899-12-30T12:55:35"/>
    <d v="1899-12-30T14:45:00"/>
    <n v="110"/>
    <d v="1899-12-30T14:46:00"/>
    <d v="1899-12-30T15:40:00"/>
    <n v="54"/>
    <s v="SHME OR 14"/>
    <s v="General"/>
    <s v="No"/>
    <s v="Lim, Lian, Md"/>
    <s v="LAPAROSCOPY, SURGICAL; CHOLECYSTECTOMY_x000a_REPAIR OF ANTERIOR ABDOMINAL HERNIA(S) (IE, EPIGASTRIC, INCISIONAL, VENTRAL, UMBILICAL, SPIGELIAN), ANY APPROACH (IE, OPEN, LAPAROSCOPIC, ROBOTIC), INITIAL, INCLUDING IMPLANTATION OF MESH OR OTHER"/>
    <s v="ROBOTIC CHOLECYSTECTOMY, POSSIBLE OPEN; OPEN UMBILICAL HERNIA REPAIR - N/A"/>
    <s v="Tue"/>
    <m/>
    <m/>
    <m/>
    <s v="LIM, LIAN"/>
    <m/>
    <s v="Lian Lim, MD"/>
    <m/>
    <s v="Lim"/>
  </r>
  <r>
    <d v="2026-08-26T00:00:00"/>
    <s v="6564469"/>
    <s v="Lynch, Teresa"/>
    <s v="Inpatient"/>
    <x v="0"/>
    <n v="3901434973"/>
    <s v="811421776"/>
    <d v="1954-05-03T00:00:00"/>
    <s v="Narla, Vinod Venkat, MD"/>
    <s v="General"/>
    <s v="2"/>
    <d v="1899-12-30T07:37:00"/>
    <d v="1899-12-30T16:01:00"/>
    <n v="504"/>
    <d v="1899-12-30T07:30:00"/>
    <d v="1899-12-30T14:30:00"/>
    <n v="420"/>
    <d v="1899-12-30T07:37:00"/>
    <d v="1899-12-30T15:53:00"/>
    <n v="496"/>
    <d v="1899-12-30T08:20:00"/>
    <d v="1899-12-30T15:47:00"/>
    <d v="1899-12-30T15:53:00"/>
    <n v="496"/>
    <n v="447"/>
    <d v="1899-12-30T15:55:32"/>
    <d v="1899-12-30T17:18:04"/>
    <n v="83"/>
    <m/>
    <m/>
    <m/>
    <s v="SHME OR 05"/>
    <s v="Orthopedics"/>
    <s v="Yes"/>
    <s v="Kasir, Rafid, Md"/>
    <s v="ARTHRODESIS, ANTERIOR INTERBODY TECHNIQUE, INCLUDING MINIMAL DISCECTOMYTO PREPARE INTERSPACE (OTHER THAN FOR DECOMPRESSION); LUMBAR_x000a_ARTHRODESIS, ANTERIOR INTERBODY TECHNIQUE, INCLUDING MINIMAL DISCECTOMYTO PREPARE INTERSPACE (OTHER THAN FOR DECOMPRESSION); EACH ADDITIONALINTERSPACE (LIST SEPARATELY IN ADDITION TO CODE FOR PRIMAR_x000a_INSERTION OF INTERBODY BIOMECHANICAL DEVICE(S) (EG, SYNTHETIC CAGE, MESH) WITHINTEGRAL ANTERIOR INSTRUMENTATION FOR DEVICE ANCHORING (EG, SCREWS, FLANGES),WHEN PERFORMED, TO INTERVERTEBRAL DISC SPAC_x000a_ARTHRODESIS, LATERAL EXTRACAVITARY TECHNIQUE, INCLUDING MINIMALDISCECTOMY TO PREPARE INTERSPACE (OTHER THAN FOR DECOMPRESSION); LUMBAR_x000a_STEREOTACTIC COMPUTER-ASSISTED (NAVIGATIONAL) PROCEDURE; SPINAL (LISTSEPARATELY IN ADDITION TO CODE FOR PRIMARY PROCEDURE)_x000a_ARTHRODESIS, POSTERIOR OR POSTEROLATERAL TECHNIQUE, SINGLE INTERSPACE; LUMBAR (WITH LATERAL TRANSVERSE TECHNIQUE, WHEN PERFORMED)_x000a_ARTHRODESIS, POSTERIOR OR POSTEROLATERAL TECHNIQUE, SINGLE INTERSPACE; EACH ADDITIONAL INTERSPACE (LIST SEPARATELY IN ADDITION TO CODE FOR PRIMARY PROCEDURE)_x000a_POSTERIOR SEGMENTAL INSTRUMENTATION (EG, PEDICLE FIXATION, DUAL RODSWITH MULTIPLE HOOKS AND SUBLAMINAR WIRES); 3 TO 6 VERTEBRAL SEGMENTS(LIST SEPARATELY IN ADDITION TO CODE FOR PRIMARY PROCEDURE)_x000a_LAMINECTOMY WITH EXPLORATION AND/OR DECOMPRESSION OF SPINAL CORD AND/ORCAUDA EQUINA, WITHOUT FACETECTOMY, FORAMINOTOMY OR DISCECTOMY (EG,SPINAL STENOSIS), 1 OR 2 VERTEBRAL SEGMENTS; LUMBAR, EXCEPT F_x000a_OSTEOTOMY OF SPINE, POSTER..."/>
    <s v="LUMBAR 4-SACRAL 1 ANTERIOR LUMBAR INTERBODY FUSION, LUMBAR 3-LUMBAR 4 LATERAL INTERBODY FUSION, AND LUMBAR 2-PELVIS POSTERIOR FUSION WITH LUMBAR 3-LUMBAR 5 LAMINECTOMY - N/A"/>
    <s v="Wed"/>
    <m/>
    <s v="ED/IP/IC"/>
    <m/>
    <s v="KASIR, RAFID_x000a_DIEFFENBACH, BRYAN VINSON"/>
    <s v="Panel 1: Dr. Kasir, Rafid, MD / Dieffenbach, Bryan Vinson, MD"/>
    <s v="Rafid Kasir, MD"/>
    <m/>
    <s v="Kasir"/>
  </r>
  <r>
    <d v="2026-08-26T00:00:00"/>
    <s v="6566277"/>
    <s v="Clessler, John"/>
    <s v="Outpatient"/>
    <x v="1"/>
    <n v="3901435287"/>
    <s v="811087695"/>
    <d v="1954-03-09T00:00:00"/>
    <s v="Fan, Ting-Wei, MD"/>
    <s v="General"/>
    <s v="3"/>
    <d v="1899-12-30T07:30:00"/>
    <d v="1899-12-30T08:14:00"/>
    <n v="44"/>
    <d v="1899-12-30T07:30:00"/>
    <d v="1899-12-30T08:15:00"/>
    <n v="45"/>
    <d v="1899-12-30T07:30:00"/>
    <d v="1899-12-30T08:07:00"/>
    <n v="37"/>
    <d v="1899-12-30T07:52:00"/>
    <d v="1899-12-30T07:59:00"/>
    <d v="1899-12-30T08:07:00"/>
    <n v="37"/>
    <n v="7"/>
    <d v="1899-12-30T08:10:00"/>
    <d v="1899-12-30T09:29:00"/>
    <n v="79"/>
    <d v="1899-12-30T09:30:00"/>
    <d v="1899-12-30T09:45:22"/>
    <n v="15"/>
    <s v="SHME OR 15"/>
    <s v="Urology"/>
    <s v="Yes"/>
    <s v="Salem, Carol Elizabeth, Md"/>
    <s v="CYSTOURETHROSCOPY, WITH BIOPSY(S)_x000a_BLADDER INSTILLATION OF ANTICARCINOGENIC AGENT (INCLUDING RETENTIONTIME)"/>
    <s v="CYSTOSCOPY,BLADDER BIOPSY WITH GEMCITABINE BLADDER INSTILLATION - N/A"/>
    <s v="Wed"/>
    <m/>
    <m/>
    <m/>
    <s v="SALEM, CAROL ELIZABETH"/>
    <m/>
    <s v="Carol Elizabeth Salem, MD"/>
    <m/>
    <s v="Salem"/>
  </r>
  <r>
    <d v="2026-08-26T00:00:00"/>
    <s v="6582468"/>
    <s v="Fimbres Romero, Jose J"/>
    <s v="Inpatient"/>
    <x v="0"/>
    <n v="3901438623"/>
    <s v="701061826"/>
    <d v="1952-01-07T00:00:00"/>
    <s v="Julian, Jeric Israel Burguillos, DO"/>
    <s v="General"/>
    <s v="3"/>
    <d v="1899-12-30T10:22:00"/>
    <d v="1899-12-30T13:40:00"/>
    <n v="198"/>
    <d v="1899-12-30T10:30:00"/>
    <d v="1899-12-30T13:30:00"/>
    <n v="180"/>
    <d v="1899-12-30T10:22:00"/>
    <d v="1899-12-30T13:35:00"/>
    <n v="193"/>
    <d v="1899-12-30T10:55:00"/>
    <d v="1899-12-30T13:26:00"/>
    <d v="1899-12-30T13:35:00"/>
    <n v="193"/>
    <n v="151"/>
    <d v="1899-12-30T13:40:59"/>
    <d v="1899-12-30T16:15:00"/>
    <n v="155"/>
    <m/>
    <m/>
    <m/>
    <s v="SHME OR 07"/>
    <s v="General"/>
    <s v="No"/>
    <s v="Dieffenbach, Bryan Vinson, Md"/>
    <s v="THROMBOENDARTERECTOMY, INCLUDING PATCH GRAFT, IF PERFORMED; COMMONFEMORAL"/>
    <s v="LEFT FEMORAL ENDARTERECTOMY WITH RETROGRADE ILIAC ANGIOPLASTY AND STENTING - Left"/>
    <s v="Wed"/>
    <m/>
    <m/>
    <m/>
    <s v="DIEFFENBACH, BRYAN VINSON"/>
    <m/>
    <s v="Bryan Vinson Dieffenbach, MD"/>
    <m/>
    <s v="Dieffenbach"/>
  </r>
  <r>
    <d v="2026-08-26T00:00:00"/>
    <s v="6598301"/>
    <s v="Ritchie, Julia"/>
    <s v="Outpatient"/>
    <x v="1"/>
    <n v="3901442073"/>
    <s v="811477326"/>
    <d v="1990-12-06T00:00:00"/>
    <s v="Chung, Michelle Sheryl, MD"/>
    <s v="General"/>
    <s v="2"/>
    <d v="1899-12-30T08:50:00"/>
    <d v="1899-12-30T10:24:00"/>
    <n v="94"/>
    <d v="1899-12-30T10:00:00"/>
    <d v="1899-12-30T11:30:00"/>
    <n v="90"/>
    <d v="1899-12-30T08:50:00"/>
    <d v="1899-12-30T10:19:00"/>
    <n v="89"/>
    <d v="1899-12-30T09:15:00"/>
    <d v="1899-12-30T10:05:00"/>
    <d v="1899-12-30T10:19:00"/>
    <n v="89"/>
    <n v="50"/>
    <d v="1899-12-30T10:23:00"/>
    <d v="1899-12-30T11:00:00"/>
    <n v="37"/>
    <d v="1899-12-30T11:01:00"/>
    <d v="1899-12-30T12:25:00"/>
    <n v="84"/>
    <s v="SHME OR 10"/>
    <s v="ENT"/>
    <s v="No"/>
    <s v="Brumund, Kevin Thomas, Md"/>
    <s v="TOTAL THYROID LOBECTOMY, UNILATERAL; WITH OR WITHOUT ISTHMUSECTOMY"/>
    <s v="LEFT THYROID LOBECTOMY - Left"/>
    <s v="Wed"/>
    <m/>
    <m/>
    <m/>
    <s v="BRUMUND, KEVIN THOMAS"/>
    <m/>
    <s v="Kevin Thomas Brumund, MD"/>
    <m/>
    <s v="Brumund"/>
  </r>
  <r>
    <d v="2026-08-26T00:00:00"/>
    <s v="6604057"/>
    <s v="Rojas, Pablo A"/>
    <s v="Outpatient"/>
    <x v="1"/>
    <n v="3901442949"/>
    <s v="700496172"/>
    <d v="1953-07-07T00:00:00"/>
    <s v="Fan, Ting-Wei, MD"/>
    <s v="General"/>
    <s v="3"/>
    <d v="1899-12-30T08:53:00"/>
    <d v="1899-12-30T09:39:00"/>
    <n v="46"/>
    <d v="1899-12-30T08:45:00"/>
    <d v="1899-12-30T09:45:00"/>
    <n v="60"/>
    <d v="1899-12-30T08:53:00"/>
    <d v="1899-12-30T09:31:00"/>
    <n v="38"/>
    <d v="1899-12-30T09:07:00"/>
    <d v="1899-12-30T09:23:00"/>
    <d v="1899-12-30T09:31:00"/>
    <n v="38"/>
    <n v="16"/>
    <d v="1899-12-30T09:40:19"/>
    <d v="1899-12-30T10:26:00"/>
    <n v="46"/>
    <d v="1899-12-30T10:26:00"/>
    <d v="1899-12-30T10:36:00"/>
    <n v="10"/>
    <s v="SHME OR 15"/>
    <s v="ENT"/>
    <s v="No"/>
    <s v="Miya, Gary Yuhei, Md"/>
    <s v="ESOPHAGOSCOPY, FLEXIBLE, TRANSORAL; WITH TRANSENDOSCOPIC BALLOONDILATION (LESS THAN 30 MM DIAMETER)"/>
    <s v="ESOPHAGOSCOPY WITH BALLOON DILATION - N/A"/>
    <s v="Wed"/>
    <m/>
    <m/>
    <m/>
    <s v="MIYA, GARY YUHEI"/>
    <m/>
    <s v="Gary Yuhei Miya, MD"/>
    <m/>
    <s v="Miya"/>
  </r>
  <r>
    <d v="2026-08-26T00:00:00"/>
    <s v="6609841"/>
    <s v="Hong, Judy D"/>
    <s v="Outpatient"/>
    <x v="1"/>
    <n v="3901444567"/>
    <s v="700629170"/>
    <d v="1955-12-05T00:00:00"/>
    <s v="Chung, Michelle Sheryl, MD"/>
    <s v="General"/>
    <s v="2"/>
    <d v="1899-12-30T10:55:00"/>
    <d v="1899-12-30T11:55:00"/>
    <n v="60"/>
    <d v="1899-12-30T11:00:00"/>
    <d v="1899-12-30T12:30:00"/>
    <n v="90"/>
    <d v="1899-12-30T10:55:00"/>
    <d v="1899-12-30T11:50:00"/>
    <n v="55"/>
    <d v="1899-12-30T11:17:00"/>
    <d v="1899-12-30T11:45:00"/>
    <d v="1899-12-30T11:50:00"/>
    <n v="55"/>
    <n v="28"/>
    <d v="1899-12-30T11:56:30"/>
    <d v="1899-12-30T13:14:00"/>
    <n v="78"/>
    <d v="1899-12-30T13:15:00"/>
    <d v="1899-12-30T13:29:22"/>
    <n v="14"/>
    <s v="SHME OR 10"/>
    <s v="ENT"/>
    <s v="Yes"/>
    <s v="Brumund, Kevin Thomas, Md"/>
    <s v="PARATHYROIDECTOMY OR EXPLORATION OF PARATHYROID(S);"/>
    <s v="PARATHYROIDECTOMY - N/A"/>
    <s v="Wed"/>
    <m/>
    <m/>
    <m/>
    <s v="BRUMUND, KEVIN THOMAS"/>
    <m/>
    <s v="Kevin Thomas Brumund, MD"/>
    <m/>
    <s v="Brumund"/>
  </r>
  <r>
    <d v="2026-08-26T00:00:00"/>
    <s v="6611513"/>
    <s v="Hoermann, Bill D"/>
    <s v="Outpatient"/>
    <x v="1"/>
    <n v="3901444320"/>
    <s v="610993311"/>
    <d v="1938-12-08T00:00:00"/>
    <s v="Julian, Jeric Israel Burguillos, DO"/>
    <s v="General"/>
    <s v="3"/>
    <d v="1899-12-30T14:22:00"/>
    <d v="1899-12-30T16:15:00"/>
    <n v="113"/>
    <d v="1899-12-30T14:00:00"/>
    <d v="1899-12-30T17:00:00"/>
    <n v="180"/>
    <d v="1899-12-30T14:22:00"/>
    <d v="1899-12-30T16:10:00"/>
    <n v="108"/>
    <d v="1899-12-30T14:52:00"/>
    <d v="1899-12-30T16:05:00"/>
    <d v="1899-12-30T16:10:00"/>
    <n v="108"/>
    <n v="73"/>
    <d v="1899-12-30T16:13:00"/>
    <d v="1899-12-30T17:16:12"/>
    <n v="63"/>
    <d v="1899-12-30T17:16:14"/>
    <d v="1899-12-30T17:34:01"/>
    <n v="18"/>
    <s v="SHME OR 07"/>
    <s v="General"/>
    <s v="No"/>
    <s v="Dieffenbach, Bryan Vinson, Md"/>
    <s v="REVISION, OPEN, ARTERIOVENOUS FISTULA; WITHOUT THROMBECTOMY, AUTOGENOUSOR NONAUTOGENOUS DIALYSIS GRAFT (SEPARATE PROCEDURE)"/>
    <s v="REVISION LEFT THIGH ARTERIOVENOUS GRAFT, POSSIBLE ANGIOGRAM - Left"/>
    <s v="Wed"/>
    <m/>
    <m/>
    <m/>
    <s v="DIEFFENBACH, BRYAN VINSON"/>
    <m/>
    <s v="Bryan Vinson Dieffenbach, MD"/>
    <m/>
    <s v="Dieffenbach"/>
  </r>
  <r>
    <d v="2026-08-26T00:00:00"/>
    <s v="6627546"/>
    <s v="Clark, Caroline"/>
    <s v="Inpatient"/>
    <x v="0"/>
    <n v="3901447612"/>
    <s v="100450276"/>
    <d v="1938-10-09T00:00:00"/>
    <s v="Rayan, Hany A, MD"/>
    <s v="Regional"/>
    <s v="3"/>
    <d v="1899-12-30T08:48:00"/>
    <d v="1899-12-30T12:42:00"/>
    <n v="234"/>
    <d v="1899-12-30T09:00:00"/>
    <d v="1899-12-30T12:00:00"/>
    <n v="180"/>
    <d v="1899-12-30T08:48:00"/>
    <d v="1899-12-30T12:36:00"/>
    <n v="228"/>
    <d v="1899-12-30T09:23:00"/>
    <d v="1899-12-30T12:30:00"/>
    <d v="1899-12-30T12:36:00"/>
    <n v="228"/>
    <n v="187"/>
    <d v="1899-12-30T12:37:31"/>
    <d v="1899-12-30T12:54:00"/>
    <n v="17"/>
    <m/>
    <m/>
    <m/>
    <s v="SHME OR 09"/>
    <s v="General"/>
    <s v="No"/>
    <s v="Giurgiu, Dan I.N., Md"/>
    <s v="REPAIR OF ANTERIOR ABDOMINAL HERNIA(S) (IE, EPIGASTRIC, INCISIONAL, VENTRAL, UMBILICAL, SPIGELIAN), ANY APPROACH (IE, OPEN, LAPAROSCOPIC, ROBOTIC), INITIAL, INCLUDING IMPLANTATION OF MESH OR OTHER"/>
    <s v="ROBOTIC REPAIR OF INCISIONAL/ VENTRAL HERNIA WITH MESH AND LYSIS OF ADHESIONS, POSSIBLE OPEN. - N/A"/>
    <s v="Wed"/>
    <m/>
    <s v="ED/IP/IC"/>
    <m/>
    <s v="GIURGIU, DAN I.N."/>
    <m/>
    <s v="Dan I.N. Giurgiu, MD (619-330-8330)"/>
    <m/>
    <s v="Giurgiu"/>
  </r>
  <r>
    <d v="2026-08-26T00:00:00"/>
    <s v="6631928"/>
    <s v="Donofrio, Sandra A"/>
    <s v="Outpatient"/>
    <x v="1"/>
    <n v="3901448389"/>
    <s v="700950338"/>
    <d v="1969-08-27T00:00:00"/>
    <s v="Luu, Tiffany, MD"/>
    <s v="General"/>
    <s v="2"/>
    <d v="1899-12-30T07:46:00"/>
    <d v="1899-12-30T08:51:00"/>
    <n v="65"/>
    <d v="1899-12-30T07:30:00"/>
    <d v="1899-12-30T08:15:00"/>
    <n v="45"/>
    <d v="1899-12-30T07:46:00"/>
    <d v="1899-12-30T08:47:00"/>
    <n v="61"/>
    <d v="1899-12-30T07:59:00"/>
    <d v="1899-12-30T08:41:00"/>
    <d v="1899-12-30T08:47:00"/>
    <n v="61"/>
    <n v="42"/>
    <d v="1899-12-30T08:50:00"/>
    <d v="1899-12-30T09:16:00"/>
    <n v="26"/>
    <d v="1899-12-30T09:16:00"/>
    <d v="1899-12-30T09:35:00"/>
    <n v="19"/>
    <s v="SHME OR 16"/>
    <s v="General"/>
    <s v="No"/>
    <s v="Langenberg, Bret James, Do"/>
    <s v="EXCISION, TUMOR, SOFT TISSUE OF BACK OR FLANK, SUBCUTANEOUS; LESS THAN 3CM"/>
    <s v="EXCISIONAL BIOPSY SOFT TISSUE MASSES FROM THE BACK - N/A"/>
    <s v="Wed"/>
    <m/>
    <m/>
    <m/>
    <s v="LANGENBERG, BRET JAMES"/>
    <m/>
    <s v="Bret James Langenberg, DO"/>
    <m/>
    <s v="Langenberg"/>
  </r>
  <r>
    <d v="2026-08-26T00:00:00"/>
    <s v="6633138"/>
    <s v="Mitchell, Michael D"/>
    <s v="Outpatient"/>
    <x v="1"/>
    <n v="3901448618"/>
    <s v="811482354"/>
    <d v="1969-06-08T00:00:00"/>
    <s v="Patel, Lance Kirit, MD"/>
    <s v="General"/>
    <s v="3"/>
    <d v="1899-12-30T07:31:00"/>
    <d v="1899-12-30T09:39:00"/>
    <n v="128"/>
    <d v="1899-12-30T07:30:00"/>
    <d v="1899-12-30T09:30:00"/>
    <n v="120"/>
    <d v="1899-12-30T07:31:00"/>
    <d v="1899-12-30T09:29:00"/>
    <n v="118"/>
    <d v="1899-12-30T07:50:00"/>
    <d v="1899-12-30T09:25:00"/>
    <d v="1899-12-30T09:29:00"/>
    <n v="118"/>
    <n v="95"/>
    <d v="1899-12-30T09:31:39"/>
    <d v="1899-12-30T10:01:53"/>
    <n v="30"/>
    <d v="1899-12-30T10:01:54"/>
    <d v="1899-12-30T11:15:52"/>
    <n v="74"/>
    <s v="SHME OR 02"/>
    <s v="Podiatry"/>
    <s v="No"/>
    <s v="Do, Ruth Nguyen, Dpm"/>
    <s v="CORRECTION, HAMMERTOE (EG, INTERPHALANGEAL FUSION, PARTIAL OR TOTALPHALANGECTOMY)"/>
    <s v="HAMMERTOE CORRECTION, LEFT FIRST-SECOND TOES - Left"/>
    <s v="Wed"/>
    <m/>
    <m/>
    <m/>
    <s v="DO, RUTH NGUYEN_x000a_SCHNEIDER, SARAH ASHLEY"/>
    <s v="Panel 1: Dr. Do, Ruth Nguyen, DPM / Schneider, Sarah Ashley, DPM"/>
    <s v="Ruth Nguyen Do, DPM"/>
    <m/>
    <s v="Do"/>
  </r>
  <r>
    <d v="2026-08-26T00:00:00"/>
    <s v="6448924"/>
    <s v="Clark, Eric W"/>
    <s v="Inpatient"/>
    <x v="0"/>
    <n v="3901413757"/>
    <s v="700085172"/>
    <d v="1977-07-11T00:00:00"/>
    <s v="Patel, Lance Kirit, MD"/>
    <s v="Regional"/>
    <s v="2"/>
    <d v="1899-12-30T13:27:00"/>
    <d v="1899-12-30T16:14:00"/>
    <n v="167"/>
    <d v="1899-12-30T13:00:00"/>
    <d v="1899-12-30T15:15:00"/>
    <n v="135"/>
    <d v="1899-12-30T13:27:00"/>
    <d v="1899-12-30T16:04:00"/>
    <n v="157"/>
    <d v="1899-12-30T13:51:00"/>
    <d v="1899-12-30T16:01:00"/>
    <d v="1899-12-30T16:04:00"/>
    <n v="157"/>
    <n v="130"/>
    <d v="1899-12-30T16:07:19"/>
    <d v="1899-12-30T16:44:00"/>
    <n v="37"/>
    <m/>
    <m/>
    <m/>
    <s v="SHME OR 03"/>
    <s v="Orthopedics"/>
    <s v="No"/>
    <s v="Kuhn, Kevin Matthew, Md"/>
    <s v="ARTHROPLASTY, ACETABULAR AND PROXIMAL FEMORAL PROSTHETIC REPLACEMENT(TOTAL HIP ARTHROPLASTY), WITH OR WITHOUT AUTOGRAFT OR ALLOGRAFT"/>
    <s v="RIGHT TOTAL HIP REPLACEMENT - Right"/>
    <s v="Wed"/>
    <m/>
    <m/>
    <m/>
    <s v="KUHN, KEVIN MATTHEW_x000a_QUACINELLA, MICHAEL ANDREW"/>
    <s v="Panel 1: Dr. Kuhn, Kevin Matthew, MD / Quacinella, Michael Andrew, DO, MPH"/>
    <s v="Kevin Matthew Kuhn, MD"/>
    <m/>
    <s v="Kuhn"/>
  </r>
  <r>
    <d v="2026-08-26T00:00:00"/>
    <s v="6633720"/>
    <s v="Cutino, Ana L"/>
    <s v="Outpatient"/>
    <x v="1"/>
    <n v="3901448709"/>
    <s v="811052368"/>
    <d v="1956-07-10T00:00:00"/>
    <s v="Patel, Lance Kirit, MD"/>
    <s v="General"/>
    <s v="3"/>
    <d v="1899-12-30T10:05:00"/>
    <d v="1899-12-30T11:36:00"/>
    <n v="91"/>
    <d v="1899-12-30T10:00:00"/>
    <d v="1899-12-30T12:00:00"/>
    <n v="120"/>
    <d v="1899-12-30T10:05:00"/>
    <d v="1899-12-30T11:26:00"/>
    <n v="81"/>
    <d v="1899-12-30T10:29:00"/>
    <d v="1899-12-30T11:23:00"/>
    <d v="1899-12-30T11:26:00"/>
    <n v="81"/>
    <n v="54"/>
    <d v="1899-12-30T11:28:50"/>
    <d v="1899-12-30T11:59:21"/>
    <n v="31"/>
    <d v="1899-12-30T12:00:00"/>
    <d v="1899-12-30T12:57:13"/>
    <n v="57"/>
    <s v="SHME OR 02"/>
    <s v="Podiatry"/>
    <s v="Yes"/>
    <s v="Schneider, Sarah Ashley, Dpm"/>
    <s v="CORRECTION, HALLUX VALGUS WITH BUNIONECTOMY, WITH SESAMOIDECTOMY WHEN PERFORMED; WITH RESECTION OF PROXIMAL PHALANX BASE, WHEN PERFORMED, ANY METHOD"/>
    <s v="KELLER/ MCBRIDE BUNIONECTOMY, LEFT FOOT. - Left"/>
    <s v="Wed"/>
    <m/>
    <m/>
    <m/>
    <s v="SCHNEIDER, SARAH ASHLEY_x000a_DO, RUTH NGUYEN"/>
    <s v="Panel 1: Dr. Schneider, Sarah Ashley, DPM / Do, Ruth Nguyen, DPM"/>
    <s v="Sarah Ashley Schneider, DPM"/>
    <m/>
    <s v="Schneider"/>
  </r>
  <r>
    <d v="2026-08-26T00:00:00"/>
    <s v="6635724"/>
    <s v="Moran, Graciela"/>
    <s v="Outpatient"/>
    <x v="1"/>
    <n v="3901449083"/>
    <s v="612596411"/>
    <d v="1947-01-07T00:00:00"/>
    <s v="Luu, Tiffany, MD"/>
    <s v="General"/>
    <s v="3"/>
    <d v="1899-12-30T09:21:00"/>
    <d v="1899-12-30T10:04:00"/>
    <n v="43"/>
    <d v="1899-12-30T08:45:00"/>
    <d v="1899-12-30T09:30:00"/>
    <n v="45"/>
    <d v="1899-12-30T09:21:00"/>
    <d v="1899-12-30T10:00:00"/>
    <n v="39"/>
    <d v="1899-12-30T09:40:00"/>
    <d v="1899-12-30T09:52:00"/>
    <d v="1899-12-30T10:00:00"/>
    <n v="39"/>
    <n v="12"/>
    <d v="1899-12-30T10:05:20"/>
    <d v="1899-12-30T11:15:00"/>
    <n v="70"/>
    <d v="1899-12-30T11:15:00"/>
    <d v="1899-12-30T11:35:06"/>
    <n v="20"/>
    <s v="SHME OR 16"/>
    <s v="General"/>
    <s v="Yes"/>
    <s v="Langenberg, Bret James, Do"/>
    <s v="LAPAROSCOPY, SURGICAL; WITH INSERTION OF TUNNELED INTRAPERITONEALCATHETER"/>
    <s v="LAPAROSCOPIC PLACEMENT OF PERITONEAL DIALYSIS CATHETER - N/A"/>
    <s v="Wed"/>
    <m/>
    <m/>
    <m/>
    <s v="LANGENBERG, BRET JAMES"/>
    <m/>
    <s v="Bret James Langenberg, DO"/>
    <m/>
    <s v="Langenberg"/>
  </r>
  <r>
    <d v="2026-08-26T00:00:00"/>
    <s v="6639975"/>
    <s v="Vieceli, Carrie"/>
    <s v="Outpatient"/>
    <x v="1"/>
    <n v="3901450514"/>
    <s v="811104394"/>
    <d v="1975-04-08T00:00:00"/>
    <s v="Chung, Michelle Sheryl, MD"/>
    <s v="General"/>
    <s v="2"/>
    <d v="1899-12-30T14:11:00"/>
    <d v="1899-12-30T14:49:00"/>
    <n v="38"/>
    <d v="1899-12-30T14:15:00"/>
    <d v="1899-12-30T17:00:00"/>
    <n v="165"/>
    <d v="1899-12-30T14:11:00"/>
    <d v="1899-12-30T14:44:00"/>
    <n v="33"/>
    <d v="1899-12-30T14:25:00"/>
    <d v="1899-12-30T14:38:00"/>
    <d v="1899-12-30T14:44:00"/>
    <n v="33"/>
    <n v="13"/>
    <d v="1899-12-30T14:49:33"/>
    <d v="1899-12-30T16:15:00"/>
    <n v="86"/>
    <d v="1899-12-30T16:15:00"/>
    <d v="1899-12-30T16:45:20"/>
    <n v="30"/>
    <s v="SHME OR 10"/>
    <s v="ENT"/>
    <s v="No"/>
    <s v="Brumund, Kevin Thomas, Md"/>
    <s v="GLOSSECTOMY; LESS THAN ONE-HALF TONGUE"/>
    <s v="LEFT PARTIAL GLOSSECTOMY - Left"/>
    <s v="Wed"/>
    <m/>
    <m/>
    <m/>
    <s v="BRUMUND, KEVIN THOMAS"/>
    <m/>
    <s v="Kevin Thomas Brumund, MD"/>
    <m/>
    <s v="Brumund"/>
  </r>
  <r>
    <d v="2026-08-26T00:00:00"/>
    <s v="6643543"/>
    <s v="Allen, Elaine"/>
    <s v="Outpatient"/>
    <x v="1"/>
    <n v="3901451456"/>
    <s v="701469889"/>
    <d v="1950-10-13T00:00:00"/>
    <s v="Chung, Michelle Sheryl, MD"/>
    <s v="General"/>
    <s v="3"/>
    <d v="1899-12-30T12:24:00"/>
    <d v="1899-12-30T13:49:00"/>
    <n v="85"/>
    <d v="1899-12-30T12:15:00"/>
    <d v="1899-12-30T13:45:00"/>
    <n v="90"/>
    <d v="1899-12-30T12:22:00"/>
    <d v="1899-12-30T13:44:00"/>
    <n v="82"/>
    <d v="1899-12-30T12:47:00"/>
    <d v="1899-12-30T13:38:00"/>
    <d v="1899-12-30T13:44:00"/>
    <n v="82"/>
    <n v="51"/>
    <d v="1899-12-30T13:58:50"/>
    <d v="1899-12-30T17:01:00"/>
    <n v="183"/>
    <d v="1899-12-30T17:01:00"/>
    <d v="1899-12-30T17:38:54"/>
    <n v="37"/>
    <s v="SHME OR 10"/>
    <s v="ENT"/>
    <s v="Yes"/>
    <s v="Brumund, Kevin Thomas, Md"/>
    <s v="PARATHYROIDECTOMY OR EXPLORATION OF PARATHYROID(S); RE-EXPLORATION"/>
    <s v="REVISION PARATHYROIDECTOMY - N/A"/>
    <s v="Wed"/>
    <m/>
    <m/>
    <m/>
    <s v="BRUMUND, KEVIN THOMAS"/>
    <m/>
    <s v="Kevin Thomas Brumund, MD"/>
    <m/>
    <s v="Brumund"/>
  </r>
  <r>
    <d v="2026-08-26T00:00:00"/>
    <s v="6644744"/>
    <s v="Houghtaling, Kathe K"/>
    <s v="Outpatient"/>
    <x v="1"/>
    <n v="3901452454"/>
    <s v="605190401"/>
    <d v="1946-05-12T00:00:00"/>
    <s v="Fan, Ting-Wei, MD"/>
    <s v="General"/>
    <s v="2"/>
    <d v="1899-12-30T10:20:00"/>
    <d v="1899-12-30T11:50:00"/>
    <n v="90"/>
    <d v="1899-12-30T10:15:00"/>
    <d v="1899-12-30T11:45:00"/>
    <n v="90"/>
    <d v="1899-12-30T10:20:00"/>
    <d v="1899-12-30T11:50:00"/>
    <n v="90"/>
    <d v="1899-12-30T10:54:00"/>
    <d v="1899-12-30T11:46:00"/>
    <d v="1899-12-30T11:50:00"/>
    <n v="90"/>
    <n v="52"/>
    <d v="1899-12-30T11:53:30"/>
    <d v="1899-12-30T12:36:00"/>
    <n v="43"/>
    <d v="1899-12-30T12:36:00"/>
    <d v="1899-12-30T13:00:00"/>
    <n v="24"/>
    <s v="SHME OR 15"/>
    <s v="Gynecology"/>
    <s v="No"/>
    <s v="Sandoval, Rebeca, Md"/>
    <s v="LAPAROSCOPY, SURGICAL; WITH REMOVAL OF ADNEXAL STRUCTURES (PARTIAL ORTOTAL OOPHORECTOMY AND/OR SALPINGECTOMY)"/>
    <s v="LAPAROSCOPIC BILATERAL OVARIAN SALPINGO-OOPHORECTOMY - Bilateral"/>
    <s v="Wed"/>
    <m/>
    <m/>
    <m/>
    <s v="SANDOVAL, REBECA"/>
    <m/>
    <s v="Rebeca Sandoval, MD"/>
    <m/>
    <s v="Sandoval"/>
  </r>
  <r>
    <d v="2026-08-26T00:00:00"/>
    <s v="6648456"/>
    <s v="Murad, Roger D"/>
    <s v="Outpatient"/>
    <x v="1"/>
    <n v="3901451591"/>
    <s v="608018529"/>
    <d v="1944-09-16T00:00:00"/>
    <s v="Rayan, Hany A, MD"/>
    <s v="General"/>
    <s v="2"/>
    <d v="1899-12-30T13:24:00"/>
    <d v="1899-12-30T15:45:00"/>
    <n v="141"/>
    <d v="1899-12-30T12:30:00"/>
    <d v="1899-12-30T15:15:00"/>
    <n v="165"/>
    <d v="1899-12-30T13:24:00"/>
    <d v="1899-12-30T15:39:00"/>
    <n v="135"/>
    <d v="1899-12-30T13:49:00"/>
    <d v="1899-12-30T15:32:00"/>
    <d v="1899-12-30T15:39:00"/>
    <n v="135"/>
    <n v="103"/>
    <d v="1899-12-30T15:43:00"/>
    <d v="1899-12-30T16:44:00"/>
    <n v="61"/>
    <d v="1899-12-30T16:45:00"/>
    <d v="1899-12-30T17:45:00"/>
    <n v="60"/>
    <s v="SHME OR 09"/>
    <s v="General"/>
    <s v="No"/>
    <s v="Giurgiu, Dan I.N., Md"/>
    <s v="LAPAROSCOPY, SURGICAL; REPAIR INITIAL INGUINAL HERNIA"/>
    <s v="ROBOTIC REPAIR OF RECURRENT LEFT INGUINAL HERNIA WITH MESH, POSSIBLE BILATERAL, POSSIBLE OPEN. - Left"/>
    <s v="Wed"/>
    <m/>
    <m/>
    <m/>
    <s v="GIURGIU, DAN I.N."/>
    <m/>
    <s v="Dan I.N. Giurgiu, MD (619-330-8330)"/>
    <m/>
    <s v="Giurgiu"/>
  </r>
  <r>
    <d v="2026-08-26T00:00:00"/>
    <s v="6661747"/>
    <s v="Castelhano, Jason"/>
    <s v="Outpatient"/>
    <x v="1"/>
    <n v="3901454813"/>
    <s v="810022963"/>
    <d v="1980-12-01T00:00:00"/>
    <s v="Chung, Michelle Sheryl, MD"/>
    <s v="General"/>
    <s v="2"/>
    <d v="1899-12-30T07:20:00"/>
    <d v="1899-12-30T08:25:00"/>
    <n v="65"/>
    <d v="1899-12-30T07:30:00"/>
    <d v="1899-12-30T09:30:00"/>
    <n v="120"/>
    <d v="1899-12-30T07:20:00"/>
    <d v="1899-12-30T08:20:00"/>
    <n v="60"/>
    <d v="1899-12-30T07:37:00"/>
    <d v="1899-12-30T08:10:00"/>
    <d v="1899-12-30T08:20:00"/>
    <n v="60"/>
    <n v="33"/>
    <d v="1899-12-30T08:21:00"/>
    <d v="1899-12-30T09:00:00"/>
    <n v="39"/>
    <d v="1899-12-30T09:15:00"/>
    <d v="1899-12-30T10:05:43"/>
    <n v="50"/>
    <s v="SHME OR 10"/>
    <s v="ENT"/>
    <s v="No"/>
    <s v="Brumund, Kevin Thomas, Md"/>
    <s v="LARYNGOSCOPY DIRECT, WITH OR WITHOUT TRACHEOSCOPY; DIAGNOSTIC, EXCEPTNEWBORN_x000a_LARYNGOSCOPY, DIRECT, OPERATIVE, WITH BIOPSY;_x000a_TONSILLECTOMY, PRIMARY OR SECONDARY; AGE 12 OR OVER_x000a_EXCISION OR DESTRUCTION LINGUAL TONSIL, ANY METHOD (SEPARATE PROCEDURE)"/>
    <s v="EXAM UNDER ANESTHESIA, DIRECT LARYNGOSCOPY WITH BIOPSY - N/A"/>
    <s v="Wed"/>
    <m/>
    <m/>
    <m/>
    <s v="BRUMUND, KEVIN THOMAS"/>
    <m/>
    <s v="Kevin Thomas Brumund, MD"/>
    <m/>
    <s v="Brumund"/>
  </r>
  <r>
    <d v="2026-08-26T00:00:00"/>
    <s v="6664095"/>
    <s v="Torres, Victor A"/>
    <s v="Inpatient"/>
    <x v="0"/>
    <n v="3901454478"/>
    <s v="700130141"/>
    <d v="1945-11-08T00:00:00"/>
    <s v="Luu, Tiffany, MD"/>
    <s v="General"/>
    <s v="3"/>
    <d v="1899-12-30T12:38:00"/>
    <d v="1899-12-30T16:39:00"/>
    <n v="241"/>
    <d v="1899-12-30T07:30:00"/>
    <d v="1899-12-30T10:30:00"/>
    <n v="180"/>
    <d v="1899-12-30T12:38:00"/>
    <d v="1899-12-30T16:35:00"/>
    <n v="237"/>
    <d v="1899-12-30T13:34:00"/>
    <d v="1899-12-30T16:30:00"/>
    <d v="1899-12-30T16:35:00"/>
    <n v="237"/>
    <n v="176"/>
    <d v="1899-12-30T16:37:00"/>
    <d v="1899-12-30T17:21:07"/>
    <n v="44"/>
    <m/>
    <m/>
    <m/>
    <s v="SHME OR 04"/>
    <s v="Neurosurgery"/>
    <s v="Yes"/>
    <s v="Zauner, Alois, Md"/>
    <s v="SPINAL OR LATERAL RECESS STENOSIS]), SINGLE VERTEBRAL S"/>
    <s v="BILATERAL LAMINECTOMY AND DECOMPRESSION LUMBAR 3-LUMBAR 4, LUMBAR 4-LUMBAR  5, LUMBAR 5-LUMBAR 6 - Bilateral"/>
    <s v="Wed"/>
    <m/>
    <s v="ED/IP/IC"/>
    <m/>
    <s v="ZAUNER, ALOIS"/>
    <m/>
    <s v="Alois Zauner, MD"/>
    <m/>
    <s v="Zauner"/>
  </r>
  <r>
    <d v="2026-08-26T00:00:00"/>
    <s v="6679604"/>
    <s v="Switzer, Andrew J"/>
    <s v="Inpatient"/>
    <x v="0"/>
    <n v="3901459552"/>
    <s v="700153712"/>
    <d v="2004-10-02T00:00:00"/>
    <s v="Chitlur, Abhijith Harish, MD"/>
    <s v="General"/>
    <s v="2"/>
    <d v="1899-12-30T09:10:00"/>
    <d v="1899-12-30T13:14:00"/>
    <n v="244"/>
    <d v="1899-12-30T09:00:00"/>
    <d v="1899-12-30T11:00:00"/>
    <n v="120"/>
    <d v="1899-12-30T09:10:00"/>
    <d v="1899-12-30T13:07:00"/>
    <n v="237"/>
    <d v="1899-12-30T09:45:00"/>
    <d v="1899-12-30T13:00:00"/>
    <d v="1899-12-30T13:07:00"/>
    <n v="237"/>
    <n v="195"/>
    <d v="1899-12-30T13:10:00"/>
    <d v="1899-12-30T14:09:51"/>
    <n v="59"/>
    <m/>
    <m/>
    <m/>
    <s v="SHME OR 06"/>
    <s v="Orthopedics"/>
    <s v="No"/>
    <s v="Quacinella, Michael Andrew, Do, Mph"/>
    <s v="CONVERSION OF PREVIOUS HIP SURGERY TO TOTAL HIP ARTHROPLASTY, WITH ORWITHOUT AUTOGRAFT OR ALLOGRAFT"/>
    <s v="SURGICAL CONVERSION OF PREVIOUS HIP SURGERY TO TOTAL HIP ARTHROPLASTY - Right"/>
    <s v="Wed"/>
    <m/>
    <m/>
    <m/>
    <s v="QUACINELLA, MICHAEL ANDREW_x000a_KUHN, KEVIN MATTHEW"/>
    <s v="Panel 1: Dr. Quacinella, Michael Andrew, DO, MPH / Kuhn, Kevin Matthew, MD"/>
    <s v="Michael Andrew Quacinella, DO, MPH"/>
    <m/>
    <s v="Quacinella"/>
  </r>
  <r>
    <d v="2026-08-26T00:00:00"/>
    <s v="6685801"/>
    <s v="Nunez Montez, Rosa"/>
    <s v="Inpatient"/>
    <x v="0"/>
    <n v="3901447021"/>
    <s v="811483435"/>
    <d v="1972-04-25T00:00:00"/>
    <s v="Chitlur, Abhijith Harish, MD"/>
    <s v="Monitor Anesthesia Care"/>
    <s v="4"/>
    <d v="1899-12-30T07:32:00"/>
    <d v="1899-12-30T08:13:00"/>
    <n v="41"/>
    <d v="1899-12-30T07:30:00"/>
    <d v="1899-12-30T08:30:00"/>
    <n v="60"/>
    <d v="1899-12-30T07:32:00"/>
    <d v="1899-12-30T08:07:00"/>
    <n v="35"/>
    <d v="1899-12-30T07:46:00"/>
    <d v="1899-12-30T07:58:00"/>
    <d v="1899-12-30T08:07:00"/>
    <n v="35"/>
    <n v="12"/>
    <d v="1899-12-30T08:10:00"/>
    <d v="1899-12-30T09:01:00"/>
    <n v="51"/>
    <m/>
    <m/>
    <m/>
    <s v="SHME OR 06"/>
    <s v="Orthopedics"/>
    <s v="No"/>
    <s v="Quacinella, Michael Andrew, Do, Mph"/>
    <s v="REMOVAL, UNDER ANESTHESIA, OF EXTERNAL FIXATION SYSTEM_x000a_MANUAL APPLICATION OF STRESS PERFORMED BY PHYSICIAN OR OTHER QUALIFIEDHEALTH CARE PROFESSIONAL FOR JOINT RADIOGRAPHY, INCLUDING CONTRALATERALJOINT IF INDICATED"/>
    <s v="REMOVAL OF EXTERNAL FIXATION RIGHT KNEE,STRESS EXAM - Right"/>
    <s v="Wed"/>
    <m/>
    <s v="ED/IP/IC"/>
    <m/>
    <s v="QUACINELLA, MICHAEL ANDREW"/>
    <m/>
    <s v="Michael Andrew Quacinella, DO, MPH"/>
    <m/>
    <s v="Quacinella"/>
  </r>
  <r>
    <d v="2026-08-26T00:00:00"/>
    <s v="6686320"/>
    <s v="Gotell, Theresa L"/>
    <s v="Inpatient"/>
    <x v="0"/>
    <n v="3901457322"/>
    <s v="100862234"/>
    <d v="1973-04-05T00:00:00"/>
    <s v="Luu, Tiffany, MD"/>
    <s v="General"/>
    <s v="3"/>
    <d v="1899-12-30T10:38:00"/>
    <d v="1899-12-30T11:22:00"/>
    <n v="44"/>
    <d v="1899-12-30T10:00:00"/>
    <d v="1899-12-30T10:45:00"/>
    <n v="45"/>
    <d v="1899-12-30T10:38:00"/>
    <d v="1899-12-30T11:19:00"/>
    <n v="41"/>
    <d v="1899-12-30T10:56:00"/>
    <d v="1899-12-30T11:13:00"/>
    <d v="1899-12-30T11:19:00"/>
    <n v="41"/>
    <n v="17"/>
    <d v="1899-12-30T11:23:31"/>
    <d v="1899-12-30T11:46:00"/>
    <n v="23"/>
    <m/>
    <m/>
    <m/>
    <s v="SHME OR 16"/>
    <s v="General"/>
    <s v="No"/>
    <s v="Langenberg, Bret James, Do"/>
    <s v="LAPAROSCOPY, SURGICAL; WITH REVISION OF PREVIOUSLY PLACEDINTRAPERITONEAL CANNULA OR CATHETER, WITH REMOVAL OF INTRALUMINALOBSTRUCTIVE MATERIAL IF PERFORMED"/>
    <s v="LAPAROSCOPIC PERITONEAL DIALYSIS CATHETER REVISION - N/A"/>
    <s v="Wed"/>
    <m/>
    <m/>
    <m/>
    <s v="LANGENBERG, BRET JAMES"/>
    <m/>
    <s v="Bret James Langenberg, DO"/>
    <m/>
    <s v="Langenberg"/>
  </r>
  <r>
    <d v="2026-08-26T00:00:00"/>
    <s v="6690417"/>
    <s v="Wright, Michael"/>
    <s v="Inpatient"/>
    <x v="0"/>
    <n v="3901459071"/>
    <s v="110151626"/>
    <d v="1955-09-16T00:00:00"/>
    <s v="Chung, Michelle Sheryl, MD"/>
    <s v="General"/>
    <s v="2"/>
    <d v="1899-12-30T15:31:00"/>
    <d v="1899-12-30T16:56:00"/>
    <n v="85"/>
    <d v="1899-12-30T15:00:00"/>
    <d v="1899-12-30T16:30:00"/>
    <n v="90"/>
    <d v="1899-12-30T15:31:00"/>
    <d v="1899-12-30T16:53:00"/>
    <n v="82"/>
    <d v="1899-12-30T15:50:00"/>
    <d v="1899-12-30T16:50:00"/>
    <d v="1899-12-30T16:53:00"/>
    <n v="82"/>
    <n v="60"/>
    <d v="1899-12-30T16:59:05"/>
    <d v="1899-12-30T17:36:00"/>
    <n v="37"/>
    <m/>
    <m/>
    <m/>
    <s v="SHME OR 06"/>
    <s v="Podiatry"/>
    <s v="No"/>
    <s v="Brookshier, Trent Rockne, Dpm"/>
    <s v="OPEN TREATMENT OF FRACTURE, GREAT TOE, PHALANX OR PHALANGES, INCLUDESINTERNAL FIXATION, WHEN PERFORMED_x000a_ARTHRODESIS, GREAT TOE; INTERPHALANGEAL JOINT"/>
    <s v="OPEN TREATMENT OF FRACTURE, GREAT TOE, PHALANX OR PHALANGES, INCLUDESINTERNAL FIXATION, WHEN PERFORMED - Left"/>
    <s v="Wed"/>
    <m/>
    <m/>
    <m/>
    <s v="BROOKSHIER, TRENT ROCKNE"/>
    <m/>
    <s v="Trent Rockne Brookshier, DPM"/>
    <m/>
    <s v="Brookshier"/>
  </r>
  <r>
    <d v="2026-08-26T00:00:00"/>
    <s v="6690590"/>
    <s v="Cegueda Campos, Arnold"/>
    <s v="Inpatient"/>
    <x v="0"/>
    <n v="3901457161"/>
    <s v="811491222"/>
    <d v="1975-01-23T00:00:00"/>
    <s v="Chung, Michelle Sheryl, MD"/>
    <s v="Monitor Anesthesia Care"/>
    <s v="3"/>
    <d v="1899-12-30T17:18:00"/>
    <d v="1899-12-30T18:23:00"/>
    <n v="65"/>
    <d v="1899-12-30T17:15:00"/>
    <d v="1899-12-30T18:00:00"/>
    <n v="45"/>
    <d v="1899-12-30T17:18:00"/>
    <d v="1899-12-30T18:20:00"/>
    <n v="62"/>
    <d v="1899-12-30T17:35:00"/>
    <d v="1899-12-30T18:16:00"/>
    <d v="1899-12-30T18:20:00"/>
    <n v="62"/>
    <n v="41"/>
    <d v="1899-12-30T18:21:00"/>
    <d v="1899-12-30T18:35:00"/>
    <n v="14"/>
    <m/>
    <m/>
    <m/>
    <s v="SHME OR 03"/>
    <s v="Podiatry"/>
    <s v="Yes"/>
    <s v="Brookshier, Trent Rockne, Dpm"/>
    <s v="PARTIAL EXCISION (CRATERIZATION, SAUCERIZATION, SEQUESTRECTOMY, ORDIAPHYSECTOMY) BONE (EG, OSTEOMYELITIS OR BOSSING); TARSAL OR METATARSALBONE, EXCEPT TALUS OR CALCANEUS"/>
    <s v="PARTIAL EXCISION (CRATERIZATION, SAUCERIZATION, SEQUESTRECTOMY, ORDIAPHYSECTOMY) BONE (EG, OSTEOMYELITIS OR BOSSING); TARSAL OR METATARSALBONE, EXCEPT TALUS OR CALCANEUS - Right"/>
    <s v="Wed"/>
    <m/>
    <s v="ED/IP/IC"/>
    <m/>
    <s v="BROOKSHIER, TRENT ROCKNE"/>
    <m/>
    <s v="Trent Rockne Brookshier, DPM"/>
    <m/>
    <s v="Brookshier"/>
  </r>
  <r>
    <d v="2026-08-26T00:00:00"/>
    <s v="6691215"/>
    <s v="Casemier, Thomas A"/>
    <s v="Inpatient"/>
    <x v="0"/>
    <n v="3901455484"/>
    <s v="200669872"/>
    <d v="1946-04-22T00:00:00"/>
    <s v="Nalbandian, Dikran Hratch, MD"/>
    <s v="General"/>
    <s v="4"/>
    <d v="1899-12-30T07:28:00"/>
    <d v="1899-12-30T13:55:00"/>
    <n v="387"/>
    <d v="1899-12-30T07:30:00"/>
    <d v="1899-12-30T11:30:00"/>
    <n v="240"/>
    <d v="1899-12-30T07:28:00"/>
    <d v="1899-12-30T13:49:00"/>
    <n v="381"/>
    <d v="1899-12-30T08:24:00"/>
    <d v="1899-12-30T13:41:00"/>
    <d v="1899-12-30T13:49:00"/>
    <n v="381"/>
    <n v="317"/>
    <d v="1899-12-30T13:50:34"/>
    <d v="1899-12-30T14:31:00"/>
    <n v="41"/>
    <m/>
    <m/>
    <m/>
    <s v="SHME OR 01"/>
    <s v="Vascular"/>
    <s v="Yes"/>
    <s v="Fernandez, Nathanial, Md"/>
    <s v="BYPASS GRAFT, WITH VEIN; FEMORAL-ANTERIOR TIBIAL, POSTERIOR TIBIAL,PERONEAL ARTERY OR OTHER DISTAL VESSELS"/>
    <s v="LEFT FEMORAL TO ANTERIOR TIBIAL BYPASS GRAFT WITH SAPHENOUS VEIN - Left"/>
    <s v="Wed"/>
    <m/>
    <s v="ED/IP/IC"/>
    <m/>
    <s v="FERNANDEZ, NATHANIAL"/>
    <m/>
    <s v="Nathanial Fernandez, MD"/>
    <m/>
    <s v="Fernandez"/>
  </r>
  <r>
    <d v="2026-08-26T00:00:00"/>
    <s v="6691282"/>
    <s v="Thain-Moung, Min"/>
    <s v="Outpatient"/>
    <x v="1"/>
    <n v="3901459090"/>
    <s v="701845924"/>
    <d v="1944-12-09T00:00:00"/>
    <s v="Rayan, Hany A, MD"/>
    <s v="Monitor Anesthesia Care"/>
    <s v="2"/>
    <d v="1899-12-30T07:23:00"/>
    <d v="1899-12-30T08:03:00"/>
    <n v="40"/>
    <d v="1899-12-30T07:30:00"/>
    <d v="1899-12-30T08:15:00"/>
    <n v="45"/>
    <d v="1899-12-30T07:23:00"/>
    <d v="1899-12-30T07:58:00"/>
    <n v="35"/>
    <d v="1899-12-30T07:33:00"/>
    <d v="1899-12-30T07:52:00"/>
    <d v="1899-12-30T07:58:00"/>
    <n v="35"/>
    <n v="19"/>
    <d v="1899-12-30T08:00:00"/>
    <d v="1899-12-30T08:23:33"/>
    <n v="23"/>
    <m/>
    <m/>
    <m/>
    <s v="SHME OR 07"/>
    <s v="Orthopedics"/>
    <s v="No"/>
    <s v="Kopp, Franz John, Md"/>
    <s v="DRAINAGE OF FINGER ABSCESS; COMPLICATED (EG, FELON)"/>
    <s v="IRRIGATION AND DEBRIDEMENT OF RIGHT INDEX FINGER - Right"/>
    <s v="Wed"/>
    <m/>
    <m/>
    <m/>
    <s v="KOPP, FRANZ JOHN"/>
    <m/>
    <s v="Franz John Kopp, MD"/>
    <m/>
    <s v="Kopp"/>
  </r>
  <r>
    <d v="2026-08-26T00:00:00"/>
    <s v="6691520"/>
    <s v="Brown, Erik Charles"/>
    <s v="Inpatient"/>
    <x v="0"/>
    <n v="3901454272"/>
    <s v="811001310"/>
    <d v="1970-09-07T00:00:00"/>
    <s v="Luu, Tiffany, MD"/>
    <s v="General"/>
    <s v="3"/>
    <d v="1899-12-30T11:52:00"/>
    <d v="1899-12-30T12:17:00"/>
    <n v="25"/>
    <d v="1899-12-30T11:15:00"/>
    <d v="1899-12-30T12:15:00"/>
    <n v="60"/>
    <d v="1899-12-30T11:52:00"/>
    <d v="1899-12-30T12:15:00"/>
    <n v="23"/>
    <d v="1899-12-30T12:03:00"/>
    <d v="1899-12-30T12:12:00"/>
    <d v="1899-12-30T12:15:00"/>
    <n v="23"/>
    <n v="9"/>
    <d v="1899-12-30T12:16:00"/>
    <d v="1899-12-30T13:00:00"/>
    <n v="44"/>
    <m/>
    <m/>
    <m/>
    <s v="SHME OR 16"/>
    <s v="General"/>
    <s v="Yes"/>
    <s v="Langenberg, Bret James, Do"/>
    <s v="REMOVAL OF TUNNELED INTRAPERITONEAL CATHETER"/>
    <s v="REMOVAL OF TUNNELED INTRAPERITONEAL CATHETER - N/A"/>
    <s v="Wed"/>
    <m/>
    <s v="ED/IP/IC"/>
    <m/>
    <s v="LANGENBERG, BRET JAMES"/>
    <m/>
    <s v="Bret James Langenberg, DO"/>
    <m/>
    <s v="Langenberg"/>
  </r>
  <r>
    <d v="2026-08-26T00:00:00"/>
    <s v="6691797"/>
    <s v="Beitia, Ray Ramon"/>
    <s v="Inpatient"/>
    <x v="0"/>
    <n v="3400732686"/>
    <s v="811274658"/>
    <d v="1955-07-05T00:00:00"/>
    <s v="Rayan, Hany A, MD"/>
    <s v="General"/>
    <s v="4"/>
    <d v="1899-12-30T16:32:00"/>
    <d v="1899-12-30T17:46:00"/>
    <n v="74"/>
    <d v="1899-12-30T16:30:00"/>
    <d v="1899-12-30T17:30:00"/>
    <n v="60"/>
    <d v="1899-12-30T16:32:00"/>
    <d v="1899-12-30T17:39:00"/>
    <n v="67"/>
    <d v="1899-12-30T17:10:00"/>
    <d v="1899-12-30T17:28:00"/>
    <d v="1899-12-30T17:39:00"/>
    <n v="67"/>
    <n v="18"/>
    <d v="1899-12-30T17:42:00"/>
    <d v="1899-12-30T18:28:19"/>
    <n v="46"/>
    <m/>
    <m/>
    <m/>
    <s v="SHME OR 02"/>
    <s v="Urology"/>
    <s v="No"/>
    <s v="Salem, Carol Elizabeth, Md"/>
    <s v="CYSTOSTOMY, CYSTOTOMY WITH DRAINAGE_x000a_DEBRIDEMENT, SUBCUTANEOUS TISSUE (INCLUDES EPIDERMIS AND DERMIS, IFPERFORMED); FIRST 20 SQ CM OR LESS_x000a_CYSTOURETHROSCOPY (SEPARATE PROCEDURE)"/>
    <s v="CYSTOSTOMY, CYSTOTOMY WITH DRAINAGE - N/A"/>
    <s v="Wed"/>
    <m/>
    <s v="ED/IP/IC"/>
    <m/>
    <s v="SALEM, CAROL ELIZABETH"/>
    <m/>
    <s v="Carol Elizabeth Salem, MD"/>
    <m/>
    <s v="Salem"/>
  </r>
  <r>
    <d v="2026-08-26T00:00:00"/>
    <s v="6692017"/>
    <s v="Harvey, Marlena"/>
    <s v="Inpatient"/>
    <x v="0"/>
    <n v="3901459497"/>
    <s v="701983012"/>
    <d v="1996-05-26T00:00:00"/>
    <s v="Epps, Michelle Tatum, MD"/>
    <s v="General"/>
    <s v="2"/>
    <d v="1899-12-30T07:12:00"/>
    <d v="1899-12-30T07:55:00"/>
    <n v="43"/>
    <d v="1899-12-30T07:11:00"/>
    <d v="1899-12-30T08:01:00"/>
    <n v="80"/>
    <d v="1899-12-30T07:12:00"/>
    <d v="1899-12-30T07:51:00"/>
    <n v="39"/>
    <d v="1899-12-30T07:34:00"/>
    <d v="1899-12-30T07:44:00"/>
    <d v="1899-12-30T07:51:00"/>
    <n v="39"/>
    <n v="10"/>
    <d v="1899-12-30T08:02:34"/>
    <d v="1899-12-30T08:42:00"/>
    <n v="40"/>
    <m/>
    <m/>
    <m/>
    <s v="SHME OR 03"/>
    <s v="Urology"/>
    <s v="No"/>
    <s v="Pe, Mark-Rally Lao, Md"/>
    <s v="CYSTOURETHROSCOPY, WITH INSERTION OF INDWELLING URETERAL STENT (EG,GIBBONS OR DOUBLE-J TYPE)"/>
    <s v="CYSTOURETHROSCOPY, WITH INSERTION OF INDWELLING URETERAL STENT (EG,GIBBONS OR DOUBLE-J TYPE) - Left"/>
    <s v="Wed"/>
    <m/>
    <m/>
    <m/>
    <s v="PE, MARK-RALLY LAO"/>
    <m/>
    <s v="Mark-Rally Lao Pe, MD"/>
    <m/>
    <s v="Pe"/>
  </r>
  <r>
    <d v="2026-08-26T00:00:00"/>
    <s v="6692022"/>
    <s v="Gomez, Mercedes"/>
    <s v="Inpatient"/>
    <x v="0"/>
    <n v="3400731739"/>
    <s v="598131297"/>
    <d v="1991-12-10T00:00:00"/>
    <s v="Chitlur, Abhijith Harish, MD"/>
    <s v="General"/>
    <s v="3"/>
    <d v="1899-12-30T13:45:00"/>
    <d v="1899-12-30T14:46:00"/>
    <n v="61"/>
    <d v="1899-12-30T13:30:00"/>
    <d v="1899-12-30T14:50:00"/>
    <n v="80"/>
    <d v="1899-12-30T13:45:00"/>
    <d v="1899-12-30T14:42:00"/>
    <n v="57"/>
    <d v="1899-12-30T14:19:00"/>
    <d v="1899-12-30T14:37:00"/>
    <d v="1899-12-30T14:42:00"/>
    <n v="57"/>
    <n v="18"/>
    <d v="1899-12-30T14:43:13"/>
    <d v="1899-12-30T15:55:00"/>
    <n v="72"/>
    <m/>
    <m/>
    <m/>
    <s v="SHME OR 02"/>
    <s v="Urology"/>
    <s v="No"/>
    <s v="Pe, Mark-Rally Lao, Md"/>
    <s v="CYSTOURETHROSCOPY, WITH URETEROSCOPY AND/OR PYELOSCOPY; WITHLITHOTRIPSY INCLUDING INSERTION OF INDWELLING URETERAL STENT (EG,GIBBONS OR DOUBLE-J TYPE)"/>
    <s v="CYSTOURETHROSCOPY, WITH URETEROSCOPY AND/OR PYELOSCOPY; WITHLITHOTRIPSY INCLUDING INSERTION OF INDWELLING URETERAL STENT (EG,GIBBONS OR DOUBLE-J TYPE) - Right"/>
    <s v="Wed"/>
    <m/>
    <m/>
    <m/>
    <s v="PE, MARK-RALLY LAO"/>
    <m/>
    <s v="Mark-Rally Lao Pe, MD"/>
    <m/>
    <s v="Pe"/>
  </r>
  <r>
    <d v="2026-08-26T00:00:00"/>
    <s v="6692145"/>
    <s v="Bowen, Virginia Carol"/>
    <s v="Inpatient"/>
    <x v="0"/>
    <n v="3901459738"/>
    <s v="811142620"/>
    <d v="1965-06-08T00:00:00"/>
    <s v="Nalbandian, Dikran Hratch, MD"/>
    <s v="General"/>
    <s v="3"/>
    <d v="1899-12-30T14:29:00"/>
    <d v="1899-12-30T15:22:00"/>
    <n v="53"/>
    <d v="1899-12-30T12:50:00"/>
    <d v="1899-12-30T14:10:00"/>
    <n v="110"/>
    <d v="1899-12-30T14:29:00"/>
    <d v="1899-12-30T15:16:00"/>
    <n v="47"/>
    <d v="1899-12-30T14:49:00"/>
    <d v="1899-12-30T15:13:00"/>
    <d v="1899-12-30T15:16:00"/>
    <n v="47"/>
    <n v="24"/>
    <d v="1899-12-30T15:25:02"/>
    <d v="1899-12-30T16:41:00"/>
    <n v="76"/>
    <m/>
    <m/>
    <m/>
    <s v="SHME OR 01"/>
    <s v="Vascular"/>
    <s v="No"/>
    <s v="Fernandez, Nathanial, Md"/>
    <s v="EXPLORATION FOR POSTOPERATIVE HEMORRHAGE, THROMBOSIS OR INFECTION;EXTREMITY"/>
    <s v="EXPLORATION FOR POSTOPERATIVE HEMORRHAGE, THROMBOSIS OR INFECTION;EXTREMITY - Left"/>
    <s v="Wed"/>
    <m/>
    <s v="ED/IP/IC"/>
    <m/>
    <s v="FERNANDEZ, NATHANIAL"/>
    <m/>
    <s v="Nathanial Fernandez, MD"/>
    <m/>
    <s v="Fernandez"/>
  </r>
  <r>
    <d v="2026-08-26T00:00:00"/>
    <s v="6692316"/>
    <s v="Irisson, Jerry"/>
    <s v="Inpatient"/>
    <x v="0"/>
    <n v="3901459913"/>
    <s v="811493071"/>
    <d v="1996-10-16T00:00:00"/>
    <s v="Epps, Michelle Tatum, MD"/>
    <s v="General"/>
    <s v="2"/>
    <d v="1899-12-30T05:42:00"/>
    <d v="1899-12-30T06:45:00"/>
    <n v="63"/>
    <d v="1899-12-30T05:30:00"/>
    <d v="1899-12-30T06:50:00"/>
    <n v="110"/>
    <d v="1899-12-30T05:42:00"/>
    <d v="1899-12-30T06:41:00"/>
    <n v="59"/>
    <d v="1899-12-30T06:09:00"/>
    <d v="1899-12-30T06:35:00"/>
    <d v="1899-12-30T06:41:00"/>
    <n v="59"/>
    <n v="26"/>
    <d v="1899-12-30T06:44:57"/>
    <d v="1899-12-30T07:05:00"/>
    <n v="21"/>
    <m/>
    <m/>
    <m/>
    <s v="SHME OR 03"/>
    <s v="Urology"/>
    <s v="No"/>
    <s v="Pe, Mark-Rally Lao, Md"/>
    <s v="REDUCTION OF TORSION OF TESTIS, SURGICAL, WITH OR WITHOUT FIXATION OFCONTRALATERAL TESTIS"/>
    <s v="REDUCTION OF TORSION OF TESTIS, SURGICAL, WITH OR WITHOUT FIXATION OFCONTRALATERAL TESTIS - Right"/>
    <s v="Wed"/>
    <m/>
    <m/>
    <m/>
    <s v="PE, MARK-RALLY LAO"/>
    <m/>
    <s v="Mark-Rally Lao Pe, MD"/>
    <m/>
    <s v="Pe"/>
  </r>
  <r>
    <d v="2026-08-26T00:00:00"/>
    <s v="6694295"/>
    <s v="Maldonado, Flor"/>
    <s v="Inpatient"/>
    <x v="0"/>
    <n v="3901459912"/>
    <s v="700327856"/>
    <d v="1977-08-24T00:00:00"/>
    <s v="Kim, Eung Do, MD"/>
    <s v="General"/>
    <s v="2"/>
    <d v="1899-12-30T16:25:00"/>
    <d v="1899-12-30T20:17:00"/>
    <n v="232"/>
    <d v="1899-12-30T15:45:00"/>
    <d v="1899-12-30T17:50:00"/>
    <n v="155"/>
    <d v="1899-12-30T16:25:00"/>
    <d v="1899-12-30T20:13:00"/>
    <n v="228"/>
    <d v="1899-12-30T17:18:00"/>
    <d v="1899-12-30T20:08:00"/>
    <d v="1899-12-30T20:13:00"/>
    <n v="228"/>
    <n v="170"/>
    <d v="1899-12-30T20:15:00"/>
    <d v="1899-12-30T21:46:41"/>
    <n v="91"/>
    <m/>
    <m/>
    <m/>
    <s v="SHME OR 09"/>
    <s v="General"/>
    <s v="No"/>
    <s v="Giurgiu, Dan I.N., Md"/>
    <s v="LAPAROSCOPY, SURGICAL; CHOLECYSTECTOMY"/>
    <s v="ROBOT ASSISTED POSSIBLE LAPAROSCOPIC CHOLECYSTECTOMY, POSSIBLE OPEN - N/A"/>
    <s v="Wed"/>
    <m/>
    <m/>
    <m/>
    <s v="GIURGIU, DAN I.N."/>
    <m/>
    <s v="Dan I.N. Giurgiu, MD (619-330-8330)"/>
    <m/>
    <s v="Giurgiu"/>
  </r>
  <r>
    <d v="2026-08-26T00:00:00"/>
    <s v="6694450"/>
    <s v="St Amnad, Christopher"/>
    <s v="Inpatient"/>
    <x v="0"/>
    <n v="3901456004"/>
    <s v="811359905"/>
    <d v="1980-05-23T00:00:00"/>
    <s v="Kim, Eung Do, MD"/>
    <s v="General"/>
    <s v="3"/>
    <d v="1899-12-30T20:53:00"/>
    <d v="1899-12-30T21:37:00"/>
    <n v="44"/>
    <d v="1899-12-30T19:00:00"/>
    <d v="1899-12-30T20:05:00"/>
    <n v="95"/>
    <d v="1899-12-30T20:53:00"/>
    <d v="1899-12-30T21:32:00"/>
    <n v="39"/>
    <d v="1899-12-30T21:11:00"/>
    <d v="1899-12-30T21:31:00"/>
    <d v="1899-12-30T21:32:00"/>
    <n v="39"/>
    <n v="20"/>
    <d v="1899-12-30T21:34:19"/>
    <d v="1899-12-30T22:06:16"/>
    <n v="32"/>
    <m/>
    <m/>
    <m/>
    <s v="SHME OR 04"/>
    <s v="General"/>
    <s v="No"/>
    <s v="Giurgiu, Dan I.N., Md"/>
    <s v="BIOPSY OR EXCISION OF LYMPH NODE(S); OPEN, INGUINOFEMORAL NODE(S)"/>
    <s v="BIOPSY OR EXCISION OF LYMPH NODE(S); OPEN, INGUINOFEMORAL LEFT OR RIGHT NODE(S) - N/A"/>
    <s v="Wed"/>
    <m/>
    <m/>
    <m/>
    <s v="GIURGIU, DAN I.N."/>
    <m/>
    <s v="Dan I.N. Giurgiu, MD (619-330-8330)"/>
    <m/>
    <s v="Giurgiu"/>
  </r>
  <r>
    <d v="2026-08-26T00:00:00"/>
    <s v="6696281"/>
    <s v="Heard, Emory S"/>
    <s v="Inpatient"/>
    <x v="0"/>
    <n v="3901459487"/>
    <s v="811492776"/>
    <d v="1969-05-26T00:00:00"/>
    <s v="Chung, Michelle Sheryl, MD"/>
    <s v="General"/>
    <s v="4"/>
    <d v="1899-12-30T18:38:00"/>
    <d v="1899-12-30T20:53:00"/>
    <n v="135"/>
    <d v="1899-12-30T18:00:00"/>
    <d v="1899-12-30T21:05:00"/>
    <n v="215"/>
    <d v="1899-12-30T18:43:00"/>
    <d v="1899-12-30T20:40:00"/>
    <n v="117"/>
    <d v="1899-12-30T19:16:00"/>
    <d v="1899-12-30T20:32:00"/>
    <d v="1899-12-30T20:40:00"/>
    <n v="117"/>
    <n v="76"/>
    <m/>
    <m/>
    <m/>
    <m/>
    <m/>
    <m/>
    <s v="SHME OR 05"/>
    <s v="Neurosurgery"/>
    <s v="No"/>
    <s v="Zauner, Alois, Md"/>
    <s v="CRANIECTOMY OR CRANIOTOMY FOR EVACUATION OF HEMATOMA, SUPRATENTORIAL;INTRACEREBRAL_x000a_MICROSURGICAL TECHNIQUES, REQUIRING USE OF OPERATING MICROSCOPE (LISTSEPARATELY IN ADDITION TO CODE FOR PRIMARY PROCEDURE)_x000a_STEREOTACTIC COMPUTER-ASSISTED (NAVIGATIONAL) PROCEDURE; CRANIAL,INTRADURAL (LIST SEPARATELY IN ADDITION TO CODE FOR PRIMARY PROCEDURE)"/>
    <s v="RIGHT CRANIOTOMY FOR HEMATOMA EVACUATION UNDER GENERAL ANESTHESIA - Right"/>
    <s v="Wed"/>
    <m/>
    <s v="ED/IP/IC"/>
    <m/>
    <s v="ZAUNER, ALOIS"/>
    <m/>
    <s v="Alois Zauner, MD"/>
    <m/>
    <s v="Zauner"/>
  </r>
  <r>
    <d v="2026-08-27T00:00:00"/>
    <s v="6538516"/>
    <s v="Morgan, Laura A"/>
    <s v="Outpatient"/>
    <x v="1"/>
    <n v="3901430644"/>
    <s v="400322818"/>
    <d v="1953-12-21T00:00:00"/>
    <s v="Feduska, Collin Steven, MD"/>
    <s v="General"/>
    <s v="2"/>
    <d v="1899-12-30T08:49:00"/>
    <d v="1899-12-30T09:57:00"/>
    <n v="68"/>
    <d v="1899-12-30T08:45:00"/>
    <d v="1899-12-30T09:45:00"/>
    <n v="60"/>
    <d v="1899-12-30T08:49:00"/>
    <d v="1899-12-30T09:47:00"/>
    <n v="58"/>
    <d v="1899-12-30T09:27:00"/>
    <d v="1899-12-30T09:43:00"/>
    <d v="1899-12-30T09:47:00"/>
    <n v="58"/>
    <n v="16"/>
    <d v="1899-12-30T09:50:55"/>
    <d v="1899-12-30T10:24:00"/>
    <n v="34"/>
    <d v="1899-12-30T10:24:00"/>
    <d v="1899-12-30T11:18:00"/>
    <n v="54"/>
    <s v="SHME OR 14"/>
    <s v="Urology"/>
    <s v="No"/>
    <s v="Unterberg, Stephen Harold, Md"/>
    <s v="INSERTION OR REPLACEMENT OF PERIPHERAL, SACRAL, OR GASTRIC NEUROSTIMULATOR PULSE GENERATOR OR RECEIVER, REQUIRING POCKET CREATION AND CONNECTION BETWEEN ELECTRODE ARRAY AND PULSE GENERATOR OR RECEIVER"/>
    <s v="SACRAL NEUROMODULATION IMPLANTATION, SECOND STAGE BATTERY INSERTION - N/A"/>
    <s v="Thu"/>
    <m/>
    <m/>
    <m/>
    <s v="UNTERBERG, STEPHEN HAROLD"/>
    <m/>
    <s v="Stephen Harold Unterberg, MD"/>
    <m/>
    <s v="Unterberg"/>
  </r>
  <r>
    <d v="2026-08-27T00:00:00"/>
    <s v="6580733"/>
    <s v="Cunningham, James D"/>
    <s v="Outpatient"/>
    <x v="1"/>
    <n v="3901438266"/>
    <s v="701887594"/>
    <d v="1955-07-18T00:00:00"/>
    <s v="Patel, Lance Kirit, MD"/>
    <s v="General"/>
    <s v="4"/>
    <d v="1899-12-30T07:28:00"/>
    <d v="1899-12-30T10:14:00"/>
    <n v="166"/>
    <d v="1899-12-30T07:30:00"/>
    <d v="1899-12-30T10:15:00"/>
    <n v="165"/>
    <d v="1899-12-30T07:28:00"/>
    <d v="1899-12-30T10:04:00"/>
    <n v="156"/>
    <d v="1899-12-30T08:03:00"/>
    <d v="1899-12-30T10:01:00"/>
    <d v="1899-12-30T10:04:00"/>
    <n v="156"/>
    <n v="118"/>
    <d v="1899-12-30T10:07:50"/>
    <d v="1899-12-30T10:46:10"/>
    <n v="39"/>
    <m/>
    <m/>
    <m/>
    <s v="SHME OR 04"/>
    <s v="Orthopedics"/>
    <s v="No"/>
    <s v="Schultz, Jeffrey Eugene, Md"/>
    <s v="ARTHROPLASTY, ACETABULAR AND PROXIMAL FEMORAL PROSTHETIC REPLACEMENT(TOTAL HIP ARTHROPLASTY), WITH OR WITHOUT AUTOGRAFT OR ALLOGRAFT"/>
    <s v="RIGHT TOTAL HIP REPLACEMENT - Right"/>
    <s v="Thu"/>
    <m/>
    <m/>
    <m/>
    <s v="SCHULTZ, JEFFREY EUGENE"/>
    <m/>
    <s v="Jeffrey Eugene Schultz, MD"/>
    <m/>
    <s v="Schultz"/>
  </r>
  <r>
    <d v="2026-08-27T00:00:00"/>
    <s v="6384360"/>
    <s v="Carrasco, Gloria E"/>
    <s v="Outpatient"/>
    <x v="1"/>
    <n v="3901401263"/>
    <s v="611436401"/>
    <d v="1963-05-05T00:00:00"/>
    <s v="Chitlur, Abhijith Harish, MD"/>
    <s v="General"/>
    <s v="2"/>
    <d v="1899-12-30T07:30:00"/>
    <d v="1899-12-30T08:31:00"/>
    <n v="61"/>
    <d v="1899-12-30T07:30:00"/>
    <d v="1899-12-30T08:30:00"/>
    <n v="60"/>
    <d v="1899-12-30T07:36:00"/>
    <d v="1899-12-30T08:25:00"/>
    <n v="49"/>
    <d v="1899-12-30T07:55:00"/>
    <d v="1899-12-30T08:16:00"/>
    <d v="1899-12-30T08:25:00"/>
    <n v="49"/>
    <n v="21"/>
    <d v="1899-12-30T08:36:22"/>
    <d v="1899-12-30T09:00:00"/>
    <n v="24"/>
    <d v="1899-12-30T09:01:00"/>
    <d v="1899-12-30T09:10:00"/>
    <n v="9"/>
    <s v="SHME OR 15"/>
    <s v="General"/>
    <s v="No"/>
    <s v="Rivera, Louis, Md"/>
    <s v="EXCISION OF BREAST LESION IDENTIFIED BY PREOPERATIVE PLACEMENT OFRADIOLOGICAL MARKER, OPEN; SINGLE LESION"/>
    <s v="LOCALIZED, RIGHT EXCISIONAL BREAST BIOPSY - Right"/>
    <s v="Thu"/>
    <m/>
    <m/>
    <m/>
    <s v="RIVERA, LOUIS"/>
    <m/>
    <s v="Louis Rivera, MD"/>
    <m/>
    <s v="Rivera"/>
  </r>
  <r>
    <d v="2026-08-27T00:00:00"/>
    <s v="6611603"/>
    <s v="Medina, Myrian R"/>
    <s v="Outpatient"/>
    <x v="1"/>
    <n v="3901444412"/>
    <s v="810213383"/>
    <d v="1952-12-07T00:00:00"/>
    <s v="Baja, Diosdado An Jr., MD"/>
    <s v="General"/>
    <s v="2"/>
    <d v="1899-12-30T09:22:00"/>
    <d v="1899-12-30T10:38:00"/>
    <n v="76"/>
    <d v="1899-12-30T09:00:00"/>
    <d v="1899-12-30T10:15:00"/>
    <n v="75"/>
    <d v="1899-12-30T09:22:00"/>
    <d v="1899-12-30T10:31:00"/>
    <n v="69"/>
    <d v="1899-12-30T09:48:00"/>
    <d v="1899-12-30T10:26:00"/>
    <d v="1899-12-30T10:31:00"/>
    <n v="69"/>
    <n v="38"/>
    <d v="1899-12-30T10:36:00"/>
    <d v="1899-12-30T14:42:00"/>
    <n v="246"/>
    <m/>
    <m/>
    <m/>
    <s v="SHME OR 06"/>
    <s v="Gynecology"/>
    <s v="No"/>
    <s v="Hui, Kim, Md"/>
    <s v="COMBINED ANTEROPOSTERIOR COLPORRHAPHY;"/>
    <s v="ANTERIOR AND POSTERIOR REPAIR - N/A"/>
    <s v="Thu"/>
    <m/>
    <m/>
    <m/>
    <s v="HUI, KIM"/>
    <m/>
    <s v="Kim Hui, MD (619-407-1011)"/>
    <m/>
    <s v="Hui"/>
  </r>
  <r>
    <d v="2026-08-27T00:00:00"/>
    <s v="6400832"/>
    <s v="Randall, Neressa"/>
    <s v="Outpatient"/>
    <x v="1"/>
    <n v="3901405803"/>
    <s v="810264603"/>
    <d v="1991-09-20T00:00:00"/>
    <s v="Baja, Diosdado An Jr., MD"/>
    <s v="General"/>
    <s v="1"/>
    <d v="1899-12-30T07:46:00"/>
    <d v="1899-12-30T08:49:00"/>
    <n v="63"/>
    <d v="1899-12-30T07:30:00"/>
    <d v="1899-12-30T08:30:00"/>
    <n v="60"/>
    <d v="1899-12-30T07:46:00"/>
    <d v="1899-12-30T08:41:00"/>
    <n v="55"/>
    <d v="1899-12-30T08:08:00"/>
    <d v="1899-12-30T08:35:00"/>
    <d v="1899-12-30T08:41:00"/>
    <n v="55"/>
    <n v="27"/>
    <d v="1899-12-30T08:49:56"/>
    <d v="1899-12-30T09:43:00"/>
    <n v="54"/>
    <d v="1899-12-30T09:44:38"/>
    <d v="1899-12-30T09:49:00"/>
    <n v="5"/>
    <s v="SHME OR 06"/>
    <s v="Gynecology"/>
    <s v="No"/>
    <s v="Brahmbhatt, Bhoomi Manoj, Md"/>
    <s v="HYSTEROSCOPY, SURGICAL; WITH SAMPLING (BIOPSY) OF ENDOMETRIUM AND/ORPOLYPECTOMY, WITH OR WITHOUT D &amp; C"/>
    <s v="HYSTEROSCOPY, DILATION AND CURETTAGE POLYPECTOMY - N/A"/>
    <s v="Thu"/>
    <m/>
    <m/>
    <m/>
    <s v="BRAHMBHATT, BHOOMI MANOJ"/>
    <m/>
    <s v="Bhoomi Manoj Brahmbhatt, MD (858-493-1833)"/>
    <m/>
    <s v="Brahmbhatt"/>
  </r>
  <r>
    <d v="2026-08-27T00:00:00"/>
    <s v="6619737"/>
    <s v="Burhans, Nancy A"/>
    <s v="Outpatient"/>
    <x v="1"/>
    <n v="3901446132"/>
    <s v="810292349"/>
    <d v="1938-11-30T00:00:00"/>
    <s v="Chitlur, Abhijith Harish, MD"/>
    <s v="General"/>
    <s v="3"/>
    <d v="1899-12-30T08:48:00"/>
    <d v="1899-12-30T10:04:00"/>
    <n v="76"/>
    <d v="1899-12-30T09:00:00"/>
    <d v="1899-12-30T10:15:00"/>
    <n v="75"/>
    <d v="1899-12-30T08:48:00"/>
    <d v="1899-12-30T10:00:00"/>
    <n v="72"/>
    <d v="1899-12-30T09:09:00"/>
    <d v="1899-12-30T09:57:00"/>
    <d v="1899-12-30T10:00:00"/>
    <n v="72"/>
    <n v="48"/>
    <d v="1899-12-30T10:02:00"/>
    <d v="1899-12-30T10:41:00"/>
    <n v="39"/>
    <d v="1899-12-30T10:42:00"/>
    <d v="1899-12-30T11:40:00"/>
    <n v="58"/>
    <s v="SHME OR 15"/>
    <s v="General"/>
    <s v="No"/>
    <s v="Rivera, Louis, Md"/>
    <s v="EXCISION OF BREAST LESION IDENTIFIED BY PREOPERATIVE PLACEMENT OFRADIOLOGICAL MARKER, OPEN; SINGLE LESION_x000a_ADJACENT TISSUE TRANSFER OR REARRANGEMENT, TRUNK; DEFECT 10.1 SQ CM TO30.0 SQ CM_x000a_BIOPSY OR EXCISION OF LYMPH NODE(S); OPEN, DEEP AXILLARY NODE(S)_x000a_INTRAOPERATIVE IDENTIFICATION (EG, MAPPING) OF SENTINEL LYMPH NODE(S)INCLUDES INJECTION OF NON-RADIOACTIVE DYE, WHEN PERFORMED (LISTSEPARATELY IN ADDITION TO CODE FOR PRIMARY PROCEDURE)"/>
    <s v="RIGHT LOCALIZED BREAST CONSERVING TREATMENT OF BREAST CANCER, LOCAL TISSUE TRANSFER RIGHT BREAST, RIGHT AXILLARY SENTINEL LYMPH NODE MAPPING AND BIOPSY - Right"/>
    <s v="Thu"/>
    <m/>
    <m/>
    <m/>
    <s v="RIVERA, LOUIS"/>
    <m/>
    <s v="Louis Rivera, MD"/>
    <m/>
    <s v="Rivera"/>
  </r>
  <r>
    <d v="2026-08-27T00:00:00"/>
    <s v="6621842"/>
    <s v="Ramirez-Monroy, Karina K"/>
    <s v="Outpatient"/>
    <x v="1"/>
    <n v="3901446629"/>
    <s v="701658423"/>
    <d v="1966-10-19T00:00:00"/>
    <s v="Chitlur, Abhijith Harish, MD"/>
    <s v="General"/>
    <s v="2"/>
    <d v="1899-12-30T10:30:00"/>
    <d v="1899-12-30T11:49:00"/>
    <n v="79"/>
    <d v="1899-12-30T10:45:00"/>
    <d v="1899-12-30T12:15:00"/>
    <n v="90"/>
    <d v="1899-12-30T10:30:00"/>
    <d v="1899-12-30T11:45:00"/>
    <n v="75"/>
    <d v="1899-12-30T10:48:00"/>
    <d v="1899-12-30T11:42:00"/>
    <d v="1899-12-30T11:45:00"/>
    <n v="75"/>
    <n v="54"/>
    <d v="1899-12-30T11:47:00"/>
    <d v="1899-12-30T13:14:00"/>
    <n v="87"/>
    <d v="1899-12-30T13:15:00"/>
    <d v="1899-12-30T14:03:00"/>
    <n v="48"/>
    <s v="SHME OR 15"/>
    <s v="General"/>
    <s v="No"/>
    <s v="Rivera, Louis, Md"/>
    <s v="EXCISION OF BREAST LESION IDENTIFIED BY PREOPERATIVE PLACEMENT OFRADIOLOGICAL MARKER, OPEN; SINGLE LESION_x000a_ADJACENT TISSUE TRANSFER OR REARRANGEMENT, TRUNK; DEFECT 10.1 SQ CM TO30.0 SQ CM_x000a_BIOPSY OR EXCISION OF LYMPH NODE(S); OPEN, DEEP AXILLARY NODE(S)_x000a_INTRAOPERATIVE IDENTIFICATION (EG, MAPPING) OF SENTINEL LYMPH NODE(S)INCLUDES INJECTION OF NON-RADIOACTIVE DYE, WHEN PERFORMED (LISTSEPARATELY IN ADDITION TO CODE FOR PRIMARY PROCEDURE)"/>
    <s v="RIGHT LOCALIZED BREAST CONSERVING EXCISION OF BREAST CANCER, LOCAL TISSUE TRANSFER RIGHT BREAST, RIGHT AXILLARY SENTINEL LYMPH NODE MAPPING AND BIOPSY - Right"/>
    <s v="Thu"/>
    <m/>
    <m/>
    <m/>
    <s v="RIVERA, LOUIS"/>
    <m/>
    <s v="Louis Rivera, MD"/>
    <m/>
    <s v="Rivera"/>
  </r>
  <r>
    <d v="2026-08-27T00:00:00"/>
    <s v="6621917"/>
    <s v="Whitmann, Deborah"/>
    <s v="Outpatient"/>
    <x v="1"/>
    <n v="3901446644"/>
    <s v="700905071"/>
    <d v="1984-05-18T00:00:00"/>
    <s v="Chitlur, Abhijith Harish, MD"/>
    <s v="General"/>
    <s v="3"/>
    <d v="1899-12-30T14:08:00"/>
    <d v="1899-12-30T16:13:00"/>
    <n v="125"/>
    <d v="1899-12-30T14:30:00"/>
    <d v="1899-12-30T15:45:00"/>
    <n v="75"/>
    <d v="1899-12-30T14:08:00"/>
    <d v="1899-12-30T16:10:00"/>
    <n v="122"/>
    <d v="1899-12-30T14:29:00"/>
    <d v="1899-12-30T16:03:00"/>
    <d v="1899-12-30T16:10:00"/>
    <n v="122"/>
    <n v="94"/>
    <d v="1899-12-30T16:10:07"/>
    <d v="1899-12-30T16:31:00"/>
    <n v="21"/>
    <d v="1899-12-30T16:32:00"/>
    <d v="1899-12-30T17:40:00"/>
    <n v="68"/>
    <s v="SHME OR 16"/>
    <s v="General"/>
    <s v="No"/>
    <s v="Rivera, Louis, Md"/>
    <s v="AXILLARY LYMPHADENECTOMY; COMPLETE"/>
    <s v="RIGHT AXILLARY LYMPH NODE DISSECTION - Right"/>
    <s v="Thu"/>
    <m/>
    <m/>
    <m/>
    <s v="RIVERA, LOUIS"/>
    <m/>
    <s v="Louis Rivera, MD"/>
    <m/>
    <s v="Rivera"/>
  </r>
  <r>
    <d v="2026-08-27T00:00:00"/>
    <s v="6622684"/>
    <s v="Monreal, Carmen D"/>
    <s v="Outpatient"/>
    <x v="1"/>
    <n v="3901446753"/>
    <s v="811459074"/>
    <d v="1955-05-29T00:00:00"/>
    <s v="Chitlur, Abhijith Harish, MD"/>
    <s v="Regional"/>
    <s v="3"/>
    <d v="1899-12-30T12:16:00"/>
    <d v="1899-12-30T13:54:00"/>
    <n v="98"/>
    <d v="1899-12-30T12:20:00"/>
    <d v="1899-12-30T14:05:00"/>
    <n v="105"/>
    <d v="1899-12-30T12:16:00"/>
    <d v="1899-12-30T13:49:00"/>
    <n v="93"/>
    <d v="1899-12-30T12:35:00"/>
    <d v="1899-12-30T13:44:00"/>
    <d v="1899-12-30T13:49:00"/>
    <n v="93"/>
    <n v="69"/>
    <d v="1899-12-30T13:50:10"/>
    <d v="1899-12-30T14:16:00"/>
    <n v="26"/>
    <m/>
    <m/>
    <m/>
    <s v="SHME OR 15"/>
    <s v="General"/>
    <s v="Yes"/>
    <s v="Rivera, Louis, Md"/>
    <s v="MASTECTOMY, SIMPLE, COMPLETE_x000a_BIOPSY OR EXCISION OF LYMPH NODE(S); OPEN, DEEP AXILLARY NODE(S)_x000a_INTRAOPERATIVE IDENTIFICATION (EG, MAPPING) OF SENTINEL LYMPH NODE(S)INCLUDES INJECTION OF NON-RADIOACTIVE DYE, WHEN PERFORMED (LISTSEPARATELY IN ADDITION TO CODE FOR PRIMARY PROCEDURE)"/>
    <s v="RIGHT MASTECTOMY, RIGHT AXILLARY SENTINEL LYMPH NODE MAPPING AND BIOPSY - Right"/>
    <s v="Thu"/>
    <m/>
    <m/>
    <m/>
    <s v="RIVERA, LOUIS"/>
    <m/>
    <s v="Louis Rivera, MD"/>
    <m/>
    <s v="Rivera"/>
  </r>
  <r>
    <d v="2026-08-27T00:00:00"/>
    <s v="6627586"/>
    <s v="Bjorneboe, Menia M"/>
    <s v="Outpatient"/>
    <x v="1"/>
    <n v="3901447619"/>
    <s v="811353717"/>
    <d v="1996-08-17T00:00:00"/>
    <s v="Ngo, Donald Hanh, MD"/>
    <s v="General"/>
    <s v="2"/>
    <d v="1899-12-30T07:29:00"/>
    <d v="1899-12-30T09:34:00"/>
    <n v="125"/>
    <d v="1899-12-30T07:30:00"/>
    <d v="1899-12-30T09:30:00"/>
    <n v="120"/>
    <d v="1899-12-30T07:29:00"/>
    <d v="1899-12-30T09:27:00"/>
    <n v="118"/>
    <d v="1899-12-30T08:09:00"/>
    <d v="1899-12-30T09:23:00"/>
    <d v="1899-12-30T09:27:00"/>
    <n v="118"/>
    <n v="74"/>
    <d v="1899-12-30T09:30:05"/>
    <d v="1899-12-30T09:55:05"/>
    <n v="25"/>
    <d v="1899-12-30T09:55:07"/>
    <d v="1899-12-30T10:13:45"/>
    <n v="18"/>
    <s v="SHME OR 09"/>
    <s v="General"/>
    <s v="No"/>
    <s v="Giurgiu, Dan I.N., Md"/>
    <s v="LAPAROSCOPY, SURGICAL; CHOLECYSTECTOMY"/>
    <s v="ROBOT CHOLECYSTECTOMY, POSSIBLE OPEN. - N/A"/>
    <s v="Thu"/>
    <m/>
    <m/>
    <m/>
    <s v="GIURGIU, DAN I.N."/>
    <m/>
    <s v="Dan I.N. Giurgiu, MD (619-330-8330)"/>
    <m/>
    <s v="Giurgiu"/>
  </r>
  <r>
    <d v="2026-08-27T00:00:00"/>
    <s v="6634795"/>
    <s v="Tofiga, John M"/>
    <s v="Inpatient"/>
    <x v="0"/>
    <n v="3901448870"/>
    <s v="810225374"/>
    <d v="1978-07-09T00:00:00"/>
    <s v="Oleske, Alexandra Argyro, DO"/>
    <s v="General"/>
    <s v="3"/>
    <d v="1899-12-30T12:26:00"/>
    <d v="1899-12-30T17:26:00"/>
    <n v="300"/>
    <d v="1899-12-30T10:30:00"/>
    <d v="1899-12-30T14:15:00"/>
    <n v="225"/>
    <d v="1899-12-30T12:26:00"/>
    <d v="1899-12-30T17:23:00"/>
    <n v="297"/>
    <d v="1899-12-30T13:23:00"/>
    <d v="1899-12-30T17:05:00"/>
    <d v="1899-12-30T17:23:00"/>
    <n v="297"/>
    <n v="222"/>
    <d v="1899-12-30T17:23:00"/>
    <d v="1899-12-30T18:16:00"/>
    <n v="53"/>
    <m/>
    <m/>
    <m/>
    <s v="SHME OR 10"/>
    <s v="Urology"/>
    <s v="No"/>
    <s v="Salem, Carol Elizabeth, Md"/>
    <s v="NEPHRECTOMY, INCLUDING PARTIAL URETERECTOMY, ANY OPEN APPROACH INCLUDINGRIB RESECTION; RADICAL, WITH REGIONAL LYMPHADENECTOMY AND/OR VENA CAVALTHROMBECTOMY"/>
    <s v="OPEN RIGHT PARTIAL VERSUS TOTAL NEPHRECTOMY - Right"/>
    <s v="Thu"/>
    <m/>
    <s v="ED/IP/IC"/>
    <m/>
    <s v="SALEM, CAROL ELIZABETH"/>
    <m/>
    <s v="Carol Elizabeth Salem, MD"/>
    <m/>
    <s v="Salem"/>
  </r>
  <r>
    <d v="2026-08-27T00:00:00"/>
    <s v="6647483"/>
    <s v="NYIKOS, Mary"/>
    <s v="Outpatient"/>
    <x v="1"/>
    <n v="3901451481"/>
    <s v="811002041"/>
    <d v="1987-02-18T00:00:00"/>
    <s v="Baja, Diosdado An Jr., MD"/>
    <s v="General"/>
    <s v="1"/>
    <d v="1899-12-30T11:01:00"/>
    <d v="1899-12-30T11:44:00"/>
    <n v="43"/>
    <d v="1899-12-30T10:45:00"/>
    <d v="1899-12-30T11:30:00"/>
    <n v="45"/>
    <d v="1899-12-30T11:01:00"/>
    <d v="1899-12-30T11:38:00"/>
    <n v="37"/>
    <d v="1899-12-30T11:20:00"/>
    <d v="1899-12-30T11:34:00"/>
    <d v="1899-12-30T11:38:00"/>
    <n v="37"/>
    <n v="14"/>
    <d v="1899-12-30T11:46:40"/>
    <d v="1899-12-30T12:30:00"/>
    <n v="44"/>
    <d v="1899-12-30T12:31:00"/>
    <d v="1899-12-30T12:52:00"/>
    <n v="21"/>
    <s v="SHME OR 06"/>
    <s v="Gynecology"/>
    <s v="No"/>
    <s v="Hui, Kim, Md"/>
    <s v="HYSTEROSCOPY, SURGICAL; WITH SAMPLING (BIOPSY) OF ENDOMETRIUM AND/ORPOLYPECTOMY, WITH OR WITHOUT D &amp; C"/>
    <s v="HYSTEROSCOPY DILATION AND CURETTAGE - N/A"/>
    <s v="Thu"/>
    <m/>
    <m/>
    <m/>
    <s v="HUI, KIM"/>
    <m/>
    <s v="Kim Hui, MD (619-407-1011)"/>
    <m/>
    <s v="Hui"/>
  </r>
  <r>
    <d v="2026-08-27T00:00:00"/>
    <s v="6647916"/>
    <s v="Haselton, Scott"/>
    <s v="Outpatient"/>
    <x v="1"/>
    <n v="3901451503"/>
    <s v="606677606"/>
    <d v="1972-01-07T00:00:00"/>
    <s v="Patel, Lance Kirit, MD"/>
    <s v="Regional"/>
    <s v="2"/>
    <d v="1899-12-30T10:44:00"/>
    <d v="1899-12-30T12:10:00"/>
    <n v="86"/>
    <d v="1899-12-30T10:45:00"/>
    <d v="1899-12-30T12:15:00"/>
    <n v="90"/>
    <d v="1899-12-30T10:40:00"/>
    <d v="1899-12-30T12:00:00"/>
    <n v="80"/>
    <d v="1899-12-30T11:12:00"/>
    <d v="1899-12-30T11:56:00"/>
    <d v="1899-12-30T12:00:00"/>
    <n v="80"/>
    <n v="44"/>
    <d v="1899-12-30T12:03:54"/>
    <d v="1899-12-30T12:35:00"/>
    <n v="32"/>
    <d v="1899-12-30T12:36:00"/>
    <d v="1899-12-30T12:48:32"/>
    <n v="12"/>
    <s v="SHME OR 04"/>
    <s v="Orthopedics"/>
    <s v="No"/>
    <s v="Schultz, Jeffrey Eugene, Md"/>
    <s v="EXCISION OR CURETTAGE OF BONE CYST OR BENIGN TUMOR OF CLAVICLE ORSCAPULA;"/>
    <s v="RIGHT SHOULDER OPEN HETEROTOPIC OSSIFICATION EXCISION SURGERY - Right"/>
    <s v="Thu"/>
    <m/>
    <m/>
    <m/>
    <s v="SCHULTZ, JEFFREY EUGENE"/>
    <m/>
    <s v="Jeffrey Eugene Schultz, MD"/>
    <m/>
    <s v="Schultz"/>
  </r>
  <r>
    <d v="2026-08-27T00:00:00"/>
    <s v="6648586"/>
    <s v="Nash, Katinus A"/>
    <s v="Inpatient"/>
    <x v="0"/>
    <n v="3901451606"/>
    <s v="700581660"/>
    <d v="1957-05-15T00:00:00"/>
    <s v="Oleske, Alexandra Argyro, DO"/>
    <s v="General"/>
    <s v="3"/>
    <d v="1899-12-30T08:21:00"/>
    <d v="1899-12-30T11:22:00"/>
    <n v="181"/>
    <d v="1899-12-30T07:30:00"/>
    <d v="1899-12-30T10:00:00"/>
    <n v="150"/>
    <d v="1899-12-30T08:21:00"/>
    <d v="1899-12-30T11:16:00"/>
    <n v="175"/>
    <d v="1899-12-30T08:59:00"/>
    <d v="1899-12-30T11:02:00"/>
    <d v="1899-12-30T11:16:00"/>
    <n v="175"/>
    <n v="123"/>
    <d v="1899-12-30T11:22:35"/>
    <d v="1899-12-30T11:55:47"/>
    <n v="33"/>
    <m/>
    <m/>
    <m/>
    <s v="SHME OR 10"/>
    <s v="Urology"/>
    <s v="No"/>
    <s v="Salem, Carol Elizabeth, Md"/>
    <s v="LAPAROSCOPY, SURGICAL PROSTATECTOMY, RETROPUBIC RADICAL, INCLUDING NERVESPARING, INCLUDES ROBOTIC ASSISTANCE, WHEN PERFORMED"/>
    <s v="ROBOTIC RADICAL PROSTATECTOMY - N/A"/>
    <s v="Thu"/>
    <m/>
    <m/>
    <m/>
    <s v="SALEM, CAROL ELIZABETH"/>
    <m/>
    <s v="Carol Elizabeth Salem, MD"/>
    <m/>
    <s v="Salem"/>
  </r>
  <r>
    <d v="2026-08-27T00:00:00"/>
    <s v="6654033"/>
    <s v="Apan, James B"/>
    <s v="Inpatient"/>
    <x v="0"/>
    <n v="3901452573"/>
    <s v="811485459"/>
    <d v="1955-04-18T00:00:00"/>
    <s v="Ramos, Joshua Neftalie, MD"/>
    <s v="General"/>
    <s v="2"/>
    <d v="1899-12-30T18:03:00"/>
    <d v="1899-12-30T19:31:00"/>
    <n v="88"/>
    <d v="1899-12-30T17:30:00"/>
    <d v="1899-12-30T18:30:00"/>
    <n v="60"/>
    <d v="1899-12-30T18:03:00"/>
    <d v="1899-12-30T19:22:00"/>
    <n v="79"/>
    <d v="1899-12-30T18:25:00"/>
    <d v="1899-12-30T19:16:00"/>
    <d v="1899-12-30T19:22:00"/>
    <n v="79"/>
    <n v="51"/>
    <d v="1899-12-30T19:30:25"/>
    <d v="1899-12-30T19:52:00"/>
    <n v="22"/>
    <m/>
    <m/>
    <m/>
    <s v="SHME OR 06"/>
    <s v="Urology"/>
    <s v="No"/>
    <s v="Unterberg, Stephen Harold, Md"/>
    <s v="TRANSURETHRAL ELECTROSURGICAL RESECTION OF PROSTATE, INCLUDING CONTROLOF POSTOPERATIVE BLEEDING, COMPLETE (VASECTOMY, MEATOTOMY,CYSTOURETHROSCOPY, URETHRAL CALIBRATION AND/OR DILATION, AND INTERNAL"/>
    <s v="CYSTOSCOPY, BIPOLAR TRANSURETHRAL RESECTION OF THE PROSTATE - N/A"/>
    <s v="Thu"/>
    <m/>
    <m/>
    <m/>
    <s v="UNTERBERG, STEPHEN HAROLD"/>
    <m/>
    <s v="Stephen Harold Unterberg, MD"/>
    <m/>
    <s v="Unterberg"/>
  </r>
  <r>
    <d v="2026-08-27T00:00:00"/>
    <s v="6655623"/>
    <s v="Delgado Preciado, Luz Maria"/>
    <s v="Inpatient"/>
    <x v="0"/>
    <n v="3901452810"/>
    <s v="400141539"/>
    <d v="1959-04-13T00:00:00"/>
    <s v="Sherer, Edward Harding, MD"/>
    <s v="Regional"/>
    <s v="3"/>
    <d v="1899-12-30T18:16:00"/>
    <d v="1899-12-30T21:24:00"/>
    <n v="188"/>
    <d v="1899-12-30T14:45:00"/>
    <d v="1899-12-30T18:30:00"/>
    <n v="225"/>
    <d v="1899-12-30T18:16:00"/>
    <d v="1899-12-30T21:14:00"/>
    <n v="178"/>
    <d v="1899-12-30T19:01:00"/>
    <d v="1899-12-30T20:48:00"/>
    <d v="1899-12-30T21:14:00"/>
    <n v="178"/>
    <n v="107"/>
    <d v="1899-12-30T21:17:06"/>
    <d v="1899-12-30T22:01:00"/>
    <n v="44"/>
    <m/>
    <m/>
    <m/>
    <s v="SHME OR 10"/>
    <s v="Urology"/>
    <s v="No"/>
    <s v="Salem, Carol Elizabeth, Md"/>
    <s v="NEPHRECTOMY, INCLUDING PARTIAL URETERECTOMY, ANY OPEN APPROACH INCLUDINGRIB RESECTION; RADICAL, WITH REGIONAL LYMPHADENECTOMY AND/OR VENA CAVALTHROMBECTOMY"/>
    <s v="OPEN RIGHT RADICAL NEPHRECTOMY - Right"/>
    <s v="Thu"/>
    <m/>
    <s v="ED/IP/IC"/>
    <m/>
    <s v="SALEM, CAROL ELIZABETH"/>
    <m/>
    <s v="Carol Elizabeth Salem, MD"/>
    <m/>
    <s v="Salem"/>
  </r>
  <r>
    <d v="2026-08-27T00:00:00"/>
    <s v="6470497"/>
    <s v="Kislitsyn, Natalia"/>
    <s v="Outpatient"/>
    <x v="1"/>
    <n v="3901418040"/>
    <s v="810871091"/>
    <d v="1987-02-15T00:00:00"/>
    <s v="Feduska, Collin Steven, MD"/>
    <s v="General"/>
    <s v="2"/>
    <d v="1899-12-30T10:33:00"/>
    <d v="1899-12-30T12:10:00"/>
    <n v="97"/>
    <d v="1899-12-30T10:15:00"/>
    <d v="1899-12-30T11:45:00"/>
    <n v="90"/>
    <d v="1899-12-30T10:33:00"/>
    <d v="1899-12-30T12:00:00"/>
    <n v="87"/>
    <d v="1899-12-30T10:58:00"/>
    <d v="1899-12-30T11:55:00"/>
    <d v="1899-12-30T12:00:00"/>
    <n v="87"/>
    <n v="57"/>
    <d v="1899-12-30T12:02:12"/>
    <d v="1899-12-30T13:46:00"/>
    <n v="104"/>
    <m/>
    <m/>
    <m/>
    <s v="SHME OR 14"/>
    <s v="Urology"/>
    <s v="No"/>
    <s v="Unterberg, Stephen Harold, Md"/>
    <s v="GRAFTING OF AUTOLOGOUS SOFT TISSUE, OTHER, HARVESTED BY DIRECT EXCISION (EG, FAT, DERMIS, FASCIA)_x000a_SLING OPERATION FOR STRESS INCONTINENCE (EG, FASCIA OR SYNTHETIC)"/>
    <s v="RECTUS FASCIAL SLING, CYSTOSCOPY - N/A"/>
    <s v="Thu"/>
    <m/>
    <m/>
    <m/>
    <s v="UNTERBERG, STEPHEN HAROLD"/>
    <m/>
    <s v="Stephen Harold Unterberg, MD"/>
    <m/>
    <s v="Unterberg"/>
  </r>
  <r>
    <d v="2026-08-27T00:00:00"/>
    <s v="6470605"/>
    <s v="Horcasitas, Hector R"/>
    <s v="Outpatient"/>
    <x v="1"/>
    <n v="3901418050"/>
    <s v="400223498"/>
    <d v="1972-04-02T00:00:00"/>
    <s v="Feduska, Collin Steven, MD"/>
    <s v="General"/>
    <s v="3"/>
    <d v="1899-12-30T16:37:00"/>
    <d v="1899-12-30T17:46:00"/>
    <n v="69"/>
    <d v="1899-12-30T16:00:00"/>
    <d v="1899-12-30T17:00:00"/>
    <n v="60"/>
    <d v="1899-12-30T16:37:00"/>
    <d v="1899-12-30T17:36:00"/>
    <n v="59"/>
    <d v="1899-12-30T16:59:00"/>
    <d v="1899-12-30T17:30:00"/>
    <d v="1899-12-30T17:36:00"/>
    <n v="59"/>
    <n v="31"/>
    <d v="1899-12-30T17:39:43"/>
    <d v="1899-12-30T18:31:00"/>
    <n v="52"/>
    <d v="1899-12-30T18:32:00"/>
    <d v="1899-12-30T19:01:00"/>
    <n v="29"/>
    <s v="SHME OR 06"/>
    <s v="Urology"/>
    <s v="No"/>
    <s v="Unterberg, Stephen Harold, Md"/>
    <s v="CIRCUMCISION, SURGICAL EXCISION OTHER THAN CLAMP, DEVICE, OR DORSALSLIT; OLDER THAN 28 DAYS OF AGE"/>
    <s v="CIRCUMCISION - N/A"/>
    <s v="Thu"/>
    <m/>
    <m/>
    <m/>
    <s v="UNTERBERG, STEPHEN HAROLD"/>
    <m/>
    <s v="Stephen Harold Unterberg, MD"/>
    <m/>
    <s v="Unterberg"/>
  </r>
  <r>
    <d v="2026-08-27T00:00:00"/>
    <s v="6666567"/>
    <s v="Camacho, Maria"/>
    <s v="Outpatient"/>
    <x v="1"/>
    <n v="3901454916"/>
    <s v="811484250"/>
    <d v="1978-06-07T00:00:00"/>
    <s v="Narla, Vinod Venkat, MD"/>
    <s v="General"/>
    <s v="2"/>
    <d v="1899-12-30T07:36:00"/>
    <d v="1899-12-30T08:45:00"/>
    <n v="69"/>
    <d v="1899-12-30T07:30:00"/>
    <d v="1899-12-30T08:30:00"/>
    <n v="60"/>
    <d v="1899-12-30T07:36:00"/>
    <d v="1899-12-30T08:38:00"/>
    <n v="62"/>
    <d v="1899-12-30T08:03:00"/>
    <d v="1899-12-30T08:34:00"/>
    <d v="1899-12-30T08:38:00"/>
    <n v="62"/>
    <n v="31"/>
    <d v="1899-12-30T08:39:00"/>
    <d v="1899-12-30T09:14:00"/>
    <n v="35"/>
    <d v="1899-12-30T09:15:00"/>
    <d v="1899-12-30T10:06:00"/>
    <n v="51"/>
    <s v="SHME OR 16"/>
    <s v="Obstetrics"/>
    <s v="No"/>
    <s v="Doruelo, Ashley Lian, Md, Bs"/>
    <s v="HYSTEROSCOPY, SURGICAL; WITH SAMPLING (BIOPSY) OF ENDOMETRIUM AND/ORPOLYPECTOMY, WITH OR WITHOUT D &amp; C_x000a_HYSTEROSCOPY, SURGICAL; WITH REMOVAL OF LEIOMYOMATA_x000a_HYSTEROSCOPY, SURGICAL; WITH ENDOMETRIAL ABLATION (EG, ENDOMETRIALRESECTION, ELECTROSURGICAL ABLATION, THERMOABLATION)"/>
    <s v="HYSTEROSCOPY, DILATION AND CURETTAGE, POLYPECTOMY AND ENDOMETRIALO ABLATION - N/A"/>
    <s v="Thu"/>
    <m/>
    <m/>
    <m/>
    <s v="DORUELO, ASHLEY LIAN"/>
    <m/>
    <s v="Ashley Lian Doruelo, MD, BS"/>
    <m/>
    <s v="Doruelo"/>
  </r>
  <r>
    <d v="2026-08-27T00:00:00"/>
    <s v="6471550"/>
    <s v="Dimailig, Raul Atienza"/>
    <s v="Outpatient"/>
    <x v="1"/>
    <n v="3901418226"/>
    <s v="811463513"/>
    <d v="1964-10-02T00:00:00"/>
    <s v="Feduska, Collin Steven, MD"/>
    <s v="General"/>
    <s v="2"/>
    <d v="1899-12-30T07:33:00"/>
    <d v="1899-12-30T08:15:00"/>
    <n v="42"/>
    <d v="1899-12-30T07:30:00"/>
    <d v="1899-12-30T08:15:00"/>
    <n v="45"/>
    <d v="1899-12-30T07:33:00"/>
    <d v="1899-12-30T08:05:00"/>
    <n v="32"/>
    <d v="1899-12-30T07:49:00"/>
    <d v="1899-12-30T08:02:00"/>
    <d v="1899-12-30T08:05:00"/>
    <n v="32"/>
    <n v="13"/>
    <d v="1899-12-30T08:07:55"/>
    <d v="1899-12-30T08:46:00"/>
    <n v="39"/>
    <d v="1899-12-30T08:47:00"/>
    <d v="1899-12-30T09:16:00"/>
    <n v="29"/>
    <s v="SHME OR 14"/>
    <s v="Urology"/>
    <s v="No"/>
    <s v="Unterberg, Stephen Harold, Md"/>
    <s v="LITHOTRIPSY, EXTRACORPOREAL SHOCK WAVE"/>
    <s v="LEFT EXTRACORPOREAL SHOCK WAVE LITHOTRIPSY - Left"/>
    <s v="Thu"/>
    <m/>
    <m/>
    <m/>
    <s v="UNTERBERG, STEPHEN HAROLD"/>
    <m/>
    <s v="Stephen Harold Unterberg, MD"/>
    <m/>
    <s v="Unterberg"/>
  </r>
  <r>
    <d v="2026-08-27T00:00:00"/>
    <s v="6673052"/>
    <s v="Andeel, Vernetta K"/>
    <s v="Outpatient"/>
    <x v="1"/>
    <n v="3901456057"/>
    <s v="505501636"/>
    <d v="1950-07-05T00:00:00"/>
    <s v="Chitlur, Abhijith Harish, MD"/>
    <s v="General"/>
    <s v="3"/>
    <d v="1899-12-30T16:36:00"/>
    <d v="1899-12-30T17:58:00"/>
    <n v="82"/>
    <d v="1899-12-30T16:15:00"/>
    <d v="1899-12-30T17:30:00"/>
    <n v="75"/>
    <d v="1899-12-30T16:36:00"/>
    <d v="1899-12-30T17:54:00"/>
    <n v="78"/>
    <d v="1899-12-30T16:56:00"/>
    <d v="1899-12-30T17:49:00"/>
    <d v="1899-12-30T17:54:00"/>
    <n v="78"/>
    <n v="53"/>
    <d v="1899-12-30T17:56:00"/>
    <d v="1899-12-30T18:12:00"/>
    <n v="16"/>
    <m/>
    <m/>
    <m/>
    <s v="SHME OR 02"/>
    <s v="General"/>
    <s v="No"/>
    <s v="Rivera, Louis, Md"/>
    <s v="AXILLARY LYMPHADENECTOMY; COMPLETE"/>
    <s v="RIGHT AXILLARY LYMPH NODE DISSECTION - Right"/>
    <s v="Thu"/>
    <m/>
    <m/>
    <m/>
    <s v="RIVERA, LOUIS"/>
    <m/>
    <s v="Louis Rivera, MD"/>
    <m/>
    <s v="Rivera"/>
  </r>
  <r>
    <d v="2026-08-27T00:00:00"/>
    <s v="6675799"/>
    <s v="Gindin, Gretta"/>
    <s v="Outpatient"/>
    <x v="1"/>
    <n v="3901456629"/>
    <s v="701129392"/>
    <d v="1946-09-02T00:00:00"/>
    <s v="Patel, Lance Kirit, MD"/>
    <s v="General"/>
    <s v="4"/>
    <d v="1899-12-30T14:28:00"/>
    <d v="1899-12-30T16:24:00"/>
    <n v="116"/>
    <d v="1899-12-30T13:45:00"/>
    <d v="1899-12-30T15:15:00"/>
    <n v="90"/>
    <d v="1899-12-30T14:28:00"/>
    <d v="1899-12-30T16:14:00"/>
    <n v="106"/>
    <d v="1899-12-30T14:56:00"/>
    <d v="1899-12-30T16:11:00"/>
    <d v="1899-12-30T16:14:00"/>
    <n v="106"/>
    <n v="75"/>
    <d v="1899-12-30T16:17:00"/>
    <d v="1899-12-30T18:00:56"/>
    <n v="103"/>
    <d v="1899-12-30T18:00:59"/>
    <d v="1899-12-30T18:15:09"/>
    <n v="15"/>
    <s v="SHME OR 04"/>
    <s v="General"/>
    <s v="Yes"/>
    <s v="Dieffenbach, Bryan Vinson, Md"/>
    <s v="REVISION, OPEN, ARTERIOVENOUS FISTULA; WITHOUT THROMBECTOMY, AUTOGENOUSOR NONAUTOGENOUS DIALYSIS GRAFT (SEPARATE PROCEDURE)"/>
    <s v="REVISION RIGHT ARM DIALYSIS ACCESS - Right"/>
    <s v="Thu"/>
    <m/>
    <m/>
    <m/>
    <s v="DIEFFENBACH, BRYAN VINSON"/>
    <m/>
    <s v="Bryan Vinson Dieffenbach, MD"/>
    <m/>
    <s v="Dieffenbach"/>
  </r>
  <r>
    <d v="2026-08-27T00:00:00"/>
    <s v="6675867"/>
    <s v="Meraz, Robert George Laesch"/>
    <s v="Outpatient"/>
    <x v="1"/>
    <n v="3901456649"/>
    <s v="810869384"/>
    <d v="1971-04-20T00:00:00"/>
    <s v="Luu, Tiffany, MD"/>
    <s v="General"/>
    <s v="2"/>
    <d v="1899-12-30T09:39:00"/>
    <d v="1899-12-30T11:45:00"/>
    <n v="126"/>
    <d v="1899-12-30T10:00:00"/>
    <d v="1899-12-30T12:00:00"/>
    <n v="120"/>
    <d v="1899-12-30T09:39:00"/>
    <d v="1899-12-30T11:41:00"/>
    <n v="122"/>
    <d v="1899-12-30T09:53:00"/>
    <d v="1899-12-30T11:37:00"/>
    <d v="1899-12-30T11:41:00"/>
    <n v="122"/>
    <n v="104"/>
    <d v="1899-12-30T11:43:00"/>
    <d v="1899-12-30T12:16:00"/>
    <n v="33"/>
    <d v="1899-12-30T12:17:00"/>
    <d v="1899-12-30T13:18:00"/>
    <n v="61"/>
    <s v="SHME OR 16"/>
    <s v="Podiatry"/>
    <s v="Yes"/>
    <s v="Do, Ruth Nguyen, Dpm"/>
    <s v="OSTECTOMY, COMPLETE EXCISION; OTHER METATARSAL HEAD (SECOND, THIRD ORFOURTH)"/>
    <s v="FIRST METATARSAL HEAD RESECTION, LEFT FOOT - Left"/>
    <s v="Thu"/>
    <m/>
    <m/>
    <m/>
    <s v="DO, RUTH NGUYEN_x000a_SCHNEIDER, SARAH ASHLEY"/>
    <s v="Panel 1: Dr. Do, Ruth Nguyen, DPM / Schneider, Sarah Ashley, DPM"/>
    <s v="Ruth Nguyen Do, DPM"/>
    <m/>
    <s v="Do"/>
  </r>
  <r>
    <d v="2026-08-27T00:00:00"/>
    <s v="6677109"/>
    <s v="Rodriguez Se, Ramon"/>
    <s v="Inpatient"/>
    <x v="0"/>
    <n v="3400729440"/>
    <s v="620006401"/>
    <d v="1953-10-18T00:00:00"/>
    <s v="Epps, Michelle Tatum, MD"/>
    <s v="General"/>
    <s v="3"/>
    <d v="1899-12-30T07:48:00"/>
    <d v="1899-12-30T15:29:00"/>
    <n v="461"/>
    <d v="1899-12-30T07:30:00"/>
    <d v="1899-12-30T12:45:00"/>
    <n v="315"/>
    <d v="1899-12-30T07:48:00"/>
    <d v="1899-12-30T15:24:00"/>
    <n v="456"/>
    <d v="1899-12-30T09:05:00"/>
    <d v="1899-12-30T14:48:00"/>
    <d v="1899-12-30T15:24:00"/>
    <n v="456"/>
    <n v="343"/>
    <m/>
    <m/>
    <m/>
    <m/>
    <m/>
    <m/>
    <s v="SHME OR 05"/>
    <s v="Neurosurgery"/>
    <s v="Yes"/>
    <s v="Zauner, Alois, Md"/>
    <s v="VERTEBRAL CORPECTOMY (VERTEBRAL BODY RESECTION), PARTIAL OR COMPLETE,ANTERIOR APPROACH WITH DECOMPRESSION OF SPINAL CORD AND/OR NERVEROOT(S); CERVICAL, SINGLE SEGMENT_x000a_MICROSURGICAL TECHNIQUES, REQUIRING USE OF OPERATING MICROSCOPE (LISTSEPARATELY IN ADDITION TO CODE FOR PRIMARY PROCEDURE)_x000a_PATHOLOGY CONSULTATION DURING SURGERY; FIRST TISSUE BLOCK, WITH FROZENSECTION(S), SINGLE SPECIMEN_x000a_CONTINUOUS INTRAOPERATIVE NEUROPHYSIOLOGY MONITORING IN THE OPERATINGROOM, ONE ON ONE MONITORING REQUIRING PERSONAL ATTENDANCE, EACH 15MINUTES (LIST SEPARATELY IN ADDITION TO CODE FOR PRIMARY PROCED_x000a_VERTEBRAL CORPECTOMY (VERTEBRAL BODY RESECTION), PARTIAL OR COMPLETE,ANTERIOR APPROACH WITH DECOMPRESSION OF SPINAL CORD AND/OR NERVEROOT(S); CERVICAL, EACH ADDITIONAL SEGMENT (LIST SEPARATELY IN AD_x000a_FLUOROSCOPY (SEPARATE PROCEDURE), UP TO 1 HOUR PHYSICIAN OR OTHERQUALIFIED HEALTH CARE PROFESSIONAL TIME, OTHER THAN 71023 OR 71034 (EG,CARDIAC FLUOROSCOPY)_x000a_ARTHRODESIS, ANTERIOR INTERBODY, INCLUDING DISC SPACE PREPARATION,DISCECTOMY, OSTEOPHYTECTOMY AND DECOMPRESSION OF SPINAL CORD AND/ORNERVE ROOTS; CERVICAL BELOW C2_x000a_INSERTION OF INTERBODY BIOMECHANICAL DEVICE(S) (EG, SYNTHETIC CAGE, MESH) WITHINTEGRAL ANTERIOR INSTRUMENTATION FOR DEVICE ANCHORING (EG, SCREWS, FLANGES),WHEN PERFORMED, TO INTERVERTEBRAL DISC SPAC_x000a_STEREOTACTIC COMPUTER-ASSISTED (NAVIGATIONAL) PROCEDURE; SPINAL (LISTSEPARATELY IN ADDITION TO CODE FOR PRIMARY PROCEDURE)"/>
    <s v="CORPECTOMY OF CERVICAL 3 AND CERVICAL 4 WITH INSTRUMENTED FUSION AND TUMOR RESECTION - N/A"/>
    <s v="Thu"/>
    <m/>
    <s v="ED/IP/IC"/>
    <m/>
    <s v="ZAUNER, ALOIS"/>
    <m/>
    <s v="Alois Zauner, MD"/>
    <m/>
    <s v="Zauner"/>
  </r>
  <r>
    <d v="2026-08-27T00:00:00"/>
    <s v="6679288"/>
    <s v="Scott, Marilyn"/>
    <s v="Outpatient"/>
    <x v="1"/>
    <n v="3901457232"/>
    <s v="810258995"/>
    <d v="1971-03-05T00:00:00"/>
    <s v="Luu, Tiffany, MD"/>
    <s v="General"/>
    <s v="3"/>
    <d v="1899-12-30T12:25:00"/>
    <d v="1899-12-30T13:17:00"/>
    <n v="52"/>
    <d v="1899-12-30T12:30:00"/>
    <d v="1899-12-30T14:00:00"/>
    <n v="90"/>
    <d v="1899-12-30T12:25:00"/>
    <d v="1899-12-30T13:12:00"/>
    <n v="47"/>
    <d v="1899-12-30T12:50:00"/>
    <d v="1899-12-30T13:05:00"/>
    <d v="1899-12-30T13:12:00"/>
    <n v="47"/>
    <n v="15"/>
    <d v="1899-12-30T13:19:17"/>
    <d v="1899-12-30T14:11:00"/>
    <n v="52"/>
    <d v="1899-12-30T14:11:00"/>
    <d v="1899-12-30T14:31:00"/>
    <n v="20"/>
    <s v="SHME OR 16"/>
    <s v="Orthopedics"/>
    <s v="Yes"/>
    <s v="Sun, Michael, Md"/>
    <s v="TENDON SHEATH INCISION (EG, FOR TRIGGER FINGER)"/>
    <s v="LEFT TRIGGER THUMB RELEASE - Left"/>
    <s v="Thu"/>
    <m/>
    <m/>
    <m/>
    <s v="SUN, MICHAEL"/>
    <m/>
    <s v="Michael Sun, MD"/>
    <m/>
    <s v="Sun"/>
  </r>
  <r>
    <d v="2026-08-27T00:00:00"/>
    <s v="6685736"/>
    <s v="Atkins, Leslie D"/>
    <s v="Inpatient"/>
    <x v="0"/>
    <n v="3901457928"/>
    <s v="611422451"/>
    <d v="1957-09-30T00:00:00"/>
    <s v="Baja, Diosdado An Jr., MD"/>
    <s v="General"/>
    <s v="4"/>
    <d v="1899-12-30T12:18:00"/>
    <d v="1899-12-30T13:38:00"/>
    <n v="80"/>
    <d v="1899-12-30T12:00:00"/>
    <d v="1899-12-30T13:00:00"/>
    <n v="60"/>
    <d v="1899-12-30T12:18:00"/>
    <d v="1899-12-30T13:30:00"/>
    <n v="72"/>
    <d v="1899-12-30T12:40:00"/>
    <d v="1899-12-30T13:22:00"/>
    <d v="1899-12-30T13:30:00"/>
    <n v="72"/>
    <n v="42"/>
    <m/>
    <m/>
    <m/>
    <m/>
    <m/>
    <m/>
    <s v="SHME OR 02"/>
    <s v="ENT"/>
    <s v="Yes"/>
    <s v="Arnell, Thomas Luke, Md"/>
    <s v="TRACHEOSTOMY, PLANNED (SEPARATE PROCEDURE);"/>
    <s v="TRACHEOSTOMY - N/A"/>
    <s v="Thu"/>
    <m/>
    <s v="ED/IP/IC"/>
    <m/>
    <s v="ARNELL, THOMAS LUKE"/>
    <m/>
    <s v="Thomas Luke Arnell, MD"/>
    <m/>
    <s v="Arnell"/>
  </r>
  <r>
    <d v="2026-08-27T00:00:00"/>
    <s v="6688590"/>
    <s v="Vaca Campos, Miguel"/>
    <s v="Inpatient"/>
    <x v="0"/>
    <n v="3901458285"/>
    <s v="811087922"/>
    <d v="1955-09-29T00:00:00"/>
    <s v="Sherer, Edward Harding, MD"/>
    <s v="Regional"/>
    <s v="4"/>
    <d v="1899-12-30T06:27:00"/>
    <d v="1899-12-30T14:06:00"/>
    <n v="459"/>
    <d v="1899-12-30T06:15:00"/>
    <d v="1899-12-30T12:15:00"/>
    <n v="360"/>
    <d v="1899-12-30T06:27:00"/>
    <d v="1899-12-30T13:50:00"/>
    <n v="443"/>
    <d v="1899-12-30T08:28:00"/>
    <d v="1899-12-30T13:24:00"/>
    <d v="1899-12-30T13:50:00"/>
    <n v="443"/>
    <n v="296"/>
    <m/>
    <m/>
    <m/>
    <m/>
    <m/>
    <m/>
    <s v="SHME OR 08"/>
    <s v="Cardiothoracic"/>
    <s v="No"/>
    <s v="Williams, David Mccann, Md"/>
    <s v="CORONARY ARTERY BYPASS, USING ARTERIAL GRAFT(S); 3 CORONARY ARTERIALGRAFTS_x000a_ENDOSCOPY, SURGICAL, INCLUDING VIDEO-ASSISTED HARVEST OF VEIN(S) FORCORONARY ARTERY BYPASS PROCEDURE (LIST SEPARATELY IN ADDITION TO CODEFOR PRIMARY PROCEDURE)"/>
    <s v="CORONARY ARTERY BYPASS GRAFT; LEFT INTERNAL MAMMARY ARTERY; ENDOSCOPIC VEIN HARVEST - N/A"/>
    <s v="Thu"/>
    <m/>
    <m/>
    <m/>
    <s v="ISLAMI MANUCHEHRY, MOHAMMAD HOSEIN_x000a_WILLIAMS, DAVID MCCANN"/>
    <s v="Panel 1: Dr. Williams, David McCann, MD / Islami Manuchehry, Mohammad Hosein, MD"/>
    <s v="David McCann Williams, MD"/>
    <m/>
    <s v="Williams"/>
  </r>
  <r>
    <d v="2026-08-27T00:00:00"/>
    <s v="6688889"/>
    <s v="Greene, Samuel A"/>
    <s v="Inpatient"/>
    <x v="0"/>
    <n v="3901440848"/>
    <s v="610549711"/>
    <d v="1963-06-10T00:00:00"/>
    <s v="Narla, Vinod Venkat, MD"/>
    <s v="General"/>
    <s v="4"/>
    <d v="1899-12-30T10:13:00"/>
    <d v="1899-12-30T15:11:00"/>
    <n v="298"/>
    <d v="1899-12-30T10:00:00"/>
    <d v="1899-12-30T14:00:00"/>
    <n v="240"/>
    <d v="1899-12-30T10:13:00"/>
    <d v="1899-12-30T15:03:00"/>
    <n v="290"/>
    <d v="1899-12-30T11:13:00"/>
    <d v="1899-12-30T15:00:00"/>
    <d v="1899-12-30T15:03:00"/>
    <n v="290"/>
    <n v="227"/>
    <d v="1899-12-30T15:07:17"/>
    <d v="1899-12-30T16:30:00"/>
    <n v="83"/>
    <m/>
    <m/>
    <m/>
    <s v="SHME OR 03"/>
    <s v="Vascular"/>
    <s v="Yes"/>
    <s v="Fernandez, Nathanial, Md"/>
    <s v="REVISION, LOWER EXTREMITY ARTERIAL BYPASS, WITHOUT THROMBECTOMY, OPEN;WITH SEGMENTAL VEIN INTERPOSITION"/>
    <s v="REVISION RIGHT FEMORAL TO TIBIAL BYPASS - Right"/>
    <s v="Thu"/>
    <m/>
    <s v="ED/IP/IC"/>
    <m/>
    <s v="FERNANDEZ, NATHANIAL"/>
    <m/>
    <s v="Nathanial Fernandez, MD"/>
    <m/>
    <s v="Fernandez"/>
  </r>
  <r>
    <d v="2026-08-27T00:00:00"/>
    <s v="6689848"/>
    <s v="Ibrahim, Yehya"/>
    <s v="Outpatient"/>
    <x v="1"/>
    <n v="3901459457"/>
    <s v="701882992"/>
    <d v="1980-09-13T00:00:00"/>
    <s v="Luu, Tiffany, MD"/>
    <s v="General"/>
    <s v="2"/>
    <d v="1899-12-30T07:33:00"/>
    <d v="1899-12-30T08:12:00"/>
    <n v="39"/>
    <d v="1899-12-30T07:30:00"/>
    <d v="1899-12-30T08:30:00"/>
    <n v="60"/>
    <d v="1899-12-30T07:33:00"/>
    <d v="1899-12-30T08:09:00"/>
    <n v="36"/>
    <d v="1899-12-30T08:00:00"/>
    <d v="1899-12-30T08:03:00"/>
    <d v="1899-12-30T08:09:00"/>
    <n v="36"/>
    <n v="3"/>
    <d v="1899-12-30T08:15:00"/>
    <d v="1899-12-30T09:12:19"/>
    <n v="57"/>
    <d v="1899-12-30T09:12:22"/>
    <d v="1899-12-30T09:17:17"/>
    <n v="5"/>
    <s v="SHME OR 03"/>
    <s v="Urology"/>
    <s v="No"/>
    <s v="Pe, Mark-Rally Lao, Md"/>
    <s v="CYSTOURETHROSCOPY (SEPARATE PROCEDURE)"/>
    <s v="CYSTOSCOPY - N/A"/>
    <s v="Thu"/>
    <m/>
    <m/>
    <m/>
    <s v="PE, MARK-RALLY LAO"/>
    <m/>
    <s v="Mark-Rally Lao Pe, MD"/>
    <m/>
    <s v="Pe"/>
  </r>
  <r>
    <d v="2026-08-27T00:00:00"/>
    <s v="6690360"/>
    <s v="Lewis, Irene"/>
    <s v="Inpatient"/>
    <x v="0"/>
    <n v="3901439197"/>
    <s v="811096796"/>
    <d v="1995-10-31T00:00:00"/>
    <s v="Patel, Lance Kirit, MD"/>
    <s v="General"/>
    <s v="3"/>
    <d v="1899-12-30T17:00:00"/>
    <d v="1899-12-30T18:24:00"/>
    <n v="84"/>
    <d v="1899-12-30T17:00:00"/>
    <d v="1899-12-30T17:30:00"/>
    <n v="30"/>
    <d v="1899-12-30T17:00:00"/>
    <d v="1899-12-30T18:14:00"/>
    <n v="74"/>
    <d v="1899-12-30T17:50:00"/>
    <d v="1899-12-30T18:10:00"/>
    <d v="1899-12-30T18:14:00"/>
    <n v="74"/>
    <n v="20"/>
    <d v="1899-12-30T18:16:02"/>
    <d v="1899-12-30T19:09:00"/>
    <n v="53"/>
    <m/>
    <m/>
    <m/>
    <s v="SHME OR 04"/>
    <s v="General"/>
    <s v="No"/>
    <s v="Dieffenbach, Bryan Vinson, Md"/>
    <s v="INCISION AND DRAINAGE, COMPLEX, POSTOPERATIVE WOUND INFECTION"/>
    <s v="LEFT ARM WOUND WASHOUT AND WOUND VAC CHANGE, POSIBLE RIGHT ARM INCISION AND DRAINAGE - Left"/>
    <s v="Thu"/>
    <m/>
    <s v="ED/IP/IC"/>
    <m/>
    <s v="DIEFFENBACH, BRYAN VINSON"/>
    <m/>
    <s v="Bryan Vinson Dieffenbach, MD"/>
    <m/>
    <s v="Dieffenbach"/>
  </r>
  <r>
    <d v="2026-08-27T00:00:00"/>
    <s v="6690776"/>
    <s v="Hoxie, Pamela S"/>
    <s v="Outpatient"/>
    <x v="1"/>
    <n v="3901459623"/>
    <s v="700147273"/>
    <d v="1948-06-27T00:00:00"/>
    <s v="Narla, Vinod Venkat, MD"/>
    <s v="General"/>
    <s v="2"/>
    <d v="1899-12-30T16:08:00"/>
    <d v="1899-12-30T17:44:00"/>
    <n v="96"/>
    <d v="1899-12-30T15:45:00"/>
    <d v="1899-12-30T17:15:00"/>
    <n v="90"/>
    <d v="1899-12-30T16:08:00"/>
    <d v="1899-12-30T17:36:00"/>
    <n v="88"/>
    <d v="1899-12-30T16:36:00"/>
    <d v="1899-12-30T17:33:00"/>
    <d v="1899-12-30T17:36:00"/>
    <n v="88"/>
    <n v="57"/>
    <d v="1899-12-30T17:40:34"/>
    <d v="1899-12-30T19:30:00"/>
    <n v="110"/>
    <m/>
    <m/>
    <m/>
    <s v="SHME OR 01"/>
    <s v="Orthopedics"/>
    <s v="No"/>
    <s v="Tanaka, Scott Kiyoshi, Md"/>
    <s v="REMOVAL OF IMPLANT; DEEP (EG, BURIED WIRE, PIN, SCREW, METAL BAND, NAIL,ROD OR PLATE)"/>
    <s v="LEFT PROXIMAL HUMERUS HARDWARE REMOVAL - Left"/>
    <s v="Thu"/>
    <m/>
    <m/>
    <m/>
    <s v="TANAKA, SCOTT KIYOSHI"/>
    <m/>
    <s v="Scott Kiyoshi Tanaka, MD"/>
    <m/>
    <s v="Tanaka"/>
  </r>
  <r>
    <d v="2026-08-27T00:00:00"/>
    <s v="6694410"/>
    <s v="Whitecrow, Bret"/>
    <s v="Inpatient"/>
    <x v="0"/>
    <n v="3400733059"/>
    <s v="700394707"/>
    <d v="1959-03-04T00:00:00"/>
    <s v="Ngo, Donald Hanh, MD"/>
    <s v="General"/>
    <s v="3"/>
    <d v="1899-12-30T12:23:00"/>
    <d v="1899-12-30T14:52:00"/>
    <n v="149"/>
    <d v="1899-12-30T12:15:00"/>
    <d v="1899-12-30T14:15:00"/>
    <n v="120"/>
    <d v="1899-12-30T12:23:00"/>
    <d v="1899-12-30T14:46:00"/>
    <n v="143"/>
    <d v="1899-12-30T12:56:00"/>
    <d v="1899-12-30T14:42:00"/>
    <d v="1899-12-30T14:46:00"/>
    <n v="143"/>
    <n v="106"/>
    <d v="1899-12-30T14:47:00"/>
    <d v="1899-12-30T15:31:00"/>
    <n v="44"/>
    <m/>
    <m/>
    <m/>
    <s v="SHME OR 09"/>
    <s v="General"/>
    <s v="Yes"/>
    <s v="Giurgiu, Dan I.N., Md"/>
    <s v="LAPAROSCOPY, SURGICAL; CHOLECYSTECTOMY"/>
    <s v="ROBOT ASSISTED POSSIBLE LAPAROSCOPIC CHOLECYSTECTOMY, POSSIBLE OPEN, WITH CHOLANGIOGRAM - N/A"/>
    <s v="Thu"/>
    <m/>
    <m/>
    <m/>
    <s v="GIURGIU, DAN I.N."/>
    <m/>
    <s v="Dan I.N. Giurgiu, MD (619-330-8330)"/>
    <m/>
    <s v="Giurgiu"/>
  </r>
  <r>
    <d v="2026-08-27T00:00:00"/>
    <s v="6695870"/>
    <s v="Chavez Gallegos, Juan"/>
    <s v="Inpatient"/>
    <x v="0"/>
    <n v="3901455344"/>
    <s v="701346003"/>
    <d v="1943-12-11T00:00:00"/>
    <s v="Ngo, Donald Hanh, MD"/>
    <s v="General"/>
    <s v="3"/>
    <d v="1899-12-30T15:34:00"/>
    <d v="1899-12-30T21:27:00"/>
    <n v="353"/>
    <d v="1899-12-30T14:45:00"/>
    <d v="1899-12-30T16:45:00"/>
    <n v="120"/>
    <d v="1899-12-30T15:34:00"/>
    <d v="1899-12-30T21:21:00"/>
    <n v="347"/>
    <d v="1899-12-30T16:23:00"/>
    <d v="1899-12-30T21:12:00"/>
    <d v="1899-12-30T21:21:00"/>
    <n v="347"/>
    <n v="289"/>
    <d v="1899-12-30T21:25:00"/>
    <d v="1899-12-30T01:35:00"/>
    <n v="250"/>
    <m/>
    <m/>
    <m/>
    <s v="SHME OR 09"/>
    <s v="General"/>
    <s v="No"/>
    <s v="Giurgiu, Dan I.N., Md"/>
    <s v="LAPAROSCOPY, SURGICAL; CHOLECYSTECTOMY"/>
    <s v="ROBOT ASSISTED POSSIBLE LAPAROSCOPIC CHOLECYSTECTOMY, POSSIBLE OPEN - N/A"/>
    <s v="Thu"/>
    <m/>
    <s v="ED/IP/IC"/>
    <m/>
    <s v="GIURGIU, DAN I.N."/>
    <m/>
    <s v="Dan I.N. Giurgiu, MD (619-330-8330)"/>
    <m/>
    <s v="Giurgiu"/>
  </r>
  <r>
    <d v="2026-08-27T00:00:00"/>
    <s v="6696151"/>
    <s v="Villavicencio, Jose R"/>
    <s v="Inpatient"/>
    <x v="0"/>
    <n v="3901458727"/>
    <s v="700200971"/>
    <d v="1961-07-20T00:00:00"/>
    <s v="Nalbandian, Dikran Hratch, MD"/>
    <s v="General"/>
    <s v="3"/>
    <d v="1899-12-30T07:26:00"/>
    <d v="1899-12-30T10:20:00"/>
    <n v="174"/>
    <d v="1899-12-30T07:30:00"/>
    <d v="1899-12-30T09:45:00"/>
    <n v="135"/>
    <d v="1899-12-30T07:26:00"/>
    <d v="1899-12-30T10:15:00"/>
    <n v="169"/>
    <d v="1899-12-30T08:00:00"/>
    <d v="1899-12-30T09:59:00"/>
    <d v="1899-12-30T10:15:00"/>
    <n v="169"/>
    <n v="119"/>
    <d v="1899-12-30T10:17:31"/>
    <d v="1899-12-30T11:16:00"/>
    <n v="59"/>
    <m/>
    <m/>
    <m/>
    <s v="SHME OR 01"/>
    <s v="Orthopedics"/>
    <s v="Yes"/>
    <s v="Kuhn, Kevin Matthew, Md"/>
    <s v="REMOVAL OF IMPLANT; DEEP (EG, BURIED WIRE, PIN, SCREW, METAL BAND, NAIL,ROD OR PLATE)_x000a_ARTHROTOMY, KNEE, WITH EXPLORATION, DRAINAGE, OR REMOVAL OF FOREIGN BODY(EG, INFECTION)_x000a_PARTIAL EXCISION (CRATERIZATION, SAUCERIZATION, OR DIAPHYSECTOMY) BONE,FEMUR, PROXIMAL TIBIA AND/OR FIBULA (EG, OSTEOMYELITIS OR BONE ABSCESS)"/>
    <s v="REMOVAL OF IMPLANT; DEEP (EG, BURIED WIRE, PIN, SCREW, METAL BAND, NAIL,ROD OR PLATE) - Right"/>
    <s v="Thu"/>
    <m/>
    <s v="ED/IP/IC"/>
    <m/>
    <s v="KUHN, KEVIN MATTHEW"/>
    <m/>
    <s v="Kevin Matthew Kuhn, MD"/>
    <m/>
    <s v="Kuhn"/>
  </r>
  <r>
    <d v="2026-08-27T00:00:00"/>
    <s v="6696312"/>
    <s v="Contreras Miguel, Arturo"/>
    <s v="Inpatient"/>
    <x v="0"/>
    <n v="3901459733"/>
    <s v="811487087"/>
    <d v="1963-04-13T00:00:00"/>
    <s v="Nalbandian, Dikran Hratch, MD"/>
    <s v="Regional"/>
    <s v="2"/>
    <d v="1899-12-30T10:55:00"/>
    <d v="1899-12-30T13:46:00"/>
    <n v="171"/>
    <d v="1899-12-30T10:15:00"/>
    <d v="1899-12-30T12:15:00"/>
    <n v="120"/>
    <d v="1899-12-30T10:55:00"/>
    <d v="1899-12-30T13:41:00"/>
    <n v="166"/>
    <d v="1899-12-30T11:19:00"/>
    <d v="1899-12-30T13:36:00"/>
    <d v="1899-12-30T13:41:00"/>
    <n v="166"/>
    <n v="137"/>
    <d v="1899-12-30T13:45:24"/>
    <d v="1899-12-30T14:45:39"/>
    <n v="60"/>
    <m/>
    <m/>
    <m/>
    <s v="SHME OR 01"/>
    <s v="Orthopedics"/>
    <s v="No"/>
    <s v="Kuhn, Kevin Matthew, Md"/>
    <s v="OPEN TREATMENT OF DISTAL RADIAL INTRA-ARTICULAR FRACTURE OR EPIPHYSEALSEPARATION; WITH INTERNAL FIXATION OF 3 OR MORE FRAGMENTS"/>
    <s v="OPEN TREATMENT OF DISTAL RADIAL INTRA-ARTICULAR FRACTURE OR EPIPHYSEALSEPARATION; WITH INTERNAL FIXATION OF 3 OR MORE FRAGMENTS - Left"/>
    <s v="Thu"/>
    <m/>
    <m/>
    <m/>
    <s v="KUHN, KEVIN MATTHEW"/>
    <m/>
    <s v="Kevin Matthew Kuhn, MD"/>
    <m/>
    <s v="Kuhn"/>
  </r>
  <r>
    <d v="2026-08-27T00:00:00"/>
    <s v="6697009"/>
    <s v="Orozco, Ruby J"/>
    <s v="Inpatient"/>
    <x v="0"/>
    <n v="3901460338"/>
    <s v="611699781"/>
    <d v="1968-12-07T00:00:00"/>
    <s v="Feduska, Collin Steven, MD"/>
    <s v="General"/>
    <s v="2"/>
    <d v="1899-12-30T15:02:00"/>
    <d v="1899-12-30T16:33:00"/>
    <n v="91"/>
    <d v="1899-12-30T14:15:00"/>
    <d v="1899-12-30T15:25:00"/>
    <n v="70"/>
    <d v="1899-12-30T15:02:00"/>
    <d v="1899-12-30T16:26:00"/>
    <n v="84"/>
    <d v="1899-12-30T15:28:00"/>
    <d v="1899-12-30T16:18:00"/>
    <d v="1899-12-30T16:26:00"/>
    <n v="84"/>
    <n v="50"/>
    <d v="1899-12-30T16:31:10"/>
    <d v="1899-12-30T17:00:00"/>
    <n v="29"/>
    <d v="1899-12-30T17:01:00"/>
    <m/>
    <m/>
    <s v="SHME OR 14"/>
    <s v="Urology"/>
    <s v="Yes"/>
    <s v="Unterberg, Stephen Harold, Md"/>
    <s v="CYSTOURETHROSCOPY, WITH URETEROSCOPY AND/OR PYELOSCOPY; WITHLITHOTRIPSY INCLUDING INSERTION OF INDWELLING URETERAL STENT (EG,GIBBONS OR DOUBLE-J TYPE)"/>
    <s v="cystoscopy left ureteroscopy laser lithotripsy, stent exchange - Left"/>
    <s v="Thu"/>
    <m/>
    <m/>
    <m/>
    <s v="UNTERBERG, STEPHEN HAROLD"/>
    <m/>
    <s v="Stephen Harold Unterberg, MD"/>
    <m/>
    <s v="Unterberg"/>
  </r>
  <r>
    <d v="2026-08-27T00:00:00"/>
    <s v="6697063"/>
    <s v="Hutton, Evan"/>
    <s v="Outpatient"/>
    <x v="1"/>
    <n v="3901460574"/>
    <s v="810789282"/>
    <d v="1999-04-27T00:00:00"/>
    <s v="Ngo, Donald Hanh, MD"/>
    <s v="General"/>
    <s v="2"/>
    <d v="1899-12-30T10:18:00"/>
    <d v="1899-12-30T11:44:00"/>
    <n v="86"/>
    <d v="1899-12-30T10:00:00"/>
    <d v="1899-12-30T11:40:00"/>
    <n v="100"/>
    <d v="1899-12-30T10:18:00"/>
    <d v="1899-12-30T11:38:00"/>
    <n v="80"/>
    <d v="1899-12-30T10:41:00"/>
    <d v="1899-12-30T11:34:00"/>
    <d v="1899-12-30T11:38:00"/>
    <n v="80"/>
    <n v="53"/>
    <d v="1899-12-30T11:42:00"/>
    <d v="1899-12-30T12:18:00"/>
    <n v="36"/>
    <m/>
    <m/>
    <m/>
    <s v="SHME OR 09"/>
    <s v="General"/>
    <s v="No"/>
    <s v="Giurgiu, Dan I.N., Md"/>
    <s v="LAPAROSCOPY, SURGICAL, APPENDECTOMY"/>
    <s v="ROBOT APPENDECTOMY, POSSIBLE LAPAROSCOPIC OR OPEN - N/A"/>
    <s v="Thu"/>
    <m/>
    <m/>
    <m/>
    <s v="GIURGIU, DAN I.N."/>
    <m/>
    <s v="Dan I.N. Giurgiu, MD (619-330-8330)"/>
    <m/>
    <s v="Giurgiu"/>
  </r>
  <r>
    <d v="2026-08-27T00:00:00"/>
    <s v="6698102"/>
    <s v="Lopez-Perez, Paula"/>
    <s v="Inpatient"/>
    <x v="0"/>
    <n v="3901436988"/>
    <s v="701951411"/>
    <d v="1940-10-20T00:00:00"/>
    <s v="Patel, Lance Kirit, MD"/>
    <s v="General"/>
    <s v="4"/>
    <d v="1899-12-30T11:44:00"/>
    <d v="1899-12-30T14:28:00"/>
    <n v="164"/>
    <d v="1899-12-30T10:45:00"/>
    <d v="1899-12-30T12:35:00"/>
    <n v="110"/>
    <d v="1899-12-30T11:44:00"/>
    <d v="1899-12-30T14:14:00"/>
    <n v="150"/>
    <d v="1899-12-30T12:17:00"/>
    <d v="1899-12-30T14:02:00"/>
    <d v="1899-12-30T14:14:00"/>
    <n v="150"/>
    <n v="105"/>
    <m/>
    <m/>
    <m/>
    <m/>
    <m/>
    <m/>
    <s v="SHME OR 07"/>
    <s v="General"/>
    <s v="No"/>
    <s v="Dieffenbach, Bryan Vinson, Md"/>
    <s v="EMBOLECTOMY OR THROMBECTOMY, WITH OR WITHOUT CATHETER; FEMOROPOPLITEAL,AORTOILIAC ARTERY, BY LEG INCISION"/>
    <s v="RIGHT groin exploration, iliofemoral thrombectomy, possible endarterectomy - Right"/>
    <s v="Thu"/>
    <m/>
    <m/>
    <m/>
    <s v="DIEFFENBACH, BRYAN VINSON"/>
    <m/>
    <s v="Bryan Vinson Dieffenbach, MD"/>
    <m/>
    <s v="Dieffenbach"/>
  </r>
  <r>
    <d v="2026-08-27T00:00:00"/>
    <s v="6699612"/>
    <s v="Markie, Kedra L"/>
    <s v="Inpatient"/>
    <x v="0"/>
    <n v="3901460362"/>
    <s v="810019654"/>
    <d v="1977-09-30T00:00:00"/>
    <s v="Ramos, Joshua Neftalie, MD"/>
    <s v="General"/>
    <s v="2"/>
    <d v="1899-12-30T19:54:00"/>
    <d v="1899-12-30T21:59:00"/>
    <n v="125"/>
    <d v="1899-12-30T17:00:00"/>
    <d v="1899-12-30T18:15:00"/>
    <n v="75"/>
    <d v="1899-12-30T19:54:00"/>
    <d v="1899-12-30T21:50:00"/>
    <n v="116"/>
    <d v="1899-12-30T20:23:00"/>
    <d v="1899-12-30T21:43:00"/>
    <d v="1899-12-30T21:50:00"/>
    <n v="116"/>
    <n v="80"/>
    <d v="1899-12-30T21:56:43"/>
    <d v="1899-12-30T23:27:00"/>
    <n v="91"/>
    <m/>
    <m/>
    <m/>
    <s v="SHME OR 03"/>
    <s v="Plastics"/>
    <s v="No"/>
    <s v="Hess, Jason R, Md"/>
    <s v="PERI-IMPLANT CAPSULECTOMY, BREAST, COMPLETE, INCLUDING REMOVAL OF ALL INTRACAPSULAR CONTENTS"/>
    <s v="PERI-IMPLANT CAPSULECTOMY, BREAST, COMPLETE, INCLUDING REMOVAL OF ALL INTRACAPSULAR CONTENTS - Right"/>
    <s v="Thu"/>
    <m/>
    <m/>
    <m/>
    <s v="HESS, JASON R"/>
    <m/>
    <s v="Jason R Hess, MD"/>
    <m/>
    <s v="Hess"/>
  </r>
  <r>
    <d v="2026-08-27T00:00:00"/>
    <s v="6700176"/>
    <s v="Strong, John H"/>
    <s v="Inpatient"/>
    <x v="0"/>
    <n v="3901460906"/>
    <s v="811493664"/>
    <d v="1957-07-21T00:00:00"/>
    <s v="Baja, Diosdado An Jr., MD"/>
    <s v="Regional"/>
    <s v="2"/>
    <d v="1899-12-30T16:05:00"/>
    <d v="1899-12-30T17:50:00"/>
    <n v="105"/>
    <d v="1899-12-30T15:45:00"/>
    <d v="1899-12-30T17:20:00"/>
    <n v="95"/>
    <d v="1899-12-30T16:05:00"/>
    <d v="1899-12-30T17:45:00"/>
    <n v="100"/>
    <d v="1899-12-30T16:28:00"/>
    <d v="1899-12-30T17:33:00"/>
    <d v="1899-12-30T17:45:00"/>
    <n v="100"/>
    <n v="65"/>
    <d v="1899-12-30T17:50:20"/>
    <d v="1899-12-30T18:20:53"/>
    <n v="30"/>
    <m/>
    <m/>
    <m/>
    <s v="SHME OR 07"/>
    <s v="General"/>
    <s v="No"/>
    <s v="Bansal, Vishal, Md"/>
    <s v="EXPLORATORY LAPAROTOMY, EXPLORATORY CELIOTOMY WITH OR WITHOUT BIOPSY(S)(SEPARATE PROCEDURE)"/>
    <s v="EXPLORATORY LAPAROTOMY, EXPLORATORY CELIOTOMY WITH OR WITHOUT BIOPSY(S)(SEPARATE PROCEDURE) - Left"/>
    <s v="Thu"/>
    <m/>
    <s v="ED/IP/IC"/>
    <m/>
    <s v="BANSAL, VISHAL"/>
    <m/>
    <s v="Vishal Bansal, MD"/>
    <m/>
    <s v="Bansal"/>
  </r>
  <r>
    <d v="2026-08-27T00:00:00"/>
    <s v="6701106"/>
    <s v="RAMOS, Lily"/>
    <s v="Outpatient"/>
    <x v="1"/>
    <n v="3901461253"/>
    <s v="701722880"/>
    <d v="1991-08-06T00:00:00"/>
    <s v="Ramos, Joshua Neftalie, MD"/>
    <s v="General"/>
    <s v="2"/>
    <d v="1899-12-30T22:14:00"/>
    <d v="1899-12-30T23:10:00"/>
    <n v="56"/>
    <d v="1899-12-30T22:45:00"/>
    <d v="1899-12-30T23:50:00"/>
    <n v="95"/>
    <d v="1899-12-30T22:14:00"/>
    <d v="1899-12-30T23:01:00"/>
    <n v="47"/>
    <d v="1899-12-30T22:33:00"/>
    <d v="1899-12-30T22:51:00"/>
    <d v="1899-12-30T23:01:00"/>
    <n v="47"/>
    <n v="18"/>
    <d v="1899-12-30T23:15:15"/>
    <d v="1899-12-30T12:13:00"/>
    <n v="778"/>
    <m/>
    <m/>
    <m/>
    <s v="SHME OR 02"/>
    <s v="General"/>
    <s v="No"/>
    <s v="Bansal, Vishal, Md"/>
    <s v="LAPAROSCOPY, SURGICAL, APPENDECTOMY"/>
    <s v="LAPAROSCOPY, SURGICAL, APPENDECTOMY - N/A"/>
    <s v="Thu"/>
    <m/>
    <m/>
    <m/>
    <s v="BANSAL, VISHAL"/>
    <m/>
    <s v="Vishal Bansal, MD"/>
    <m/>
    <s v="Bansal"/>
  </r>
  <r>
    <d v="2026-08-27T00:00:00"/>
    <s v="6503251"/>
    <s v="Olvera Visuett, Maria"/>
    <s v="Outpatient"/>
    <x v="1"/>
    <n v="3901424086"/>
    <s v="811467442"/>
    <d v="1953-12-14T00:00:00"/>
    <s v="Feduska, Collin Steven, MD"/>
    <s v="General"/>
    <s v="2"/>
    <d v="1899-12-30T12:45:00"/>
    <d v="1899-12-30T14:23:00"/>
    <n v="98"/>
    <d v="1899-12-30T12:15:00"/>
    <d v="1899-12-30T13:45:00"/>
    <n v="90"/>
    <d v="1899-12-30T12:45:00"/>
    <d v="1899-12-30T14:13:00"/>
    <n v="88"/>
    <d v="1899-12-30T13:14:00"/>
    <d v="1899-12-30T14:04:00"/>
    <d v="1899-12-30T14:13:00"/>
    <n v="88"/>
    <n v="50"/>
    <d v="1899-12-30T14:22:01"/>
    <d v="1899-12-30T16:44:00"/>
    <n v="142"/>
    <d v="1899-12-30T16:45:00"/>
    <d v="1899-12-30T16:57:00"/>
    <n v="12"/>
    <s v="SHME OR 14"/>
    <s v="Urology"/>
    <s v="No"/>
    <s v="Unterberg, Stephen Harold, Md"/>
    <s v="ENDOSCOPIC INJECTION OF IMPLANT MATERIAL INTO THE SUBMUCOSAL TISSUES OFTHE URETHRA AND/OR BLADDER NECK_x000a_COLPOCLEISIS (LE FORT TYPE)_x000a_PERINEOPLASTY, REPAIR OF PERINEUM, NONOBSTETRICAL (SEPARATE PROCEDURE)"/>
    <s v="TRANSVAGINAL COLPOCLEISIS, PERINEORRHAPHY AND BULKAIMD INJECTION - N/A"/>
    <s v="Thu"/>
    <m/>
    <m/>
    <m/>
    <s v="UNTERBERG, STEPHEN HAROLD"/>
    <m/>
    <s v="Stephen Harold Unterberg, MD"/>
    <m/>
    <s v="Unterberg"/>
  </r>
  <r>
    <d v="2026-08-28T00:00:00"/>
    <s v="6584226"/>
    <s v="Willows, Tess"/>
    <s v="Inpatient"/>
    <x v="0"/>
    <n v="3901439011"/>
    <s v="701582955"/>
    <d v="1953-03-13T00:00:00"/>
    <s v="Narla, Vinod Venkat, MD"/>
    <s v="General"/>
    <s v="2"/>
    <d v="1899-12-30T07:34:00"/>
    <d v="1899-12-30T10:43:00"/>
    <n v="189"/>
    <d v="1899-12-30T07:30:00"/>
    <d v="1899-12-30T11:30:00"/>
    <n v="240"/>
    <d v="1899-12-30T07:34:00"/>
    <d v="1899-12-30T10:34:00"/>
    <n v="180"/>
    <d v="1899-12-30T08:15:00"/>
    <d v="1899-12-30T10:24:00"/>
    <d v="1899-12-30T10:34:00"/>
    <n v="180"/>
    <n v="129"/>
    <d v="1899-12-30T10:36:00"/>
    <d v="1899-12-30T12:01:00"/>
    <n v="85"/>
    <m/>
    <m/>
    <m/>
    <s v="SHME OR 05"/>
    <s v="Orthopedics"/>
    <s v="No"/>
    <s v="Kasir, Rafid, Md"/>
    <s v="ARTHRODESIS, ANTERIOR INTERBODY TECHNIQUE, INCLUDING MINIMAL DISCECTOMYTO PREPARE INTERSPACE (OTHER THAN FOR DECOMPRESSION); LUMBAR_x000a_ANTERIOR INSTRUMENTATION; 2 TO 3 VERTEBRAL SEGMENTS (LIST SEPARATELY INADDITION TO CODE FOR PRIMARY PROCEDURE)_x000a_FLUOROSCOPY (SEPARATE PROCEDURE), UP TO 1 HOUR PHYSICIAN OR OTHERQUALIFIED HEALTH CARE PROFESSIONAL TIME, OTHER THAN 71023 OR 71034 (EG,CARDIAC FLUOROSCOPY)_x000a_ARTHRODESIS, POSTERIOR OR POSTEROLATERAL TECHNIQUE, SINGLE INTERSPACE; LUMBAR (WITH LATERAL TRANSVERSE TECHNIQUE, WHEN PERFORMED)_x000a_POSTERIOR NON-SEGMENTAL INSTRUMENTATION (EG, HARRINGTON ROD TECHNIQUE,PEDICLE FIXATION ACROSS 1 INTERSPACE, ATLANTOAXIAL TRANSARTICULAR SCREWFIXATION, SUBLAMINAR WIRING AT C1, FACET SCREW FIXATION)_x000a_STEREOTACTIC COMPUTER-ASSISTED (NAVIGATIONAL) PROCEDURE; SPINAL (LISTSEPARATELY IN ADDITION TO CODE FOR PRIMARY PROCEDURE)"/>
    <s v="LUMBAR 5- SACRAL 1 ANTERIOR LUMBAR INTERBODY FUSION, POSTERIOR SPINAL FUSION - N/A"/>
    <s v="Fri"/>
    <m/>
    <s v="ED/IP/IC"/>
    <m/>
    <s v="KASIR, RAFID_x000a_DIEFFENBACH, BRYAN VINSON"/>
    <s v="Panel 1: Dr. Kasir, Rafid, MD / Dieffenbach, Bryan Vinson, MD"/>
    <s v="Rafid Kasir, MD"/>
    <m/>
    <s v="Kasir"/>
  </r>
  <r>
    <d v="2026-08-28T00:00:00"/>
    <s v="6590248"/>
    <s v="Bull, Ronda T"/>
    <s v="Outpatient"/>
    <x v="1"/>
    <n v="3901440173"/>
    <s v="608740879"/>
    <d v="1972-11-06T00:00:00"/>
    <s v="Nalbandian, Dikran Hratch, MD"/>
    <s v="General"/>
    <s v="2"/>
    <d v="1899-12-30T07:32:00"/>
    <d v="1899-12-30T10:48:00"/>
    <n v="196"/>
    <d v="1899-12-30T07:30:00"/>
    <d v="1899-12-30T11:30:00"/>
    <n v="240"/>
    <d v="1899-12-30T07:32:00"/>
    <d v="1899-12-30T10:40:00"/>
    <n v="188"/>
    <d v="1899-12-30T08:14:00"/>
    <d v="1899-12-30T10:33:00"/>
    <d v="1899-12-30T10:40:00"/>
    <n v="188"/>
    <n v="139"/>
    <d v="1899-12-30T10:46:02"/>
    <d v="1899-12-30T11:30:00"/>
    <n v="44"/>
    <d v="1899-12-30T11:31:00"/>
    <d v="1899-12-30T14:13:00"/>
    <n v="162"/>
    <s v="SHME OR 06"/>
    <s v="Plastics"/>
    <s v="No"/>
    <s v="Hess, Jason R, Md"/>
    <s v="REMOVAL OF INTACT MAMMARY IMPLANT_x000a_PERI-IMPLANT CAPSULECTOMY, BREAST, COMPLETE, INCLUDING REMOVAL OF ALL INTRACAPSULAR CONTENTS"/>
    <s v="BILATERAL REMOVAL OF BREAST IMPLANT AND BILATERAL CAPSULECTOMY - Bilateral"/>
    <s v="Fri"/>
    <m/>
    <m/>
    <m/>
    <s v="HESS, JASON R"/>
    <m/>
    <s v="Jason R Hess, MD"/>
    <m/>
    <s v="Hess"/>
  </r>
  <r>
    <d v="2026-08-28T00:00:00"/>
    <s v="6606015"/>
    <s v="Ortega Ruiz, Elizabeth"/>
    <s v="Inpatient"/>
    <x v="0"/>
    <n v="3901443263"/>
    <s v="701977734"/>
    <d v="1978-11-30T00:00:00"/>
    <s v="Haidar, Jason, DO"/>
    <s v="General"/>
    <s v="2"/>
    <d v="1899-12-30T08:22:00"/>
    <d v="1899-12-30T10:38:00"/>
    <n v="136"/>
    <d v="1899-12-30T07:30:00"/>
    <d v="1899-12-30T09:30:00"/>
    <n v="120"/>
    <d v="1899-12-30T08:22:00"/>
    <d v="1899-12-30T10:33:00"/>
    <n v="131"/>
    <d v="1899-12-30T09:04:00"/>
    <d v="1899-12-30T10:24:00"/>
    <d v="1899-12-30T10:33:00"/>
    <n v="131"/>
    <n v="80"/>
    <d v="1899-12-30T10:37:59"/>
    <d v="1899-12-30T10:47:00"/>
    <n v="10"/>
    <m/>
    <m/>
    <m/>
    <s v="SHME OR 07"/>
    <s v="Urology"/>
    <s v="No"/>
    <s v="Dicks, Brian Michael, Md"/>
    <s v="PERCUTANEOUS NEPHROLITHOTOMY OR PYELOLITHOTOMY, LITHOTRIPSY, STONE EXTRACTION, ANTEGRADE URETEROSCOPY, ANTEGRADE STENT PLACEMENT AND NEPHROSTOMY TUBE PLACEMENT, WHEN PERFORMED, INCLUDING IMAGING_x000a_CONVERT NEPHROSTOMY CATHETER TO NEPHROURETERAL CATHETER, PERCUTANEOUS,INCLUDING DIAGNOSTIC NEPHROSTOGRAM AND/OR URETEROGRAM WHEN PERFORMED, IMAGINGGUIDANCE (EG, ULTRASOUND AND/OR FLUOROSCOPY) AND AL_x000a_INJECTION PROCEDURE FOR ANTEGRADE NEPHROSTOGRAM AND/OR URETEROGRAM, COMPLETEDIAGNOSTIC PROCEDURE INCLUDING IMAGING GUIDANCE (EG, ULTRASOUND ANDFLUOROSCOPY) AND ALL ASSOCIATED RADIOLOGICAL SUPERVISIO_x000a_UROGRAPHY, ANTEGRADE (PYELOSTOGRAM, NEPHROSTOGRAM, LOOPOGRAM),RADIOLOGICAL SUPERVISION AND INTERPRETATION"/>
    <s v="LEFT PERCUTANEOUS NEPHROLITHOTOMY (PCNL) - Left"/>
    <s v="Fri"/>
    <m/>
    <m/>
    <m/>
    <s v="DICKS, BRIAN MICHAEL_x000a_ROTHENBERG, EDWARD SAMUEL"/>
    <s v="Panel 1: Dr. Dicks, Brian Michael, MD / Rothenberg, Edward Samuel, MD"/>
    <s v="Brian Michael Dicks, MD"/>
    <m/>
    <s v="Dicks"/>
  </r>
  <r>
    <d v="2026-08-28T00:00:00"/>
    <s v="6635295"/>
    <s v="Kruso, Evan"/>
    <s v="Outpatient"/>
    <x v="1"/>
    <n v="3901448973"/>
    <s v="811321719"/>
    <d v="2003-03-02T00:00:00"/>
    <s v="Chung, Michelle Sheryl, MD"/>
    <s v="Monitor Anesthesia Care"/>
    <s v="3"/>
    <d v="1899-12-30T07:50:00"/>
    <d v="1899-12-30T08:30:00"/>
    <n v="40"/>
    <d v="1899-12-30T07:30:00"/>
    <d v="1899-12-30T08:30:00"/>
    <n v="60"/>
    <d v="1899-12-30T07:50:00"/>
    <d v="1899-12-30T08:26:00"/>
    <n v="36"/>
    <d v="1899-12-30T08:08:00"/>
    <d v="1899-12-30T08:20:00"/>
    <d v="1899-12-30T08:26:00"/>
    <n v="36"/>
    <n v="12"/>
    <d v="1899-12-30T08:28:00"/>
    <d v="1899-12-30T09:10:00"/>
    <n v="42"/>
    <d v="1899-12-30T09:11:00"/>
    <d v="1899-12-30T09:30:00"/>
    <n v="19"/>
    <s v="SHME OR 14"/>
    <s v="Podiatry"/>
    <s v="No"/>
    <s v="Juarez, Leticia Janel, Dpm"/>
    <s v="AVULSION OF NAIL PLATE, PARTIAL OR COMPLETE, SIMPLE; SINGLE"/>
    <s v="TOENAIL AVULSION, RIGHT FOOT GREAT TOENAIL - Right"/>
    <s v="Fri"/>
    <m/>
    <m/>
    <m/>
    <s v="JUAREZ, LETICIA JANEL_x000a_SCHNEIDER, SARAH ASHLEY"/>
    <s v="Panel 1: Dr. Juarez, Leticia Janel, DPM / Schneider, Sarah Ashley, DPM"/>
    <s v="Leticia Janel Juarez, DPM"/>
    <m/>
    <s v="Juarez"/>
  </r>
  <r>
    <d v="2026-08-28T00:00:00"/>
    <s v="6635334"/>
    <s v="Gonzalez, Martha"/>
    <s v="Outpatient"/>
    <x v="1"/>
    <n v="3901448984"/>
    <s v="700020726"/>
    <d v="1952-05-26T00:00:00"/>
    <s v="Chung, Michelle Sheryl, MD"/>
    <s v="Monitor Anesthesia Care"/>
    <s v="2"/>
    <d v="1899-12-30T08:57:00"/>
    <d v="1899-12-30T09:54:00"/>
    <n v="57"/>
    <d v="1899-12-30T09:00:00"/>
    <d v="1899-12-30T10:00:00"/>
    <n v="60"/>
    <d v="1899-12-30T08:57:00"/>
    <d v="1899-12-30T09:50:00"/>
    <n v="53"/>
    <d v="1899-12-30T09:18:00"/>
    <d v="1899-12-30T09:46:00"/>
    <d v="1899-12-30T09:50:00"/>
    <n v="53"/>
    <n v="28"/>
    <d v="1899-12-30T09:51:00"/>
    <d v="1899-12-30T10:16:00"/>
    <n v="25"/>
    <d v="1899-12-30T10:17:00"/>
    <d v="1899-12-30T10:29:00"/>
    <n v="12"/>
    <s v="SHME OR 14"/>
    <s v="Podiatry"/>
    <s v="No"/>
    <s v="Juarez, Leticia Janel, Dpm"/>
    <s v="EXCISION, BENIGN LESION INCLUDING MARGINS, EXCEPT SKIN TAG (UNLESSLISTED ELSEWHERE), SCALP, NECK, HANDS, FEET, GENITALIA; EXCISED DIAMETER0.6 TO 1.0 CM"/>
    <s v="EXCISION, SKIN LESION; LESION DIAMETER 0.06 TO 1.0 CM, RIGHT FOOT x1 AND LEFT FOOT x1 - Bilateral"/>
    <s v="Fri"/>
    <m/>
    <m/>
    <m/>
    <s v="JUAREZ, LETICIA JANEL_x000a_SCHNEIDER, SARAH ASHLEY"/>
    <s v="Panel 1: Dr. Juarez, Leticia Janel, DPM / Schneider, Sarah Ashley, DPM"/>
    <s v="Leticia Janel Juarez, DPM"/>
    <m/>
    <s v="Juarez"/>
  </r>
  <r>
    <d v="2026-08-28T00:00:00"/>
    <s v="6635444"/>
    <s v="Gutierrez, Angel A"/>
    <s v="Outpatient"/>
    <x v="1"/>
    <n v="3901449000"/>
    <s v="198004671"/>
    <d v="1950-10-02T00:00:00"/>
    <s v="Haidar, Jason, DO"/>
    <s v="General"/>
    <s v="3"/>
    <d v="1899-12-30T12:50:00"/>
    <d v="1899-12-30T13:39:00"/>
    <n v="49"/>
    <d v="1899-12-30T13:30:00"/>
    <d v="1899-12-30T14:30:00"/>
    <n v="60"/>
    <d v="1899-12-30T12:50:00"/>
    <d v="1899-12-30T13:34:00"/>
    <n v="44"/>
    <d v="1899-12-30T13:08:00"/>
    <d v="1899-12-30T13:29:00"/>
    <d v="1899-12-30T13:34:00"/>
    <n v="44"/>
    <n v="21"/>
    <d v="1899-12-30T13:38:00"/>
    <d v="1899-12-30T14:06:00"/>
    <n v="28"/>
    <d v="1899-12-30T14:07:00"/>
    <d v="1899-12-30T14:38:00"/>
    <n v="31"/>
    <s v="SHME OR 02"/>
    <s v="Urology"/>
    <s v="No"/>
    <s v="Dicks, Brian Michael, Md"/>
    <s v="BIOPSY, PROSTATE, TRANSRECTAL, ULTRASOUND-GUIDED (IE, SEXTANT, ULTRASOUND-LOCALIZED DISCRETE LESION[S])"/>
    <s v="PROSTATE BIOPSY - N/A"/>
    <s v="Fri"/>
    <m/>
    <m/>
    <m/>
    <s v="DICKS, BRIAN MICHAEL"/>
    <m/>
    <s v="Brian Michael Dicks, MD"/>
    <m/>
    <s v="Dicks"/>
  </r>
  <r>
    <d v="2026-08-28T00:00:00"/>
    <s v="6639451"/>
    <s v="Zied, Ahmed Ali"/>
    <s v="Outpatient"/>
    <x v="1"/>
    <n v="3901449901"/>
    <s v="810655299"/>
    <d v="1973-06-24T00:00:00"/>
    <s v="Haidar, Jason, DO"/>
    <s v="General"/>
    <s v="2"/>
    <d v="1899-12-30T11:22:00"/>
    <d v="1899-12-30T12:19:00"/>
    <n v="57"/>
    <d v="1899-12-30T11:45:00"/>
    <d v="1899-12-30T13:00:00"/>
    <n v="75"/>
    <d v="1899-12-30T11:22:00"/>
    <d v="1899-12-30T12:14:00"/>
    <n v="52"/>
    <d v="1899-12-30T11:42:00"/>
    <d v="1899-12-30T12:10:00"/>
    <d v="1899-12-30T12:14:00"/>
    <n v="52"/>
    <n v="28"/>
    <d v="1899-12-30T12:21:30"/>
    <d v="1899-12-30T14:00:00"/>
    <n v="99"/>
    <d v="1899-12-30T14:01:00"/>
    <d v="1899-12-30T14:46:00"/>
    <n v="45"/>
    <s v="SHME OR 02"/>
    <s v="Urology"/>
    <s v="No"/>
    <s v="Dicks, Brian Michael, Md"/>
    <s v="EXCISION OF HYDROCELE; UNILATERAL"/>
    <s v="LEFT HYDROCELECTOMY - Left"/>
    <s v="Fri"/>
    <m/>
    <m/>
    <m/>
    <s v="DICKS, BRIAN MICHAEL"/>
    <m/>
    <s v="Brian Michael Dicks, MD"/>
    <m/>
    <s v="Dicks"/>
  </r>
  <r>
    <d v="2026-08-28T00:00:00"/>
    <s v="6649050"/>
    <s v="Medina, Melody M"/>
    <s v="Outpatient"/>
    <x v="1"/>
    <n v="3901451702"/>
    <s v="700338657"/>
    <d v="1970-04-26T00:00:00"/>
    <s v="Chung, Michelle Sheryl, MD"/>
    <s v="Monitor Anesthesia Care"/>
    <s v="3"/>
    <d v="1899-12-30T10:19:00"/>
    <d v="1899-12-30T11:33:00"/>
    <n v="74"/>
    <d v="1899-12-30T10:30:00"/>
    <d v="1899-12-30T11:30:00"/>
    <n v="60"/>
    <d v="1899-12-30T10:19:00"/>
    <d v="1899-12-30T11:28:00"/>
    <n v="69"/>
    <d v="1899-12-30T10:39:00"/>
    <d v="1899-12-30T11:27:00"/>
    <d v="1899-12-30T11:28:00"/>
    <n v="69"/>
    <n v="48"/>
    <d v="1899-12-30T11:35:13"/>
    <d v="1899-12-30T12:01:00"/>
    <n v="26"/>
    <d v="1899-12-30T12:02:00"/>
    <d v="1899-12-30T12:24:00"/>
    <n v="22"/>
    <s v="SHME OR 14"/>
    <s v="Podiatry"/>
    <s v="No"/>
    <s v="Juarez, Leticia Janel, Dpm"/>
    <s v="EXCISION, BENIGN LESION INCLUDING MARGINS, EXCEPT SKIN TAG (UNLESSLISTED ELSEWHERE), SCALP, NECK, HANDS, FEET, GENITALIA; EXCISED DIAMETER0.6 TO 1.0 CM"/>
    <s v="EXCISION, SKIN LESION; LESION DIAMETER 0.6 TO 1.0 CM RIGHT FOOT x5 AND LEFT FOOT x2 - Bilateral"/>
    <s v="Fri"/>
    <m/>
    <m/>
    <m/>
    <s v="JUAREZ, LETICIA JANEL_x000a_SCHNEIDER, SARAH ASHLEY"/>
    <s v="Panel 1: Dr. Juarez, Leticia Janel, DPM / Schneider, Sarah Ashley, DPM"/>
    <s v="Leticia Janel Juarez, DPM"/>
    <m/>
    <s v="Juarez"/>
  </r>
  <r>
    <d v="2026-08-28T00:00:00"/>
    <s v="6649066"/>
    <s v="Guerrero Valadez, Antonio"/>
    <s v="Outpatient"/>
    <x v="1"/>
    <n v="3901451707"/>
    <s v="810797205"/>
    <d v="1980-06-13T00:00:00"/>
    <s v="Chung, Michelle Sheryl, MD"/>
    <s v="General"/>
    <s v="3"/>
    <d v="1899-12-30T12:04:00"/>
    <d v="1899-12-30T13:21:00"/>
    <n v="77"/>
    <d v="1899-12-30T12:00:00"/>
    <d v="1899-12-30T13:30:00"/>
    <n v="90"/>
    <d v="1899-12-30T12:04:00"/>
    <d v="1899-12-30T13:16:00"/>
    <n v="72"/>
    <d v="1899-12-30T12:28:00"/>
    <d v="1899-12-30T13:14:00"/>
    <d v="1899-12-30T13:16:00"/>
    <n v="72"/>
    <n v="46"/>
    <d v="1899-12-30T13:23:49"/>
    <d v="1899-12-30T13:45:00"/>
    <n v="22"/>
    <d v="1899-12-30T13:46:00"/>
    <d v="1899-12-30T14:45:00"/>
    <n v="59"/>
    <s v="SHME OR 14"/>
    <s v="Podiatry"/>
    <s v="No"/>
    <s v="Juarez, Leticia Janel, Dpm"/>
    <s v="SESAMOIDECTOMY, FIRST TOE (SEPARATE PROCEDURE)"/>
    <s v="SESAMOIDECTOMY, RIGHT FOOT TIBIAL SESAMOID - Right"/>
    <s v="Fri"/>
    <m/>
    <m/>
    <m/>
    <s v="JUAREZ, LETICIA JANEL_x000a_SCHNEIDER, SARAH ASHLEY"/>
    <s v="Panel 1: Dr. Juarez, Leticia Janel, DPM / Schneider, Sarah Ashley, DPM"/>
    <s v="Leticia Janel Juarez, DPM"/>
    <m/>
    <s v="Juarez"/>
  </r>
  <r>
    <d v="2026-08-28T00:00:00"/>
    <s v="6667495"/>
    <s v="Jackson, Lisa M"/>
    <s v="Outpatient"/>
    <x v="1"/>
    <n v="3901455105"/>
    <s v="100767740"/>
    <d v="1956-12-08T00:00:00"/>
    <s v="Haidar, Jason, DO"/>
    <s v="General"/>
    <s v="2"/>
    <d v="1899-12-30T13:53:00"/>
    <d v="1899-12-30T15:34:00"/>
    <n v="101"/>
    <d v="1899-12-30T15:00:00"/>
    <d v="1899-12-30T16:15:00"/>
    <n v="75"/>
    <d v="1899-12-30T13:53:00"/>
    <d v="1899-12-30T15:29:00"/>
    <n v="96"/>
    <d v="1899-12-30T14:22:00"/>
    <d v="1899-12-30T15:25:00"/>
    <d v="1899-12-30T15:29:00"/>
    <n v="96"/>
    <n v="63"/>
    <d v="1899-12-30T15:32:00"/>
    <d v="1899-12-30T16:00:00"/>
    <n v="28"/>
    <d v="1899-12-30T16:01:00"/>
    <d v="1899-12-30T16:30:00"/>
    <n v="29"/>
    <s v="SHME OR 06"/>
    <s v="Urology"/>
    <s v="No"/>
    <s v="Dicks, Brian Michael, Md"/>
    <s v="CYSTOURETHROSCOPY, WITH URETEROSCOPY AND/OR PYELOSCOPY; WITHLITHOTRIPSY INCLUDING INSERTION OF INDWELLING URETERAL STENT (EG,GIBBONS OR DOUBLE-J TYPE)_x000a_UROGRAPHY, RETROGRADE, WITH OR WITHOUT KUB_x000a_CYSTOURETHROSCOPY, WITH URETEROSCOPY AND/OR PYELOSCOPY; DIAGNOSTIC"/>
    <s v="RIGHT URETEROSCOPY, LASER LITHOTRIPSY, RIGHT URETERAL STENT REPLACEMENT - Right"/>
    <s v="Fri"/>
    <m/>
    <m/>
    <m/>
    <s v="DICKS, BRIAN MICHAEL"/>
    <m/>
    <s v="Brian Michael Dicks, MD"/>
    <m/>
    <s v="Dicks"/>
  </r>
  <r>
    <d v="2026-08-28T00:00:00"/>
    <s v="6671233"/>
    <s v="Deardorff, Daniel"/>
    <s v="Inpatient"/>
    <x v="0"/>
    <n v="3901455732"/>
    <s v="810633218"/>
    <d v="1949-08-12T00:00:00"/>
    <s v="Vasant, Kris Kishore, MD"/>
    <s v="Regional"/>
    <s v="4"/>
    <d v="1899-12-30T06:38:00"/>
    <d v="1899-12-30T15:57:00"/>
    <n v="559"/>
    <d v="1899-12-30T06:15:00"/>
    <d v="1899-12-30T13:15:00"/>
    <n v="420"/>
    <d v="1899-12-30T06:38:00"/>
    <d v="1899-12-30T15:38:00"/>
    <n v="540"/>
    <d v="1899-12-30T08:23:00"/>
    <d v="1899-12-30T15:20:00"/>
    <d v="1899-12-30T15:38:00"/>
    <n v="540"/>
    <n v="417"/>
    <m/>
    <m/>
    <m/>
    <m/>
    <m/>
    <m/>
    <s v="SHME OR 08"/>
    <s v="Cardiothoracic"/>
    <s v="Yes"/>
    <s v="Williams, David Mccann, Md"/>
    <s v="CORONARY ARTERY BYPASS, USING ARTERIAL GRAFT(S); 3 CORONARY ARTERIALGRAFTS_x000a_ENDOSCOPY, SURGICAL, INCLUDING VIDEO-ASSISTED HARVEST OF VEIN(S) FORCORONARY ARTERY BYPASS PROCEDURE (LIST SEPARATELY IN ADDITION TO CODEFOR PRIMARY PROCEDURE)_x000a_OPERATIVE TISSUE ABLATION AND RECONSTRUCTION OF ATRIA, EXTENSIVE (EG,MAZE PROCEDURE); WITH CARDIOPULMONARY BYPASS"/>
    <s v="CORONARY ARTERY BYPASS GRAFT X 4; LEFT INTERNAL MAMMARY ARTERY; ENDOSCOPIC VEIN HARVEST; LEFT ATRIAL APPENDAGE CLIP; MODIFIED MAZE - N/A"/>
    <s v="Fri"/>
    <m/>
    <s v="ED/IP/IC"/>
    <m/>
    <s v="WILLIAMS, DAVID MCCANN_x000a_ISLAMI MANUCHEHRY, MOHAMMAD HOSEIN"/>
    <s v="Panel 1: Dr. Williams, David McCann, MD / Islami Manuchehry, Mohammad Hosein, MD"/>
    <s v="David McCann Williams, MD"/>
    <m/>
    <s v="Williams"/>
  </r>
  <r>
    <d v="2026-08-28T00:00:00"/>
    <s v="6680941"/>
    <s v="Bale, Fred"/>
    <s v="Inpatient"/>
    <x v="0"/>
    <n v="3901456774"/>
    <s v="810475645"/>
    <d v="1944-01-25T00:00:00"/>
    <s v="Rayan, Hany A, MD"/>
    <s v="General"/>
    <s v="3"/>
    <d v="1899-12-30T10:00:00"/>
    <d v="1899-12-30T15:30:00"/>
    <n v="330"/>
    <d v="1899-12-30T10:00:00"/>
    <d v="1899-12-30T15:00:00"/>
    <n v="300"/>
    <d v="1899-12-30T10:00:00"/>
    <d v="1899-12-30T15:25:00"/>
    <n v="325"/>
    <d v="1899-12-30T10:47:00"/>
    <d v="1899-12-30T15:19:00"/>
    <d v="1899-12-30T15:25:00"/>
    <n v="325"/>
    <n v="272"/>
    <d v="1899-12-30T15:26:44"/>
    <d v="1899-12-30T16:56:00"/>
    <n v="90"/>
    <m/>
    <m/>
    <m/>
    <s v="SHME OR 04"/>
    <s v="General"/>
    <s v="No"/>
    <s v="Dieffenbach, Bryan Vinson, Md"/>
    <s v="THROMBOENDARTERECTOMY, INCLUDING PATCH GRAFT, IF PERFORMED; COMMONFEMORAL"/>
    <s v="LEFT FEMORAL ENDARTERECTOMY, ILIAC ANGIOPLASTY AND STENTING, FEMORAL TO TIBIAL BYPASS WITH VEIN - Left"/>
    <s v="Fri"/>
    <m/>
    <s v="ED/IP/IC"/>
    <m/>
    <s v="DIEFFENBACH, BRYAN VINSON"/>
    <m/>
    <s v="Bryan Vinson Dieffenbach, MD"/>
    <m/>
    <s v="Dieffenbach"/>
  </r>
  <r>
    <d v="2026-08-28T00:00:00"/>
    <s v="6691213"/>
    <s v="Morrow, Michael J Sr."/>
    <s v="Inpatient"/>
    <x v="0"/>
    <n v="3901459066"/>
    <s v="100605777"/>
    <d v="1957-05-21T00:00:00"/>
    <s v="Narla, Vinod Venkat, MD"/>
    <s v="General"/>
    <s v="2"/>
    <d v="1899-12-30T12:07:00"/>
    <d v="1899-12-30T18:35:00"/>
    <n v="388"/>
    <d v="1899-12-30T12:00:00"/>
    <d v="1899-12-30T17:00:00"/>
    <n v="330"/>
    <d v="1899-12-30T12:07:00"/>
    <d v="1899-12-30T18:27:00"/>
    <n v="380"/>
    <d v="1899-12-30T12:49:00"/>
    <d v="1899-12-30T18:20:00"/>
    <d v="1899-12-30T18:27:00"/>
    <n v="380"/>
    <n v="331"/>
    <d v="1899-12-30T18:28:26"/>
    <d v="1899-12-30T20:06:00"/>
    <n v="98"/>
    <m/>
    <m/>
    <m/>
    <s v="SHME OR 05"/>
    <s v="Orthopedics"/>
    <s v="Yes"/>
    <s v="Kasir, Rafid, Md"/>
    <s v="ARTHRODESIS, COMBINED POSTERIOR OR POSTEROLATERAL TECHNIQUE WITH POSTERIOR INTERBODY TECHNIQUE INCLUDING LAMINECTOMY AND/OR DISCECTOMY SUFFICIENT TO PREPARE INTERSPACE (OTHER THAN FOR DECOMPRESSION),_x000a_ARTHRODESIS, POSTERIOR OR POSTEROLATERAL TECHNIQUE, SINGLE INTERSPACE; EACH ADDITIONAL INTERSPACE (LIST SEPARATELY IN ADDITION TO CODE FOR PRIMARY PROCEDURE)_x000a_POSTERIOR SEGMENTAL INSTRUMENTATION (EG, PEDICLE FIXATION, DUAL RODSWITH MULTIPLE HOOKS AND SUBLAMINAR WIRES); 7 TO 12 VERTEBRAL SEGMENTS(LIST SEPARATELY IN ADDITION TO CODE FOR PRIMARY PROCEDURE)_x000a_PELVIC FIXATION (ATTACHMENT OF CAUDAL END OF INSTRUMENTATION TO PELVICBONY STRUCTURES) OTHER THAN SACRUM (LIST SEPARATELY IN ADDITION TO CODEFOR PRIMARY PROCEDURE)_x000a_OSTEOTOMY OF SPINE, POSTERIOR OR POSTEROLATERAL APPROACH, 1 VERTEBRALSEGMENT; THORACIC_x000a_OSTEOTOMY OF SPINE, POSTERIOR OR POSTEROLATERAL APPROACH, 1 VERTEBRALSEGMENT; EACH ADDITIONAL VERTEBRAL SEGMENT (LIST SEPARATELY IN ADDITIONTO PRIMARY PROCEDURE)_x000a_SPINAL OR LATERAL RECESS STENOSIS]), SINGLE VERTEBRAL S_x000a_LAMINECTOMY, FACETECTOMY AND FORAMINOTOMY (UNILATERAL OR BILATERAL WITH DECOMPRESSION OF SPINAL CORD, CAUDA EQUINA AND/OR NERVE ROOT(S), EG, SPINAL OR LATERAL RECESS STENOSIS), SINGLE VERTEBRAL SEGMEN_x000a_LAMINECTOMY, FACETECTOMY, OR FORAMINOTOMY (UNILATERAL OR BILATERAL WITH DECOMPRESSION OF SPINAL CORD, CAUDA EQUINA AND/OR NERVE ROOTS EG, SPINAL OR LATERAL RECESS STENOSIS), DURING POSTERIOR_x000a_INSERTION OF INTERBODY BIOMECHANICAL DEVICE(S) (EG, SYNTHETIC CAGE, MESH) WITHINT..."/>
    <s v="T11-PELVIS POSTERIOR SPINAL LAMINECTOMY AND FUSION WITH L3/4 TLIF - N/A"/>
    <s v="Fri"/>
    <m/>
    <s v="ED/IP/IC"/>
    <m/>
    <s v="KASIR, RAFID"/>
    <m/>
    <s v="Rafid Kasir, MD"/>
    <m/>
    <s v="Kasir"/>
  </r>
  <r>
    <d v="2026-08-28T00:00:00"/>
    <s v="6694685"/>
    <s v="Barrientos, Aracely D"/>
    <s v="Outpatient"/>
    <x v="1"/>
    <n v="3901460374"/>
    <s v="701515883"/>
    <d v="1983-07-15T00:00:00"/>
    <s v="Fan, Ting-Wei, MD"/>
    <s v="General"/>
    <s v="2"/>
    <d v="1899-12-30T07:40:00"/>
    <d v="1899-12-30T08:37:00"/>
    <n v="57"/>
    <d v="1899-12-30T07:30:00"/>
    <d v="1899-12-30T08:30:00"/>
    <n v="60"/>
    <d v="1899-12-30T07:40:00"/>
    <d v="1899-12-30T08:29:00"/>
    <n v="49"/>
    <d v="1899-12-30T08:07:00"/>
    <d v="1899-12-30T08:22:00"/>
    <d v="1899-12-30T08:29:00"/>
    <n v="49"/>
    <n v="15"/>
    <d v="1899-12-30T08:32:12"/>
    <d v="1899-12-30T09:01:00"/>
    <n v="29"/>
    <d v="1899-12-30T09:01:00"/>
    <d v="1899-12-30T09:50:00"/>
    <n v="49"/>
    <s v="SHME OR 02"/>
    <s v="Gynecology"/>
    <s v="No"/>
    <s v="Gonzalez, Marisa Camille, Md"/>
    <s v="TREATMENT OF MISSED ABORTION, COMPLETED SURGICALLY; FIRST TRIMESTER"/>
    <s v="SUCTION DILATION AND CURETTAGE - N/A"/>
    <s v="Fri"/>
    <m/>
    <m/>
    <m/>
    <s v="GONZALEZ, MARISA CAMILLE"/>
    <m/>
    <s v="Marisa Camille Gonzalez, MD"/>
    <m/>
    <s v="Gonzalez"/>
  </r>
  <r>
    <d v="2026-08-28T00:00:00"/>
    <s v="6694698"/>
    <s v="Bennett, Eileen P"/>
    <s v="Inpatient"/>
    <x v="0"/>
    <n v="3901459615"/>
    <s v="700332222"/>
    <d v="1951-01-22T00:00:00"/>
    <s v="Baja, Diosdado An Jr., MD"/>
    <s v="General"/>
    <s v="2"/>
    <d v="1899-12-30T07:35:00"/>
    <d v="1899-12-30T11:15:00"/>
    <n v="220"/>
    <d v="1899-12-30T07:30:00"/>
    <d v="1899-12-30T11:30:00"/>
    <n v="240"/>
    <d v="1899-12-30T07:35:00"/>
    <d v="1899-12-30T11:09:00"/>
    <n v="214"/>
    <d v="1899-12-30T08:51:00"/>
    <d v="1899-12-30T10:52:00"/>
    <d v="1899-12-30T11:09:00"/>
    <n v="214"/>
    <n v="121"/>
    <d v="1899-12-30T11:10:33"/>
    <d v="1899-12-30T11:41:00"/>
    <n v="31"/>
    <m/>
    <m/>
    <m/>
    <s v="SHME OR 10"/>
    <s v="General"/>
    <s v="No"/>
    <s v="Giurgiu, Dan I.N., Md"/>
    <s v="LAPAROSCOPY, SURGICAL, REPAIR OF PARAESOPHAGEAL HERNIA, INCLUDESFUNDOPLASTY, WHEN PERFORMED; WITHOUT IMPLANTATION OF MESH"/>
    <s v="ROBOT REPAIR OF PARAESOPHAGEAL HERNIA, FUNDOPLICATION - N/A"/>
    <s v="Fri"/>
    <m/>
    <m/>
    <m/>
    <s v="GIURGIU, DAN I.N._x000a_DICKS, BRIAN MICHAEL"/>
    <s v="Panel 1: Dr. Giurgiu, Dan I.N., MD / Dicks, Brian Michael, MD"/>
    <s v="Dan I.N. Giurgiu, MD (619-330-8330)"/>
    <m/>
    <s v="Giurgiu"/>
  </r>
  <r>
    <d v="2026-08-28T00:00:00"/>
    <s v="6695777"/>
    <s v="Bowen, Virginia Carol"/>
    <s v="Inpatient"/>
    <x v="0"/>
    <n v="3901459738"/>
    <s v="811142620"/>
    <d v="1965-06-08T00:00:00"/>
    <s v="Nalbandian, Dikran Hratch, MD"/>
    <s v="General"/>
    <s v="3"/>
    <d v="1899-12-30T11:30:00"/>
    <d v="1899-12-30T12:34:00"/>
    <n v="64"/>
    <d v="1899-12-30T12:00:00"/>
    <d v="1899-12-30T13:00:00"/>
    <n v="60"/>
    <d v="1899-12-30T11:30:00"/>
    <d v="1899-12-30T12:28:00"/>
    <n v="58"/>
    <d v="1899-12-30T11:46:00"/>
    <d v="1899-12-30T12:24:00"/>
    <d v="1899-12-30T12:28:00"/>
    <n v="58"/>
    <n v="38"/>
    <d v="1899-12-30T12:30:00"/>
    <d v="1899-12-30T12:56:00"/>
    <n v="26"/>
    <m/>
    <m/>
    <m/>
    <s v="SHME OR 06"/>
    <s v="Vascular"/>
    <s v="No"/>
    <s v="Fernandez, Nathanial, Md"/>
    <s v="INCISION AND DRAINAGE, COMPLEX, POSTOPERATIVE WOUND INFECTION"/>
    <s v="LEFT THIGH REPEAT EXPLORATION AND WASHOUT WITH WOUND VAC - Left"/>
    <s v="Fri"/>
    <m/>
    <s v="ED/IP/IC"/>
    <m/>
    <s v="FERNANDEZ, NATHANIAL"/>
    <m/>
    <s v="Nathanial Fernandez, MD"/>
    <m/>
    <s v="Fernandez"/>
  </r>
  <r>
    <d v="2026-08-28T00:00:00"/>
    <s v="6697091"/>
    <s v="Nowotarski, Mark"/>
    <s v="Inpatient"/>
    <x v="0"/>
    <n v="3901460656"/>
    <s v="810562598"/>
    <d v="1962-04-23T00:00:00"/>
    <s v="Baja, Diosdado An Jr., MD"/>
    <s v="General"/>
    <s v="3"/>
    <d v="1899-12-30T12:12:00"/>
    <d v="1899-12-30T13:49:00"/>
    <n v="97"/>
    <d v="1899-12-30T12:00:00"/>
    <d v="1899-12-30T14:00:00"/>
    <n v="120"/>
    <d v="1899-12-30T12:12:00"/>
    <d v="1899-12-30T13:45:00"/>
    <n v="93"/>
    <d v="1899-12-30T12:36:00"/>
    <d v="1899-12-30T13:34:00"/>
    <d v="1899-12-30T13:45:00"/>
    <n v="93"/>
    <n v="58"/>
    <d v="1899-12-30T13:47:00"/>
    <d v="1899-12-30T15:47:00"/>
    <n v="120"/>
    <m/>
    <m/>
    <m/>
    <s v="SHME OR 07"/>
    <s v="General"/>
    <s v="Yes"/>
    <s v="Price, Erin Michelle, Md"/>
    <s v="LAPAROSCOPY, SURGICAL; CHOLECYSTECTOMY WITH CHOLANGIOGRAPHY"/>
    <s v="ROBOT-ASSISTED CHOLECYSTECTOMY WITH POSSIBLE CHOLANGIOGRAPHY, POSSIBLE LAPAROSCOPIC OR OPEN - N/A"/>
    <s v="Fri"/>
    <m/>
    <m/>
    <m/>
    <s v="PRICE, ERIN MICHELLE"/>
    <m/>
    <s v="Erin Michelle Price, MD"/>
    <m/>
    <s v="Price"/>
  </r>
  <r>
    <d v="2026-08-28T00:00:00"/>
    <s v="6697973"/>
    <s v="Roberts, Paul E"/>
    <s v="Inpatient"/>
    <x v="0"/>
    <n v="3901460758"/>
    <s v="811493612"/>
    <d v="1953-11-26T00:00:00"/>
    <s v="Feduska, Collin Steven, MD"/>
    <s v="General"/>
    <s v="2"/>
    <d v="1899-12-30T07:23:00"/>
    <d v="1899-12-30T09:46:00"/>
    <n v="143"/>
    <d v="1899-12-30T07:30:00"/>
    <d v="1899-12-30T09:25:00"/>
    <n v="115"/>
    <d v="1899-12-30T07:23:00"/>
    <d v="1899-12-30T09:36:00"/>
    <n v="133"/>
    <d v="1899-12-30T07:49:00"/>
    <d v="1899-12-30T09:27:00"/>
    <d v="1899-12-30T09:36:00"/>
    <n v="133"/>
    <n v="98"/>
    <d v="1899-12-30T09:37:14"/>
    <d v="1899-12-30T10:24:00"/>
    <n v="47"/>
    <m/>
    <m/>
    <m/>
    <s v="SHME OR 09"/>
    <s v="Orthopedics"/>
    <s v="No"/>
    <s v="Kuhn, Kevin Matthew, Md"/>
    <s v="OPEN TREATMENT OF FEMORAL SHAFT FRACTURE, WITH OR WITHOUT EXTERNALFIXATION, WITH INSERTION OF INTRAMEDULLARY IMPLANT, WITH OR WITHOUTCERCLAGE AND/OR LOCKING SCREWS"/>
    <s v="OPEN TREATMENT OF FEMORAL SHAFT FRACTURE, WITH OR WITHOUT EXTERNALFIXATION, WITH INSERTION OF INTRAMEDULLARY IMPLANT, WITH OR WITHOUTCERCLAGE AND/OR LOCKING SCREWS - Right"/>
    <s v="Fri"/>
    <m/>
    <s v="ED/IP/IC"/>
    <m/>
    <s v="KUHN, KEVIN MATTHEW"/>
    <m/>
    <s v="Kevin Matthew Kuhn, MD"/>
    <m/>
    <s v="Kuhn"/>
  </r>
  <r>
    <d v="2026-08-28T00:00:00"/>
    <s v="6699567"/>
    <s v="Good, Daniel E"/>
    <s v="Inpatient"/>
    <x v="0"/>
    <n v="3400731861"/>
    <s v="110003118"/>
    <d v="1964-11-14T00:00:00"/>
    <s v="Luu, Tiffany, MD"/>
    <s v="General"/>
    <s v="3"/>
    <d v="1899-12-30T07:42:00"/>
    <d v="1899-12-30T11:05:00"/>
    <n v="203"/>
    <d v="1899-12-30T07:30:00"/>
    <d v="1899-12-30T10:30:00"/>
    <n v="180"/>
    <d v="1899-12-30T07:42:00"/>
    <d v="1899-12-30T10:48:00"/>
    <n v="186"/>
    <d v="1899-12-30T08:38:00"/>
    <d v="1899-12-30T10:29:00"/>
    <d v="1899-12-30T10:48:00"/>
    <n v="186"/>
    <n v="111"/>
    <m/>
    <m/>
    <m/>
    <m/>
    <m/>
    <m/>
    <s v="SHME OR 01"/>
    <s v="Neurosurgery"/>
    <s v="No"/>
    <s v="Zauner, Alois, Md"/>
    <s v="NEUROENDOSCOPY, INTRACRANIAL; WITH FENESTRATION OR EXCISION OF COLLOIDCYST, INCLUDING PLACEMENT OF EXTERNAL VENTRICULAR CATHETER FOR DRAINAGE"/>
    <s v="RIGHT SUBOCCIPITAL CRANIOTOMY AND FENESTRATION OF CYST - Right"/>
    <s v="Fri"/>
    <m/>
    <s v="ED/IP/IC"/>
    <m/>
    <s v="ZAUNER, ALOIS"/>
    <m/>
    <s v="Alois Zauner, MD"/>
    <m/>
    <s v="Zauner"/>
  </r>
  <r>
    <d v="2026-08-28T00:00:00"/>
    <s v="6699751"/>
    <s v="Trujillo, Sandra Veronica"/>
    <s v="Inpatient"/>
    <x v="0"/>
    <n v="3901460998"/>
    <s v="811493698"/>
    <d v="1982-07-11T00:00:00"/>
    <s v="Feduska, Collin Steven, MD"/>
    <s v="Regional"/>
    <s v="3"/>
    <d v="1899-12-30T10:23:00"/>
    <d v="1899-12-30T11:56:00"/>
    <n v="93"/>
    <d v="1899-12-30T10:00:00"/>
    <d v="1899-12-30T11:45:00"/>
    <n v="105"/>
    <d v="1899-12-30T10:23:00"/>
    <d v="1899-12-30T11:46:00"/>
    <n v="83"/>
    <d v="1899-12-30T10:43:00"/>
    <d v="1899-12-30T11:43:00"/>
    <d v="1899-12-30T11:46:00"/>
    <n v="83"/>
    <n v="60"/>
    <d v="1899-12-30T11:48:00"/>
    <d v="1899-12-30T13:03:00"/>
    <n v="75"/>
    <m/>
    <m/>
    <m/>
    <s v="SHME OR 09"/>
    <s v="Orthopedics"/>
    <s v="No"/>
    <s v="Kuhn, Kevin Matthew, Md"/>
    <s v="OPEN TREATMENT OF DISTAL RADIAL INTRA-ARTICULAR FRACTURE OR EPIPHYSEALSEPARATION; WITH INTERNAL FIXATION OF 3 OR MORE FRAGMENTS"/>
    <s v="OPEN TREATMENT OF DISTAL RADIAL INTRA-ARTICULAR FRACTURE OR EPIPHYSEALSEPARATION; WITH INTERNAL FIXATION OF 3 OR MORE FRAGMENTS - Left"/>
    <s v="Fri"/>
    <m/>
    <m/>
    <m/>
    <s v="KUHN, KEVIN MATTHEW"/>
    <m/>
    <s v="Kevin Matthew Kuhn, MD"/>
    <m/>
    <s v="Kuhn"/>
  </r>
  <r>
    <d v="2026-08-28T00:00:00"/>
    <s v="6701393"/>
    <s v="Johnson, James"/>
    <s v="Inpatient"/>
    <x v="0"/>
    <n v="3901457994"/>
    <s v="701530260"/>
    <d v="1968-04-23T00:00:00"/>
    <s v="Luu, Tiffany, MD"/>
    <s v="General"/>
    <s v="3"/>
    <d v="1899-12-30T12:02:00"/>
    <d v="1899-12-30T13:11:00"/>
    <n v="69"/>
    <d v="1899-12-30T11:45:00"/>
    <d v="1899-12-30T12:45:00"/>
    <n v="60"/>
    <d v="1899-12-30T12:02:00"/>
    <d v="1899-12-30T13:08:00"/>
    <n v="66"/>
    <d v="1899-12-30T12:39:00"/>
    <d v="1899-12-30T13:01:00"/>
    <d v="1899-12-30T13:08:00"/>
    <n v="66"/>
    <n v="22"/>
    <d v="1899-12-30T13:12:07"/>
    <d v="1899-12-30T13:41:00"/>
    <n v="29"/>
    <m/>
    <m/>
    <m/>
    <s v="SHME OR 10"/>
    <s v="General"/>
    <s v="Yes"/>
    <s v="Giurgiu, Dan I.N., Md"/>
    <s v="INCISION AND DRAINAGE OF ABSCESS (EG, CARBUNCLE, SUPPURATIVEHIDRADENITIS, CUTANEOUS OR SUBCUTANEOUS ABSCESS, CYST, FURUNCLE, ORPARONYCHIA); COMPLICATED OR MULTIPLE"/>
    <s v="INCISION AND DRAINAGE abdominal wall abscess in conjunction with abdominal wound washout, possible wound VAC - N/A"/>
    <s v="Fri"/>
    <m/>
    <s v="ED/IP/IC"/>
    <m/>
    <s v="GIURGIU, DAN I.N."/>
    <m/>
    <s v="Dan I.N. Giurgiu, MD (619-330-8330)"/>
    <m/>
    <s v="Giurgiu"/>
  </r>
  <r>
    <d v="2026-08-28T00:00:00"/>
    <s v="6701623"/>
    <s v="Mangold, Diane L"/>
    <s v="Inpatient"/>
    <x v="0"/>
    <n v="3901461290"/>
    <s v="701562636"/>
    <d v="1949-02-08T00:00:00"/>
    <s v="Feduska, Collin Steven, MD"/>
    <s v="General"/>
    <s v="3"/>
    <d v="1899-12-30T13:30:00"/>
    <d v="1899-12-30T14:41:00"/>
    <n v="71"/>
    <d v="1899-12-30T13:00:00"/>
    <d v="1899-12-30T14:15:00"/>
    <n v="75"/>
    <d v="1899-12-30T13:31:00"/>
    <d v="1899-12-30T14:31:00"/>
    <n v="60"/>
    <d v="1899-12-30T14:00:00"/>
    <d v="1899-12-30T14:26:00"/>
    <d v="1899-12-30T14:31:00"/>
    <n v="60"/>
    <n v="26"/>
    <d v="1899-12-30T14:33:00"/>
    <d v="1899-12-30T15:16:00"/>
    <n v="43"/>
    <m/>
    <m/>
    <m/>
    <s v="SHME OR 09"/>
    <s v="Orthopedics"/>
    <s v="No"/>
    <s v="Mohler, Lester Randall, Md"/>
    <s v="TREATMENT OF INTERTROCHANTERIC, PERITROCHANTERIC, OR SUBTROCHANTERICFEMORAL FRACTURE; WITH INTRAMEDULLARY IMPLANT, WITH OR WITHOUTINTERLOCKING SCREWS AND/OR CERCLAGE"/>
    <s v="REDUCTION AND FIXATION RIGHT HIP FRACTURE - Right"/>
    <s v="Fri"/>
    <m/>
    <m/>
    <m/>
    <s v="MOHLER, LESTER RANDALL"/>
    <m/>
    <s v="Lester Randall Mohler, MD"/>
    <m/>
    <s v="Mohler"/>
  </r>
  <r>
    <d v="2026-08-28T00:00:00"/>
    <s v="6702115"/>
    <s v="Estudillo, David"/>
    <s v="Inpatient"/>
    <x v="0"/>
    <n v="3901461453"/>
    <s v="110064801"/>
    <d v="1998-06-19T00:00:00"/>
    <s v="Baja, Diosdado An Jr., MD"/>
    <s v="General"/>
    <s v="1"/>
    <d v="1899-12-30T14:53:00"/>
    <d v="1899-12-30T16:34:00"/>
    <n v="101"/>
    <d v="1899-12-30T14:30:00"/>
    <d v="1899-12-30T16:00:00"/>
    <n v="90"/>
    <d v="1899-12-30T14:53:00"/>
    <d v="1899-12-30T16:32:00"/>
    <n v="99"/>
    <d v="1899-12-30T15:20:00"/>
    <d v="1899-12-30T16:23:00"/>
    <d v="1899-12-30T16:32:00"/>
    <n v="99"/>
    <n v="63"/>
    <d v="1899-12-30T16:35:13"/>
    <d v="1899-12-30T18:26:00"/>
    <n v="111"/>
    <m/>
    <m/>
    <m/>
    <s v="SHME OR 10"/>
    <s v="General"/>
    <s v="No"/>
    <s v="Price, Erin Michelle, Md"/>
    <s v="LAPAROSCOPY, SURGICAL; CHOLECYSTECTOMY"/>
    <s v="ROBOTIC CHOLECYSTECTOMY, POSSIBLE LAPAROSCOPY, POSSIBLE OPEN PROCEDURE - N/A"/>
    <s v="Fri"/>
    <m/>
    <m/>
    <m/>
    <s v="PRICE, ERIN MICHELLE"/>
    <m/>
    <s v="Erin Michelle Price, MD"/>
    <m/>
    <s v="Price"/>
  </r>
  <r>
    <d v="2026-08-28T00:00:00"/>
    <s v="6702425"/>
    <s v="Baisa, Anthony"/>
    <s v="Inpatient"/>
    <x v="0"/>
    <n v="3901461463"/>
    <s v="200615557"/>
    <d v="1961-10-02T00:00:00"/>
    <s v="Vasant, Kris Kishore, MD"/>
    <s v="General"/>
    <s v="3"/>
    <d v="1899-12-30T16:50:00"/>
    <d v="1899-12-30T18:25:00"/>
    <n v="95"/>
    <d v="1899-12-30T16:45:00"/>
    <d v="1899-12-30T18:15:00"/>
    <n v="90"/>
    <d v="1899-12-30T16:50:00"/>
    <d v="1899-12-30T18:18:00"/>
    <n v="88"/>
    <d v="1899-12-30T17:12:00"/>
    <d v="1899-12-30T18:11:00"/>
    <d v="1899-12-30T18:18:00"/>
    <n v="88"/>
    <n v="59"/>
    <d v="1899-12-30T18:19:41"/>
    <d v="1899-12-30T19:01:00"/>
    <n v="42"/>
    <m/>
    <m/>
    <m/>
    <s v="SHME OR 09"/>
    <s v="General"/>
    <s v="No"/>
    <s v="Price, Erin Michelle, Md"/>
    <s v="LAPAROSCOPY, SURGICAL; CHOLECYSTECTOMY"/>
    <s v="ROBOTIC CHOLECYSTECTOMY, POSSIBLE LAPAROSCOPY, POSSIBLE OPEN PROCEDURE - N/A"/>
    <s v="Fri"/>
    <m/>
    <m/>
    <m/>
    <s v="PRICE, ERIN MICHELLE"/>
    <m/>
    <s v="Erin Michelle Price, MD"/>
    <m/>
    <s v="Price"/>
  </r>
  <r>
    <d v="2026-08-29T00:00:00"/>
    <s v="6699172"/>
    <s v="Salomon, Asselhomme"/>
    <s v="Inpatient"/>
    <x v="0"/>
    <n v="3901460467"/>
    <s v="811461631"/>
    <d v="1987-05-07T00:00:00"/>
    <s v="Haidar, Jason, DO"/>
    <s v="General"/>
    <s v="2"/>
    <d v="1899-12-30T08:20:00"/>
    <d v="1899-12-30T09:51:00"/>
    <n v="91"/>
    <d v="1899-12-30T07:30:00"/>
    <d v="1899-12-30T10:30:00"/>
    <n v="180"/>
    <d v="1899-12-30T08:20:00"/>
    <d v="1899-12-30T09:46:00"/>
    <n v="86"/>
    <d v="1899-12-30T09:00:00"/>
    <d v="1899-12-30T09:41:00"/>
    <d v="1899-12-30T09:46:00"/>
    <n v="86"/>
    <n v="41"/>
    <d v="1899-12-30T09:50:00"/>
    <d v="1899-12-30T10:16:00"/>
    <n v="26"/>
    <m/>
    <m/>
    <m/>
    <s v="SHME OR 06"/>
    <s v="Oral Surgery"/>
    <s v="No"/>
    <s v="Hammer, Daniel Aloysius, Dds"/>
    <s v="UNLISTED PROCEDURE, EXTERNAL EAR_x000a_FULL THICKNESS GRAFT, FREE, INCLUDING DIRECT CLOSURE OF DONOR SITE,FOREHEAD, CHEEKS, CHIN, MOUTH, NECK, AXILLAE, GENITALIA, HANDS, AND/ORFEET; 20 SQ CM OR LESS"/>
    <s v="EXAM UNDER ANESTHESIA, LEFT AURICULAR SALVAGE, POSSIBLE SPLIT THICKNESS SKIN GRAFT OF THE LEFT THIGH, POSSIBLE FULL THICKNESS SKIN GRAFT OF THE RIGHT NECK, POSSIBLE FULL THICKNESS SKIN GRAFT OF THE RIGHT POSTERIOR AURICULAR REGION, AND ANY OTHER INDICATED PROCEDURE - Left"/>
    <s v="Sat"/>
    <m/>
    <m/>
    <m/>
    <s v="HAMMER, DANIEL ALOYSIUS"/>
    <m/>
    <s v="Daniel Aloysius Hammer, DDS"/>
    <m/>
    <s v="Hammer"/>
  </r>
  <r>
    <d v="2026-08-29T00:00:00"/>
    <s v="6703463"/>
    <s v="Arroyos, Richard A"/>
    <s v="Inpatient"/>
    <x v="0"/>
    <n v="3901461480"/>
    <s v="700492293"/>
    <d v="1957-03-22T00:00:00"/>
    <s v="Ngo, Donald Hanh, MD"/>
    <s v="General"/>
    <s v="3"/>
    <d v="1899-12-30T08:33:00"/>
    <d v="1899-12-30T09:14:00"/>
    <n v="41"/>
    <d v="1899-12-30T08:33:00"/>
    <d v="1899-12-30T09:33:00"/>
    <n v="60"/>
    <d v="1899-12-30T08:33:00"/>
    <d v="1899-12-30T09:09:00"/>
    <n v="36"/>
    <d v="1899-12-30T08:44:00"/>
    <d v="1899-12-30T09:03:00"/>
    <d v="1899-12-30T09:09:00"/>
    <n v="36"/>
    <n v="19"/>
    <d v="1899-12-30T09:11:04"/>
    <d v="1899-12-30T09:46:50"/>
    <n v="35"/>
    <m/>
    <m/>
    <m/>
    <s v="SHME OR 02"/>
    <s v="Orthopedics"/>
    <s v="Yes"/>
    <s v="Kuhn, Kevin Matthew, Md"/>
    <s v="AMPUTATION, FINGER OR THUMB, PRIMARY OR SECONDARY, ANY JOINT OR PHALANX,SINGLE, INCLUDING NEURECTOMIES; WITH DIRECT CLOSURE"/>
    <s v="RIGHT INDEX FINGER AMPUTATION - Right"/>
    <s v="Sat"/>
    <m/>
    <s v="ED/IP/IC"/>
    <m/>
    <s v="KUHN, KEVIN MATTHEW"/>
    <m/>
    <s v="Kevin Matthew Kuhn, MD"/>
    <m/>
    <s v="Kuhn"/>
  </r>
  <r>
    <d v="2026-08-29T00:00:00"/>
    <s v="6703852"/>
    <s v="Spencer, Genaro"/>
    <s v="Inpatient"/>
    <x v="0"/>
    <n v="3901459122"/>
    <s v="110145499"/>
    <d v="1973-05-07T00:00:00"/>
    <s v="Ngo, Donald Hanh, MD"/>
    <s v="General"/>
    <s v="4"/>
    <d v="1899-12-30T09:30:00"/>
    <d v="1899-12-30T10:47:00"/>
    <n v="77"/>
    <d v="1899-12-30T09:30:00"/>
    <d v="1899-12-30T10:30:00"/>
    <n v="60"/>
    <d v="1899-12-30T09:30:00"/>
    <d v="1899-12-30T10:39:00"/>
    <n v="69"/>
    <d v="1899-12-30T09:48:00"/>
    <d v="1899-12-30T10:36:00"/>
    <d v="1899-12-30T10:39:00"/>
    <n v="69"/>
    <n v="48"/>
    <d v="1899-12-30T10:40:45"/>
    <d v="1899-12-30T11:54:06"/>
    <n v="74"/>
    <m/>
    <m/>
    <m/>
    <s v="SHME OR 04"/>
    <s v="Orthopedics"/>
    <s v="No"/>
    <s v="Kuhn, Kevin Matthew, Md"/>
    <s v="DRAINAGE OF FINGER ABSCESS; COMPLICATED (EG, FELON)_x000a_DRAINAGE OF TENDON SHEATH, DIGIT AND/OR PALM, EACH"/>
    <s v="LEFT THUMB ABSCESS INCISION AND DRAINAGE,LEFT THUMB TENDON SHEALTH INCISION AND DRAINAGE - Left"/>
    <s v="Sat"/>
    <m/>
    <s v="ED/IP/IC"/>
    <m/>
    <s v="KUHN, KEVIN MATTHEW"/>
    <m/>
    <s v="Kevin Matthew Kuhn, MD"/>
    <m/>
    <s v="Kuhn"/>
  </r>
  <r>
    <d v="2026-08-29T00:00:00"/>
    <s v="6704435"/>
    <s v="Lewis, Mason J"/>
    <s v="Inpatient"/>
    <x v="0"/>
    <n v="3901462061"/>
    <s v="811494312"/>
    <d v="2001-10-13T00:00:00"/>
    <s v="Ngo, Donald Hanh, MD"/>
    <s v="General"/>
    <s v="1"/>
    <d v="1899-12-30T10:55:00"/>
    <d v="1899-12-30T14:21:00"/>
    <n v="206"/>
    <d v="1899-12-30T10:30:00"/>
    <d v="1899-12-30T13:10:00"/>
    <n v="190"/>
    <d v="1899-12-30T10:55:00"/>
    <d v="1899-12-30T14:16:00"/>
    <n v="201"/>
    <d v="1899-12-30T11:30:00"/>
    <d v="1899-12-30T14:12:00"/>
    <d v="1899-12-30T14:16:00"/>
    <n v="201"/>
    <n v="162"/>
    <d v="1899-12-30T14:17:36"/>
    <d v="1899-12-30T15:10:00"/>
    <n v="53"/>
    <m/>
    <m/>
    <m/>
    <s v="SHME OR 09"/>
    <s v="Orthopedics"/>
    <s v="No"/>
    <s v="Kuhn, Kevin Matthew, Md"/>
    <s v="OPEN TREATMENT OF HUMERAL SHAFT FRACTURE WITH PLATE/SCREWS, WITH ORWITHOUT CERCLAGE"/>
    <s v="OPEN TREATMENT OF HUMERAL SHAFT FRACTURE WITH PLATE/SCREWS, WITH ORWITHOUT CERCLAGE - Left"/>
    <s v="Sat"/>
    <m/>
    <m/>
    <m/>
    <s v="KUHN, KEVIN MATTHEW"/>
    <m/>
    <s v="Kevin Matthew Kuhn, MD"/>
    <m/>
    <s v="Kuhn"/>
  </r>
  <r>
    <d v="2026-08-29T00:00:00"/>
    <s v="6704507"/>
    <s v="McDaniel, Margaret A"/>
    <s v="Inpatient"/>
    <x v="0"/>
    <n v="3901461955"/>
    <s v="701610586"/>
    <d v="1964-02-19T00:00:00"/>
    <s v="Ngo, Donald Hanh, MD"/>
    <s v="General"/>
    <s v="2"/>
    <d v="1899-12-30T14:54:00"/>
    <d v="1899-12-30T17:56:00"/>
    <n v="182"/>
    <d v="1899-12-30T15:00:00"/>
    <d v="1899-12-30T17:20:00"/>
    <n v="170"/>
    <d v="1899-12-30T14:54:00"/>
    <d v="1899-12-30T17:50:00"/>
    <n v="176"/>
    <d v="1899-12-30T15:10:00"/>
    <d v="1899-12-30T17:46:00"/>
    <d v="1899-12-30T17:50:00"/>
    <n v="176"/>
    <n v="156"/>
    <d v="1899-12-30T17:51:59"/>
    <d v="1899-12-30T18:36:25"/>
    <n v="45"/>
    <m/>
    <m/>
    <m/>
    <s v="SHME OR 05"/>
    <s v="Orthopedics"/>
    <s v="No"/>
    <s v="Kuhn, Kevin Matthew, Md"/>
    <s v="OPEN TREATMENT OF TIBIAL FRACTURE, PROXIMAL (PLATEAU); BICONDYLAR, WITHOR WITHOUT INTERNAL FIXATION"/>
    <s v="OPEN TREATMENT OF TIBIAL FRACTURE, PROXIMAL (PLATEAU); BICONDYLAR, WITHOR WITHOUT INTERNAL FIXATION - Left"/>
    <s v="Sat"/>
    <m/>
    <m/>
    <m/>
    <s v="KUHN, KEVIN MATTHEW"/>
    <m/>
    <s v="Kevin Matthew Kuhn, MD"/>
    <m/>
    <s v="Kuhn"/>
  </r>
  <r>
    <d v="2026-08-29T00:00:00"/>
    <s v="6704981"/>
    <s v="Cortes, Arnold"/>
    <s v="Inpatient"/>
    <x v="0"/>
    <n v="3901462233"/>
    <s v="811494413"/>
    <d v="1948-01-30T00:00:00"/>
    <s v="Vasant, Kris Kishore, MD"/>
    <s v="Regional"/>
    <s v="4"/>
    <d v="1899-12-30T07:04:00"/>
    <d v="1899-12-30T10:00:00"/>
    <n v="176"/>
    <d v="1899-12-30T06:45:00"/>
    <d v="1899-12-30T07:15:00"/>
    <n v="60"/>
    <d v="1899-12-30T07:04:00"/>
    <d v="1899-12-30T09:40:00"/>
    <n v="156"/>
    <d v="1899-12-30T07:23:00"/>
    <d v="1899-12-30T09:24:00"/>
    <d v="1899-12-30T09:40:00"/>
    <n v="156"/>
    <n v="121"/>
    <m/>
    <m/>
    <m/>
    <m/>
    <m/>
    <m/>
    <s v="SHME OR 05"/>
    <s v="General"/>
    <s v="No"/>
    <s v="Dieffenbach, Bryan Vinson, Md"/>
    <s v="DIRECT REPAIR OF ANEURYSM, PSEUDOANEURYSM, OR EXCISION (PARTIAL ORTOTAL) AND GRAFT INSERTION, WITH OR WITHOUT PATCH GRAFT; FOR RUPTUREDANEURYSM, ILIAC ARTERY (COMMON, HYPOGASTRIC, EXTERNAL)"/>
    <s v="open repair of ruptured left internal iliac aneurysm, left iliac covered stent placement - Left"/>
    <s v="Sat"/>
    <m/>
    <s v="ED/IP/IC"/>
    <m/>
    <s v="KROSNER, SETH MICHAEL_x000a_ROTHENBERG, EDWARD SAMUEL_x000a_DIEFFENBACH, BRYAN VINSON_x000a_FERNANDEZ, NATHANIAL"/>
    <s v="Panel 1: Dr. Dieffenbach, Bryan Vinson, MD / Fernandez, Nathanial, MD_x000a_Panel 2: Dr. Rothenberg, Edward Samuel, MD_x000a_Panel 3: Dr. Krosner, Seth Michael, MD"/>
    <s v="Bryan Vinson Dieffenbach, MD_x000a_Edward Samuel Rothenberg, MD_x000a_Seth Michael Krosner, MD"/>
    <m/>
    <s v="Dieffenbach, Rothenberg, Krosner"/>
  </r>
  <r>
    <d v="2026-08-29T00:00:00"/>
    <s v="6705190"/>
    <s v="Rodriguez Ramos, Ana J"/>
    <s v="Inpatient"/>
    <x v="0"/>
    <n v="3901461333"/>
    <s v="810484506"/>
    <d v="1963-01-25T00:00:00"/>
    <s v="Haidar, Jason, DO"/>
    <s v="General"/>
    <s v="2"/>
    <d v="1899-12-30T12:36:00"/>
    <d v="1899-12-30T13:44:00"/>
    <n v="68"/>
    <d v="1899-12-30T11:00:00"/>
    <d v="1899-12-30T12:25:00"/>
    <n v="115"/>
    <d v="1899-12-30T12:36:00"/>
    <d v="1899-12-30T13:39:00"/>
    <n v="63"/>
    <d v="1899-12-30T12:57:00"/>
    <d v="1899-12-30T13:35:00"/>
    <d v="1899-12-30T13:39:00"/>
    <n v="63"/>
    <n v="38"/>
    <d v="1899-12-30T13:42:51"/>
    <d v="1899-12-30T14:16:00"/>
    <n v="34"/>
    <m/>
    <m/>
    <m/>
    <s v="SHME OR 03"/>
    <s v="Urology"/>
    <s v="Yes"/>
    <s v="Dicks, Brian Michael, Md"/>
    <s v="CYSTOURETHROSCOPY, WITH URETEROSCOPY AND/OR PYELOSCOPY; WITHLITHOTRIPSY INCLUDING INSERTION OF INDWELLING URETERAL STENT (EG,GIBBONS OR DOUBLE-J TYPE)"/>
    <s v="CYSTOURETHROSCOPY, WITH URETEROSCOPY AND/OR PYELOSCOPY; WITHLITHOTRIPSY INCLUDING INSERTION OF INDWELLING URETERAL STENT (EG,GIBBONS OR DOUBLE-J TYPE) - Left"/>
    <s v="Sat"/>
    <m/>
    <s v="ED/IP/IC"/>
    <m/>
    <s v="DICKS, BRIAN MICHAEL"/>
    <m/>
    <s v="Brian Michael Dicks, MD"/>
    <m/>
    <s v="Dicks"/>
  </r>
  <r>
    <d v="2026-08-29T00:00:00"/>
    <s v="6705227"/>
    <s v="Sanchez, Pablo"/>
    <s v="Inpatient"/>
    <x v="0"/>
    <n v="3901462172"/>
    <s v="400377356"/>
    <d v="1973-10-28T00:00:00"/>
    <s v="Haidar, Jason, DO"/>
    <s v="General"/>
    <s v="2"/>
    <d v="1899-12-30T14:37:00"/>
    <d v="1899-12-30T16:08:00"/>
    <n v="91"/>
    <d v="1899-12-30T13:30:00"/>
    <d v="1899-12-30T14:35:00"/>
    <n v="95"/>
    <d v="1899-12-30T14:37:00"/>
    <d v="1899-12-30T16:03:00"/>
    <n v="86"/>
    <d v="1899-12-30T15:03:00"/>
    <d v="1899-12-30T15:58:00"/>
    <d v="1899-12-30T16:03:00"/>
    <n v="86"/>
    <n v="55"/>
    <d v="1899-12-30T16:08:03"/>
    <d v="1899-12-30T16:46:00"/>
    <n v="38"/>
    <m/>
    <m/>
    <m/>
    <s v="SHME OR 06"/>
    <s v="Oral Surgery"/>
    <s v="No"/>
    <s v="Dentico-Olin, Marc, Md, Dmd"/>
    <s v="EXTRAORAL INCISION AND DRAINAGE OF ABSCESS, CYST, OR HEMATOMA OF FLOOROF MOUTH; SUBMANDIBULAR"/>
    <s v="EXTRAORAL INCISION AND DRAINAGE OF ABSCESS, CYST, OR HEMATOMA OF FLOOROF MOUTH; SUBMANDIBULAR - Left"/>
    <s v="Sat"/>
    <m/>
    <s v="ED/IP/IC"/>
    <m/>
    <s v="DENTICO-OLIN, MARC"/>
    <m/>
    <s v="Marc Dentico-Olin, MD, DMD"/>
    <m/>
    <s v="Dentico-Olin"/>
  </r>
  <r>
    <d v="2026-08-29T00:00:00"/>
    <s v="6705230"/>
    <s v="Benson, Drew"/>
    <s v="Inpatient"/>
    <x v="0"/>
    <n v="3901462166"/>
    <s v="810264495"/>
    <d v="1999-10-14T00:00:00"/>
    <s v="Haidar, Jason, DO"/>
    <s v="General"/>
    <s v="2"/>
    <d v="1899-12-30T16:34:00"/>
    <d v="1899-12-30T18:55:00"/>
    <n v="141"/>
    <d v="1899-12-30T15:35:00"/>
    <d v="1899-12-30T18:30:00"/>
    <n v="205"/>
    <d v="1899-12-30T16:34:00"/>
    <d v="1899-12-30T18:50:00"/>
    <n v="136"/>
    <d v="1899-12-30T16:58:00"/>
    <d v="1899-12-30T18:31:00"/>
    <d v="1899-12-30T18:50:00"/>
    <n v="136"/>
    <n v="93"/>
    <d v="1899-12-30T18:52:24"/>
    <d v="1899-12-30T20:57:00"/>
    <n v="125"/>
    <m/>
    <m/>
    <m/>
    <s v="SHME OR 04"/>
    <s v="Oral Surgery"/>
    <s v="No"/>
    <s v="Dentico-Olin, Marc, Md, Dmd"/>
    <s v="OPEN TREATMENT OF COMPLICATED MANDIBULAR FRACTURE BY MULTIPLE SURGICALAPPROACHES INCLUDING INTERNAL FIXATION, INTERDENTAL FIXATION, AND/ORWIRING OF DENTURES OR SPLINTS"/>
    <s v="OPEN TREATMENT OF COMPLICATED MANDIBULAR FRACTURE BY MULTIPLE SURGICALAPPROACHES INCLUDING INTERNAL FIXATION, INTERDENTAL FIXATION, AND/ORWIRING OF DENTURES OR SPLINTS - Left"/>
    <s v="Sat"/>
    <m/>
    <m/>
    <m/>
    <s v="DENTICO-OLIN, MARC"/>
    <m/>
    <s v="Marc Dentico-Olin, MD, DMD"/>
    <m/>
    <s v="Dentico-Olin"/>
  </r>
  <r>
    <d v="2026-08-29T00:00:00"/>
    <s v="6705340"/>
    <s v="Sanchez Garces, Yosbreener Enrique"/>
    <s v="Inpatient"/>
    <x v="0"/>
    <n v="3901462301"/>
    <s v="811263712"/>
    <d v="1995-07-26T00:00:00"/>
    <s v="Baja, Diosdado An Jr., MD"/>
    <s v="General"/>
    <s v="3"/>
    <d v="1899-12-30T18:14:00"/>
    <d v="1899-12-30T18:49:00"/>
    <n v="35"/>
    <d v="1899-12-30T18:15:00"/>
    <d v="1899-12-30T19:05:00"/>
    <n v="80"/>
    <d v="1899-12-30T18:14:00"/>
    <d v="1899-12-30T18:45:00"/>
    <n v="31"/>
    <d v="1899-12-30T18:29:00"/>
    <d v="1899-12-30T18:40:00"/>
    <d v="1899-12-30T18:45:00"/>
    <n v="31"/>
    <n v="11"/>
    <d v="1899-12-30T18:48:00"/>
    <d v="1899-12-30T19:31:00"/>
    <n v="43"/>
    <m/>
    <m/>
    <m/>
    <s v="SHME OR 02"/>
    <s v="General"/>
    <s v="Yes"/>
    <s v="Krzyzaniak, Michael Joseph, Md"/>
    <s v="INCISION AND DRAINAGE OF ABSCESS (EG, CARBUNCLE, SUPPURATIVEHIDRADENITIS, CUTANEOUS OR SUBCUTANEOUS ABSCESS, CYST, FURUNCLE, ORPARONYCHIA); COMPLICATED OR MULTIPLE"/>
    <s v="INCISION AND DRAINAGE OF ABSCESS (EG, CARBUNCLE, SUPPURATIVEHIDRADENITIS, CUTANEOUS OR SUBCUTANEOUS ABSCESS, CYST, FURUNCLE, ORPARONYCHIA); COMPLICATED OR MULTIPLE - Right"/>
    <s v="Sat"/>
    <m/>
    <m/>
    <m/>
    <s v="KRZYZANIAK, MICHAEL JOSEPH"/>
    <m/>
    <s v="Michael Joseph Krzyzaniak, MD"/>
    <m/>
    <s v="Krzyzaniak"/>
  </r>
  <r>
    <d v="2026-08-29T00:00:00"/>
    <s v="6705909"/>
    <s v="Rich, Kristal"/>
    <s v="Outpatient"/>
    <x v="1"/>
    <n v="3901462445"/>
    <s v="811494552"/>
    <d v="1982-07-09T00:00:00"/>
    <s v="Baja, Diosdado An Jr., MD"/>
    <s v="General"/>
    <s v="2"/>
    <d v="1899-12-30T19:10:00"/>
    <d v="1899-12-30T20:54:00"/>
    <n v="104"/>
    <d v="1899-12-30T19:00:00"/>
    <d v="1899-12-30T20:20:00"/>
    <n v="110"/>
    <d v="1899-12-30T19:10:00"/>
    <d v="1899-12-30T20:49:00"/>
    <n v="99"/>
    <d v="1899-12-30T19:34:00"/>
    <d v="1899-12-30T20:43:00"/>
    <d v="1899-12-30T20:49:00"/>
    <n v="99"/>
    <n v="69"/>
    <d v="1899-12-30T20:50:47"/>
    <d v="1899-12-30T21:46:00"/>
    <n v="56"/>
    <m/>
    <m/>
    <m/>
    <s v="SHME OR 10"/>
    <s v="General"/>
    <s v="No"/>
    <s v="Simpson, Amelia Jean, Md"/>
    <s v="LAPAROSCOPY, SURGICAL, APPENDECTOMY"/>
    <s v="Robotic Assisted appendectomy, possible LAPAROSCOPY vs open - N/A"/>
    <s v="Sat"/>
    <m/>
    <m/>
    <m/>
    <s v="SIMPSON, AMELIA JEAN_x000a_KRZYZANIAK, MICHAEL JOSEPH"/>
    <s v="Panel 1: Dr. Simpson, Amelia Jean, MD / Krzyzaniak, Michael Joseph, MD"/>
    <s v="Amelia Jean Simpson, MD"/>
    <m/>
    <s v="Simpson"/>
  </r>
  <r>
    <d v="2026-08-30T00:00:00"/>
    <s v="6705145"/>
    <s v="Lee, Alex M"/>
    <s v="Inpatient"/>
    <x v="0"/>
    <n v="3901424676"/>
    <s v="701073378"/>
    <d v="1961-10-10T00:00:00"/>
    <s v="Vasant, Kris Kishore, MD"/>
    <s v="General"/>
    <s v="3"/>
    <d v="1899-12-30T08:30:00"/>
    <d v="1899-12-30T09:16:00"/>
    <n v="46"/>
    <d v="1899-12-30T08:30:00"/>
    <d v="1899-12-30T09:20:00"/>
    <n v="50"/>
    <d v="1899-12-30T08:30:00"/>
    <d v="1899-12-30T09:12:00"/>
    <n v="42"/>
    <d v="1899-12-30T08:50:00"/>
    <d v="1899-12-30T09:09:00"/>
    <d v="1899-12-30T09:12:00"/>
    <n v="42"/>
    <n v="19"/>
    <d v="1899-12-30T09:15:00"/>
    <d v="1899-12-30T09:31:00"/>
    <n v="16"/>
    <m/>
    <m/>
    <m/>
    <s v="SHME OR 06"/>
    <s v="Urology"/>
    <s v="No"/>
    <s v="Salem, Carol Elizabeth, Md"/>
    <s v="CYSTOURETHROSCOPY (SEPARATE PROCEDURE)_x000a_INSERTION OF TEMPORARY INDWELLING BLADDER CATHETER; COMPLICATED (EG,ALTERED ANATOMY, FRACTURED CATHETER/BALLOON)"/>
    <s v="CYSTOURETHROSCOPY (SEPARATE PROCEDURE) - N/A"/>
    <s v="Sun"/>
    <m/>
    <s v="ED/IP/IC"/>
    <m/>
    <s v="SALEM, CAROL ELIZABETH"/>
    <m/>
    <s v="Carol Elizabeth Salem, MD"/>
    <m/>
    <s v="Salem"/>
  </r>
  <r>
    <d v="2026-08-30T00:00:00"/>
    <s v="6705321"/>
    <s v="Huizar, Jose G Jr."/>
    <s v="Inpatient"/>
    <x v="0"/>
    <n v="3901462309"/>
    <s v="701621217"/>
    <d v="2002-04-24T00:00:00"/>
    <s v="Haidar, Jason, DO"/>
    <s v="Regional"/>
    <s v="2"/>
    <d v="1899-12-30T07:16:00"/>
    <d v="1899-12-30T08:39:00"/>
    <n v="83"/>
    <d v="1899-12-30T07:30:00"/>
    <d v="1899-12-30T09:25:00"/>
    <n v="145"/>
    <d v="1899-12-30T07:16:00"/>
    <d v="1899-12-30T08:34:00"/>
    <n v="78"/>
    <d v="1899-12-30T07:45:00"/>
    <d v="1899-12-30T08:30:00"/>
    <d v="1899-12-30T08:34:00"/>
    <n v="78"/>
    <n v="45"/>
    <d v="1899-12-30T08:38:35"/>
    <d v="1899-12-30T09:26:01"/>
    <n v="48"/>
    <m/>
    <m/>
    <m/>
    <s v="SHME OR 09"/>
    <s v="Orthopedics"/>
    <s v="No"/>
    <s v="Kuhn, Kevin Matthew, Md"/>
    <s v="OPEN TREATMENT OF METATARSAL FRACTURE, INCLUDES INTERNAL FIXATION, WHENPERFORMED, EACH"/>
    <s v="OPEN TREATMENT OF METATARSAL FRACTURE, INCLUDES INTERNAL FIXATION, WHENPERFORMED, EACH - Right"/>
    <s v="Sun"/>
    <m/>
    <m/>
    <m/>
    <s v="KUHN, KEVIN MATTHEW"/>
    <m/>
    <s v="Kevin Matthew Kuhn, MD"/>
    <m/>
    <s v="Kuhn"/>
  </r>
  <r>
    <d v="2026-08-30T00:00:00"/>
    <s v="6705984"/>
    <s v="Buckely, John Taylor"/>
    <s v="Inpatient"/>
    <x v="0"/>
    <n v="3901462372"/>
    <s v="811494518"/>
    <d v="1996-09-27T00:00:00"/>
    <s v="Haidar, Jason, DO"/>
    <s v="General"/>
    <s v="2"/>
    <d v="1899-12-30T08:50:00"/>
    <d v="1899-12-30T09:48:00"/>
    <n v="58"/>
    <d v="1899-12-30T10:00:00"/>
    <d v="1899-12-30T11:05:00"/>
    <n v="65"/>
    <d v="1899-12-30T08:50:00"/>
    <d v="1899-12-30T09:43:00"/>
    <n v="53"/>
    <d v="1899-12-30T09:09:00"/>
    <d v="1899-12-30T09:41:00"/>
    <d v="1899-12-30T09:43:00"/>
    <n v="53"/>
    <n v="32"/>
    <d v="1899-12-30T09:47:55"/>
    <d v="1899-12-30T10:25:53"/>
    <n v="38"/>
    <m/>
    <m/>
    <m/>
    <s v="SHME OR 07"/>
    <s v="Orthopedics"/>
    <s v="No"/>
    <s v="Kuhn, Kevin Matthew, Md"/>
    <s v="DEBRIDEMENT INCLUDING REMOVAL OF FOREIGN MATERIAL AT THE SITE OF AN OPENFRACTURE AND/OR AN OPEN DISLOCATION (EG, EXCISIONAL DEBRIDEMENT); SKIN,SUBCUTANEOUS TISSUE, MUSCLE FASCIA, MUSCLE, AND BONE_x000a_OPEN TREATMENT OF DISTAL PHALANGEAL FRACTURE, FINGER OR THUMB, INCLUDESINTERNAL FIXATION, WHEN PERFORMED, EACH_x000a_REPAIR OF NAIL BED"/>
    <s v="Debridement and operative treatment of right thumb fracture with nailbed injury - Right"/>
    <s v="Sun"/>
    <m/>
    <m/>
    <m/>
    <s v="KUHN, KEVIN MATTHEW"/>
    <m/>
    <s v="Kevin Matthew Kuhn, MD"/>
    <m/>
    <s v="Kuhn"/>
  </r>
  <r>
    <d v="2026-08-30T00:00:00"/>
    <s v="6706115"/>
    <s v="Morales Alvarez, Joselyn Arlet"/>
    <s v="Inpatient"/>
    <x v="0"/>
    <n v="3901462516"/>
    <s v="811494614"/>
    <d v="2002-08-19T00:00:00"/>
    <s v="Haidar, Jason, DO"/>
    <s v="General"/>
    <s v="2"/>
    <d v="1899-12-30T10:00:00"/>
    <d v="1899-12-30T12:11:00"/>
    <n v="131"/>
    <d v="1899-12-30T10:10:00"/>
    <d v="1899-12-30T12:00:00"/>
    <n v="140"/>
    <d v="1899-12-30T10:00:00"/>
    <d v="1899-12-30T12:06:00"/>
    <n v="126"/>
    <d v="1899-12-30T10:33:00"/>
    <d v="1899-12-30T11:59:00"/>
    <d v="1899-12-30T12:06:00"/>
    <n v="126"/>
    <n v="86"/>
    <d v="1899-12-30T12:07:51"/>
    <d v="1899-12-30T12:41:57"/>
    <n v="34"/>
    <m/>
    <m/>
    <m/>
    <s v="SHME OR 09"/>
    <s v="Orthopedics"/>
    <s v="No"/>
    <s v="Kuhn, Kevin Matthew, Md"/>
    <s v="TREATMENT OF TIBIAL SHAFT FRACTURE (WITH OR WITHOUT FIBULAR FRACTURE) BYINTRAMEDULLARY IMPLANT, WITH OR WITHOUT INTERLOCKING SCREWS AND/ORCERCLAGE"/>
    <s v="TREATMENT OF TIBIAL SHAFT FRACTURE (WITH OR WITHOUT FIBULAR FRACTURE) BYINTRAMEDULLARY IMPLANT, WITH OR WITHOUT INTERLOCKING SCREWS AND/ORCERCLAGE - Right"/>
    <s v="Sun"/>
    <m/>
    <m/>
    <m/>
    <s v="KUHN, KEVIN MATTHEW"/>
    <m/>
    <s v="Kevin Matthew Kuhn, MD"/>
    <m/>
    <s v="Kuhn"/>
  </r>
  <r>
    <d v="2026-08-30T00:00:00"/>
    <s v="6706322"/>
    <s v="Sanchez, Teodula"/>
    <s v="Outpatient"/>
    <x v="1"/>
    <n v="3901462501"/>
    <s v="110093117"/>
    <d v="1975-04-04T00:00:00"/>
    <s v="Baja, Diosdado An Jr., MD"/>
    <s v="General"/>
    <s v="1"/>
    <d v="1899-12-30T04:23:00"/>
    <d v="1899-12-30T05:49:00"/>
    <n v="86"/>
    <d v="1899-12-30T04:20:00"/>
    <d v="1899-12-30T06:00:00"/>
    <n v="130"/>
    <d v="1899-12-30T04:23:00"/>
    <d v="1899-12-30T05:46:00"/>
    <n v="83"/>
    <d v="1899-12-30T04:53:00"/>
    <d v="1899-12-30T05:42:00"/>
    <d v="1899-12-30T05:46:00"/>
    <n v="83"/>
    <n v="49"/>
    <d v="1899-12-30T05:51:26"/>
    <d v="1899-12-30T08:25:10"/>
    <n v="154"/>
    <m/>
    <m/>
    <m/>
    <s v="SHME OR 02"/>
    <s v="Obstetrics"/>
    <s v="No"/>
    <s v="Kalkhoff, Stephen Mark, Md"/>
    <s v="OVARIAN CYSTECTOMY, UNILATERAL OR BILATERAL"/>
    <s v="OVARIAN CYSTECTOMY, UNILATERAL OR BILATERAL - Right"/>
    <s v="Sun"/>
    <m/>
    <m/>
    <m/>
    <s v="CONTRERAS, MICHELLE_x000a_KALKHOFF, STEPHEN MARK"/>
    <s v="Panel 1: Dr. Kalkhoff, Stephen Mark, MD / Contreras, Michelle, MD"/>
    <s v="Stephen Mark Kalkhoff, MD"/>
    <m/>
    <s v="Kalkhoff"/>
  </r>
  <r>
    <d v="2026-08-30T00:00:00"/>
    <s v="6706364"/>
    <s v="Burzic, Ashley A"/>
    <s v="Inpatient"/>
    <x v="0"/>
    <n v="3901462567"/>
    <s v="100500158"/>
    <d v="1984-11-26T00:00:00"/>
    <s v="Vasant, Kris Kishore, MD"/>
    <s v="General"/>
    <s v="2"/>
    <d v="1899-12-30T07:21:00"/>
    <d v="1899-12-30T08:13:00"/>
    <n v="52"/>
    <d v="1899-12-30T07:30:00"/>
    <d v="1899-12-30T08:20:00"/>
    <n v="50"/>
    <d v="1899-12-30T07:21:00"/>
    <d v="1899-12-30T08:04:00"/>
    <n v="43"/>
    <d v="1899-12-30T07:42:00"/>
    <d v="1899-12-30T07:59:00"/>
    <d v="1899-12-30T08:04:00"/>
    <n v="43"/>
    <n v="17"/>
    <d v="1899-12-30T08:05:00"/>
    <d v="1899-12-30T08:51:00"/>
    <n v="46"/>
    <m/>
    <m/>
    <m/>
    <s v="SHME OR 04"/>
    <s v="General"/>
    <s v="No"/>
    <s v="Krzyzaniak, Michael Joseph, Md"/>
    <s v="INCISION AND DRAINAGE OF ABSCESS (EG, CARBUNCLE, SUPPURATIVEHIDRADENITIS, CUTANEOUS OR SUBCUTANEOUS ABSCESS, CYST, FURUNCLE, ORPARONYCHIA); COMPLICATED OR MULTIPLE"/>
    <s v="INCISION AND DRAINAGE OF ABSCESS (EG, CARBUNCLE, SUPPURATIVEHIDRADENITIS, CUTANEOUS OR SUBCUTANEOUS ABSCESS, CYST, FURUNCLE, ORPARONYCHIA); COMPLICATED OR MULTIPLE - N/A"/>
    <s v="Sun"/>
    <m/>
    <m/>
    <m/>
    <s v="KRZYZANIAK, MICHAEL JOSEPH"/>
    <m/>
    <s v="Michael Joseph Krzyzaniak, MD"/>
    <m/>
    <s v="Krzyzaniak"/>
  </r>
  <r>
    <d v="2026-08-30T00:00:00"/>
    <s v="6706462"/>
    <s v="Arredondo Tejada, Ricardo"/>
    <s v="Inpatient"/>
    <x v="0"/>
    <n v="3901462557"/>
    <s v="811494630"/>
    <d v="1964-04-09T00:00:00"/>
    <s v="Haidar, Jason, DO"/>
    <s v="General"/>
    <s v="3"/>
    <d v="1899-12-30T12:19:00"/>
    <d v="1899-12-30T13:12:00"/>
    <n v="53"/>
    <d v="1899-12-30T12:00:00"/>
    <d v="1899-12-30T13:10:00"/>
    <n v="70"/>
    <d v="1899-12-30T12:19:00"/>
    <d v="1899-12-30T13:07:00"/>
    <n v="48"/>
    <d v="1899-12-30T12:35:00"/>
    <d v="1899-12-30T13:03:00"/>
    <d v="1899-12-30T13:07:00"/>
    <n v="48"/>
    <n v="28"/>
    <d v="1899-12-30T13:08:13"/>
    <d v="1899-12-30T14:13:00"/>
    <n v="65"/>
    <m/>
    <m/>
    <m/>
    <s v="SHME OR 04"/>
    <s v="Podiatry"/>
    <s v="Yes"/>
    <s v="Brookshier, Trent Rockne, Dpm"/>
    <s v="INCISION AND DRAINAGE, BURSA, FOOT"/>
    <s v="INCISION AND DRAINAGE, BURSA, FOOT - Right"/>
    <s v="Sun"/>
    <m/>
    <s v="ED/IP/IC"/>
    <m/>
    <s v="BROOKSHIER, TRENT ROCKNE"/>
    <m/>
    <s v="Trent Rockne Brookshier, DPM"/>
    <m/>
    <s v="Brookshier"/>
  </r>
  <r>
    <d v="2026-08-31T00:00:00"/>
    <s v="6586876"/>
    <s v="Castaneda, Abigail"/>
    <s v="Outpatient"/>
    <x v="1"/>
    <n v="3901439489"/>
    <s v="810587130"/>
    <d v="1991-12-23T00:00:00"/>
    <s v="Julian, Jeric Israel Burguillos, DO"/>
    <s v="Regional"/>
    <s v="1"/>
    <d v="1899-12-30T08:00:00"/>
    <d v="1899-12-30T10:29:00"/>
    <n v="149"/>
    <d v="1899-12-30T08:00:00"/>
    <d v="1899-12-30T11:00:00"/>
    <n v="180"/>
    <d v="1899-12-30T08:00:00"/>
    <d v="1899-12-30T10:24:00"/>
    <n v="144"/>
    <d v="1899-12-30T08:32:00"/>
    <d v="1899-12-30T10:16:00"/>
    <d v="1899-12-30T10:24:00"/>
    <n v="144"/>
    <n v="104"/>
    <d v="1899-12-30T10:24:54"/>
    <d v="1899-12-30T10:59:00"/>
    <n v="35"/>
    <d v="1899-12-30T11:00:00"/>
    <d v="1899-12-30T12:02:00"/>
    <n v="62"/>
    <s v="SHME OR 14"/>
    <s v="Podiatry"/>
    <s v="No"/>
    <s v="Juarez, Leticia Janel, Dpm"/>
    <s v="CORRECTION, HAMMERTOE (EG, INTERPHALANGEAL FUSION, PARTIAL OR TOTALPHALANGECTOMY)_x000a_CORRECTION, HALLUX VALGUS WITH BUNIONECTOMY, WITH SESAMOIDECTOMY WHEN PERFORMED; WITH DISTAL METATARSAL OSTEOTOMY, ANY METHOD_x000a_CORRECTION, HALLUX VALGUS WITH BUNIONECTOMY, WITH SESAMOIDECTOMY WHEN PERFORMED; WITH PROXIMAL PHALANX OSTEOTOMY, ANY METHOD_x000a_OSTEOTOMY, WITH OR WITHOUT LENGTHENING, SHORTENING OR ANGULARCORRECTION, METATARSAL; OTHER THAN FIRST METATARSAL, EACH"/>
    <s v="BUNIONECTOMY WITH DISTAL OSTEOTOMY, RIGHT FOOT; RIGHT FOOT HAMERTOE CORRECTION; RIGHT FOOT SECOND TOE AKIN OSTEOTOMY; WEIL OSTEOTOMY OF SECOND METATARSAL - Right"/>
    <s v="Mon"/>
    <m/>
    <m/>
    <m/>
    <s v="JUAREZ, LETICIA JANEL_x000a_SCHNEIDER, SARAH ASHLEY"/>
    <s v="Panel 1: Dr. Juarez, Leticia Janel, DPM / Schneider, Sarah Ashley, DPM"/>
    <s v="Leticia Janel Juarez, DPM"/>
    <m/>
    <s v="Juarez"/>
  </r>
  <r>
    <d v="2026-08-31T00:00:00"/>
    <s v="6595235"/>
    <s v="Medina, Cesar"/>
    <s v="Outpatient"/>
    <x v="1"/>
    <n v="3901441407"/>
    <s v="400430400"/>
    <d v="1981-08-11T00:00:00"/>
    <s v="Chung, Michelle Sheryl, MD"/>
    <s v="General"/>
    <s v="2"/>
    <d v="1899-12-30T08:05:00"/>
    <d v="1899-12-30T09:38:00"/>
    <n v="93"/>
    <d v="1899-12-30T08:00:00"/>
    <d v="1899-12-30T10:00:00"/>
    <n v="120"/>
    <d v="1899-12-30T08:05:00"/>
    <d v="1899-12-30T09:33:00"/>
    <n v="88"/>
    <d v="1899-12-30T08:25:00"/>
    <d v="1899-12-30T09:23:00"/>
    <d v="1899-12-30T09:33:00"/>
    <n v="88"/>
    <n v="58"/>
    <d v="1899-12-30T09:35:00"/>
    <d v="1899-12-30T11:16:00"/>
    <n v="101"/>
    <d v="1899-12-30T11:17:00"/>
    <d v="1899-12-30T11:35:00"/>
    <n v="18"/>
    <s v="SHME OR 04"/>
    <s v="Orthopedics"/>
    <s v="No"/>
    <s v="Abitbol, Jean-Jacques, Md"/>
    <s v="SPINAL OR LATERAL RECESS STENOSIS]), SINGLE VERTEBRAL S_x000a_LAMINECTOMY, FACETECTOMY AND FORAMINOTOMY (UNILATERAL OR BILATERAL WITH DECOMPRESSION OF SPINAL CORD, CAUDA EQUINA AND/OR NERVE ROOT(S), EG, SPINAL OR LATERAL RECESS STENOSIS), SINGLE VERTEBRAL SEGMEN_x000a_RADIOLOGIC EXAMINATION, SPINE, LUMBOSACRAL; MINIMUM OF 4 VIEWS_x000a_CONTINUOUS INTRAOPERATIVE NEUROPHYSIOLOGY MONITORING IN THE OPERATINGROOM, ONE ON ONE MONITORING REQUIRING PERSONAL ATTENDANCE, EACH 15MINUTES (LIST SEPARATELY IN ADDITION TO CODE FOR PRIMARY PROCED_x000a_CTR MOTR EP STD TRANSCRNL MOTR STIM UPR&amp;LOW LIMB_x000a_NEEDLE ELECTROMYOGRAPHY, EACH EXTREMITY, WITH RELATED PARASPINAL AREAS,WHEN PERFORMED, DONE WITH NERVE CONDUCTION, AMPLITUDE ANDLATENCY/VELOCITY STUDY; LIMITED (LIST SEPARATELY IN ADDITION TO CODEF_x000a_SHORT-LATENCY SOMATOSENSORY EVOKED POTENTIAL STUDY, STIMULATION OFANY/ALL PERIPHERAL NERVES OR SKIN SITES, RECORDING FROM THE CENTRALNERVOUS SYSTEM; IN UPPER AND LOWER LIMBS"/>
    <s v="LUMBAR DECOMPRESSION LUMBAR 4 TO LUMBAR 5 - Bilateral"/>
    <s v="Mon"/>
    <m/>
    <m/>
    <m/>
    <s v="ABITBOL, JEAN-JACQUES"/>
    <m/>
    <s v="Jean-Jacques Abitbol, MD"/>
    <m/>
    <s v="Abitbol"/>
  </r>
  <r>
    <d v="2026-08-31T00:00:00"/>
    <s v="6595758"/>
    <s v="Gutierrez, Cesar Jesus"/>
    <s v="Outpatient"/>
    <x v="1"/>
    <n v="3901441509"/>
    <s v="811480241"/>
    <d v="1973-09-08T00:00:00"/>
    <s v="Chung, Michelle Sheryl, MD"/>
    <s v="General"/>
    <s v="2"/>
    <d v="1899-12-30T10:02:00"/>
    <d v="1899-12-30T11:17:00"/>
    <n v="75"/>
    <d v="1899-12-30T10:30:00"/>
    <d v="1899-12-30T12:30:00"/>
    <n v="120"/>
    <d v="1899-12-30T10:02:00"/>
    <d v="1899-12-30T11:12:00"/>
    <n v="70"/>
    <d v="1899-12-30T10:28:00"/>
    <d v="1899-12-30T11:01:00"/>
    <d v="1899-12-30T11:12:00"/>
    <n v="70"/>
    <n v="33"/>
    <d v="1899-12-30T11:15:03"/>
    <d v="1899-12-30T13:29:00"/>
    <n v="134"/>
    <d v="1899-12-30T13:30:00"/>
    <d v="1899-12-30T14:25:00"/>
    <n v="55"/>
    <s v="SHME OR 04"/>
    <s v="Orthopedics"/>
    <s v="No"/>
    <s v="Abitbol, Jean-Jacques, Md"/>
    <s v="SPINAL OR LATERAL RECESS STENOSIS]), SINGLE VERTEBRAL S_x000a_LAMINECTOMY, FACETECTOMY AND FORAMINOTOMY (UNILATERAL OR BILATERAL WITH DECOMPRESSION OF SPINAL CORD, CAUDA EQUINA AND/OR NERVE ROOT(S), EG, SPINAL OR LATERAL RECESS STENOSIS), SINGLE VERTEBRAL SEGMEN_x000a_RADIOLOGIC EXAMINATION, SPINE, LUMBOSACRAL; MINIMUM OF 4 VIEWS_x000a_CONTINUOUS INTRAOPERATIVE NEUROPHYSIOLOGY MONITORING IN THE OPERATINGROOM, ONE ON ONE MONITORING REQUIRING PERSONAL ATTENDANCE, EACH 15MINUTES (LIST SEPARATELY IN ADDITION TO CODE FOR PRIMARY PROCED_x000a_CTR MOTR EP STD TRANSCRNL MOTR STIM UPR&amp;LOW LIMB_x000a_NEEDLE ELECTROMYOGRAPHY, EACH EXTREMITY, WITH RELATED PARASPINAL AREAS,WHEN PERFORMED, DONE WITH NERVE CONDUCTION, AMPLITUDE ANDLATENCY/VELOCITY STUDY; LIMITED (LIST SEPARATELY IN ADDITION TO CODEF_x000a_SHORT-LATENCY SOMATOSENSORY EVOKED POTENTIAL STUDY, STIMULATION OFANY/ALL PERIPHERAL NERVES OR SKIN SITES, RECORDING FROM THE CENTRALNERVOUS SYSTEM; IN UPPER AND LOWER LIMBS"/>
    <s v="LUMBAR FORAMINOTOMY LUMBAR 4 TO LUMBAR 5 - Bilateral"/>
    <s v="Mon"/>
    <m/>
    <m/>
    <m/>
    <s v="ABITBOL, JEAN-JACQUES"/>
    <m/>
    <s v="Jean-Jacques Abitbol, MD"/>
    <m/>
    <s v="Abitbol"/>
  </r>
  <r>
    <d v="2026-08-31T00:00:00"/>
    <s v="6613478"/>
    <s v="Swift, Anthony J"/>
    <s v="Outpatient"/>
    <x v="1"/>
    <n v="3901444714"/>
    <s v="811190194"/>
    <d v="1957-09-23T00:00:00"/>
    <s v="Julian, Jeric Israel Burguillos, DO"/>
    <s v="Monitor Anesthesia Care"/>
    <s v="3"/>
    <d v="1899-12-30T10:57:00"/>
    <d v="1899-12-30T11:45:00"/>
    <n v="48"/>
    <d v="1899-12-30T11:30:00"/>
    <d v="1899-12-30T12:30:00"/>
    <n v="60"/>
    <d v="1899-12-30T10:57:00"/>
    <d v="1899-12-30T11:40:00"/>
    <n v="43"/>
    <d v="1899-12-30T11:16:00"/>
    <d v="1899-12-30T11:36:00"/>
    <d v="1899-12-30T11:40:00"/>
    <n v="43"/>
    <n v="20"/>
    <d v="1899-12-30T11:41:09"/>
    <d v="1899-12-30T12:48:37"/>
    <n v="67"/>
    <d v="1899-12-30T12:48:39"/>
    <d v="1899-12-30T13:12:00"/>
    <n v="24"/>
    <s v="SHME OR 14"/>
    <s v="Podiatry"/>
    <s v="No"/>
    <s v="Juarez, Leticia Janel, Dpm"/>
    <s v="EXCISION, BENIGN LESION INCLUDING MARGINS, EXCEPT SKIN TAG (UNLESSLISTED ELSEWHERE), SCALP, NECK, HANDS, FEET, GENITALIA; EXCISED DIAMETER0.6 TO 1.0 CM"/>
    <s v="EXCISION, SKIN LESION RIGHT AND LEFT - Bilateral"/>
    <s v="Mon"/>
    <m/>
    <m/>
    <m/>
    <s v="JUAREZ, LETICIA JANEL_x000a_SCHNEIDER, SARAH ASHLEY"/>
    <s v="Panel 1: Dr. Juarez, Leticia Janel, DPM / Schneider, Sarah Ashley, DPM"/>
    <s v="Leticia Janel Juarez, DPM"/>
    <s v="Schneider, Sarah Ashley"/>
    <s v="Juarez"/>
  </r>
  <r>
    <d v="2026-08-31T00:00:00"/>
    <s v="6441870"/>
    <s v="Hernandez, Consuelo P"/>
    <s v="Outpatient"/>
    <x v="1"/>
    <n v="3901413675"/>
    <s v="100756975"/>
    <d v="1963-05-29T00:00:00"/>
    <s v="Nwabueze, Onyemaechi, MD"/>
    <s v="Monitor Anesthesia Care"/>
    <s v="2"/>
    <d v="1899-12-30T08:08:00"/>
    <d v="1899-12-30T09:04:00"/>
    <n v="56"/>
    <d v="1899-12-30T08:00:00"/>
    <d v="1899-12-30T09:00:00"/>
    <n v="60"/>
    <d v="1899-12-30T08:08:00"/>
    <d v="1899-12-30T08:54:00"/>
    <n v="46"/>
    <d v="1899-12-30T08:28:00"/>
    <d v="1899-12-30T08:50:00"/>
    <d v="1899-12-30T08:54:00"/>
    <n v="46"/>
    <n v="22"/>
    <d v="1899-12-30T08:58:45"/>
    <d v="1899-12-30T09:40:00"/>
    <n v="42"/>
    <d v="1899-12-30T09:41:00"/>
    <d v="1899-12-30T10:21:00"/>
    <n v="40"/>
    <s v="SHME OR 06"/>
    <s v="Gynecology"/>
    <s v="No"/>
    <s v="Gonzalez, Marisa Camille, Md"/>
    <s v="HYSTEROSCOPY, SURGICAL; WITH SAMPLING (BIOPSY) OF ENDOMETRIUM AND/ORPOLYPECTOMY, WITH OR WITHOUT D &amp; C"/>
    <s v="HYSTEROSCOPY POSSIBLE POLYPECTOMY DILATION AND CURETTAGE (NEED MYOSURE) - N/A"/>
    <s v="Mon"/>
    <m/>
    <m/>
    <m/>
    <s v="GONZALEZ, MARISA CAMILLE"/>
    <m/>
    <s v="Marisa Camille Gonzalez, MD"/>
    <m/>
    <s v="Gonzalez"/>
  </r>
  <r>
    <d v="2026-08-31T00:00:00"/>
    <s v="6623634"/>
    <s v="Lawson, Susan D"/>
    <s v="Outpatient"/>
    <x v="1"/>
    <n v="3901446952"/>
    <s v="700774066"/>
    <d v="1963-08-13T00:00:00"/>
    <s v="Julian, Jeric Israel Burguillos, DO"/>
    <s v="Monitor Anesthesia Care"/>
    <s v="2"/>
    <d v="1899-12-30T12:15:00"/>
    <d v="1899-12-30T12:53:00"/>
    <n v="38"/>
    <d v="1899-12-30T13:00:00"/>
    <d v="1899-12-30T14:00:00"/>
    <n v="60"/>
    <d v="1899-12-30T12:15:00"/>
    <d v="1899-12-30T12:49:00"/>
    <n v="34"/>
    <d v="1899-12-30T12:30:00"/>
    <d v="1899-12-30T12:45:00"/>
    <d v="1899-12-30T12:49:00"/>
    <n v="34"/>
    <n v="15"/>
    <d v="1899-12-30T12:50:00"/>
    <d v="1899-12-30T13:26:40"/>
    <n v="36"/>
    <d v="1899-12-30T13:26:42"/>
    <d v="1899-12-30T13:38:00"/>
    <n v="12"/>
    <s v="SHME OR 14"/>
    <s v="Podiatry"/>
    <s v="Yes"/>
    <s v="Juarez, Leticia Janel, Dpm"/>
    <s v="AVULSION OF NAIL PLATE, PARTIAL OR COMPLETE, SIMPLE; SINGLE"/>
    <s v="TOENAIL AVULSION, RIGHT AND LEFT FOOT FOURTH NAILS - Bilateral"/>
    <s v="Mon"/>
    <m/>
    <m/>
    <m/>
    <s v="JUAREZ, LETICIA JANEL_x000a_SCHNEIDER, SARAH ASHLEY"/>
    <s v="Panel 1: Dr. Juarez, Leticia Janel, DPM / Schneider, Sarah Ashley, DPM"/>
    <s v="Leticia Janel Juarez, DPM"/>
    <m/>
    <s v="Juarez"/>
  </r>
  <r>
    <d v="2026-08-31T00:00:00"/>
    <s v="6650180"/>
    <s v="Arakelian, Armen H"/>
    <s v="Inpatient"/>
    <x v="0"/>
    <n v="3901451881"/>
    <s v="810691444"/>
    <d v="1965-01-31T00:00:00"/>
    <s v="Sherer, Edward Harding, MD"/>
    <s v="Regional"/>
    <s v="4"/>
    <d v="1899-12-30T06:21:00"/>
    <d v="1899-12-30T17:14:00"/>
    <n v="653"/>
    <d v="1899-12-30T06:15:00"/>
    <d v="1899-12-30T13:15:00"/>
    <n v="420"/>
    <d v="1899-12-30T06:21:00"/>
    <d v="1899-12-30T17:03:00"/>
    <n v="642"/>
    <d v="1899-12-30T08:29:00"/>
    <d v="1899-12-30T16:44:00"/>
    <d v="1899-12-30T17:03:00"/>
    <n v="642"/>
    <n v="495"/>
    <m/>
    <m/>
    <m/>
    <m/>
    <m/>
    <m/>
    <s v="SHME OR 08"/>
    <s v="Cardiothoracic"/>
    <s v="No"/>
    <s v="Williams, David Mccann, Md"/>
    <s v="REPLACEMENT, AORTIC VALVE, OPEN, WITH CARDIOPULMONARY BYPASS; WITH STENTLESSTISSUE VALVE_x000a_CORONARY ARTERY BYPASS, USING ARTERIAL GRAFT(S); 3 CORONARY ARTERIALGRAFTS_x000a_HARVEST OF UPPER EXTREMITY ARTERY, 1 SEGMENT, FOR CORONARY ARTERY BYPASS PROCEDURE, OPEN"/>
    <s v="AORTIC VALVE REPLACEMENT; CORONARY ARTERY BYPASS GRAFT; LEFT INTERNAL MAMMARY ARTERY; RADIAL ARTERY HARVEST; GREATER SAPHENOUS VEIN - N/A"/>
    <s v="Mon"/>
    <m/>
    <s v="ED/IP/IC"/>
    <m/>
    <s v="ISLAMI MANUCHEHRY, MOHAMMAD HOSEIN_x000a_WILLIAMS, DAVID MCCANN"/>
    <s v="Panel 1: Dr. Williams, David McCann, MD / Islami Manuchehry, Mohammad Hosein, MD"/>
    <s v="David McCann Williams, MD"/>
    <m/>
    <s v="Williams"/>
  </r>
  <r>
    <d v="2026-08-31T00:00:00"/>
    <s v="6663387"/>
    <s v="Cobb, Gregory"/>
    <s v="Inpatient"/>
    <x v="0"/>
    <n v="3901454352"/>
    <s v="110050943"/>
    <d v="1951-07-05T00:00:00"/>
    <s v="Kim, Eung Do, MD"/>
    <s v="Regional"/>
    <s v="2"/>
    <d v="1899-12-30T08:09:00"/>
    <d v="1899-12-30T12:47:00"/>
    <n v="278"/>
    <d v="1899-12-30T08:00:00"/>
    <d v="1899-12-30T12:00:00"/>
    <n v="240"/>
    <d v="1899-12-30T08:09:00"/>
    <d v="1899-12-30T12:44:00"/>
    <n v="275"/>
    <d v="1899-12-30T08:45:00"/>
    <d v="1899-12-30T12:24:00"/>
    <d v="1899-12-30T12:44:00"/>
    <n v="275"/>
    <n v="219"/>
    <d v="1899-12-30T12:45:00"/>
    <d v="1899-12-30T13:40:00"/>
    <n v="55"/>
    <m/>
    <m/>
    <m/>
    <s v="SHME OR 10"/>
    <s v="Urology"/>
    <s v="No"/>
    <s v="Salem, Carol Elizabeth, Md"/>
    <s v="NEPHRECTOMY, PARTIAL"/>
    <s v="OPEN RIGHT PARTIAL VERSUS TOTAL NEPHRECTOMY - Right"/>
    <s v="Mon"/>
    <m/>
    <s v="ED/IP/IC"/>
    <m/>
    <s v="SALEM, CAROL ELIZABETH"/>
    <m/>
    <s v="Carol Elizabeth Salem, MD"/>
    <m/>
    <s v="Salem"/>
  </r>
  <r>
    <d v="2026-08-31T00:00:00"/>
    <s v="6663410"/>
    <s v="Morley, Arthur"/>
    <s v="Outpatient"/>
    <x v="1"/>
    <n v="3901454367"/>
    <s v="611696861"/>
    <d v="1942-08-03T00:00:00"/>
    <s v="Feduska, Collin Steven, MD"/>
    <s v="General"/>
    <s v="3"/>
    <d v="1899-12-30T17:23:00"/>
    <d v="1899-12-30T18:16:00"/>
    <n v="53"/>
    <d v="1899-12-30T15:45:00"/>
    <d v="1899-12-30T16:45:00"/>
    <n v="60"/>
    <d v="1899-12-30T17:23:00"/>
    <d v="1899-12-30T18:06:00"/>
    <n v="43"/>
    <d v="1899-12-30T17:41:00"/>
    <d v="1899-12-30T18:02:00"/>
    <d v="1899-12-30T18:06:00"/>
    <n v="43"/>
    <n v="21"/>
    <d v="1899-12-30T18:10:00"/>
    <d v="1899-12-30T18:46:00"/>
    <n v="36"/>
    <m/>
    <m/>
    <m/>
    <s v="SHME OR 03"/>
    <s v="Urology"/>
    <s v="Yes"/>
    <s v="Salem, Carol Elizabeth, Md"/>
    <s v="CYSTOURETHROSCOPY, WITH URETEROSCOPY AND/OR PYELOSCOPY; DIAGNOSTIC"/>
    <s v="CYSTOSCOPY, RIGHT DIAGNOSTIC URETEROSCOPY, POSSIBLE RIGHT URETERAL STENT - Right"/>
    <s v="Mon"/>
    <m/>
    <m/>
    <m/>
    <s v="SALEM, CAROL ELIZABETH"/>
    <m/>
    <s v="Carol Elizabeth Salem, MD"/>
    <m/>
    <s v="Salem"/>
  </r>
  <r>
    <d v="2026-08-31T00:00:00"/>
    <s v="6666776"/>
    <s v="Zovighian, Jacques"/>
    <s v="Outpatient"/>
    <x v="1"/>
    <n v="3901454957"/>
    <s v="110224334"/>
    <d v="1955-10-08T00:00:00"/>
    <s v="Rayan, Hany A, MD"/>
    <s v="General"/>
    <s v="2"/>
    <d v="1899-12-30T08:03:00"/>
    <d v="1899-12-30T12:08:00"/>
    <n v="245"/>
    <d v="1899-12-30T08:00:00"/>
    <d v="1899-12-30T11:15:00"/>
    <n v="195"/>
    <d v="1899-12-30T08:03:00"/>
    <d v="1899-12-30T12:01:00"/>
    <n v="238"/>
    <d v="1899-12-30T08:49:00"/>
    <d v="1899-12-30T11:41:00"/>
    <d v="1899-12-30T12:01:00"/>
    <n v="238"/>
    <n v="172"/>
    <d v="1899-12-30T12:05:00"/>
    <d v="1899-12-30T13:44:00"/>
    <n v="99"/>
    <d v="1899-12-30T13:45:00"/>
    <d v="1899-12-30T15:07:00"/>
    <n v="82"/>
    <s v="SHME OR 05"/>
    <s v="Orthopedics"/>
    <s v="No"/>
    <s v="Bawa, Maneesh, Md"/>
    <s v="SPINAL OR LATERAL RECESS STENOSIS]), SINGLE VERTEBRAL S_x000a_LAMINECTOMY, FACETECTOMY AND FORAMINOTOMY (UNILATERAL OR BILATERAL WITH DECOMPRESSION OF SPINAL CORD, CAUDA EQUINA AND/OR NERVE ROOT(S), EG, SPINAL OR LATERAL RECESS STENOSIS), SINGLE VERTEBRAL SEGMEN_x000a_MICROSURGICAL TECHNIQUES, REQUIRING USE OF OPERATING MICROSCOPE (LISTSEPARATELY IN ADDITION TO CODE FOR PRIMARY PROCEDURE)_x000a_FLUOROSCOPY (SEPARATE PROCEDURE), UP TO 1 HOUR PHYSICIAN OR OTHERQUALIFIED HEALTH CARE PROFESSIONAL TIME, OTHER THAN 71023 OR 71034 (EG,CARDIAC FLUOROSCOPY)"/>
    <s v="BILATERAL LAMINECTOMY LUMBAR 4-LUMBAR 5 - N/A"/>
    <s v="Mon"/>
    <m/>
    <m/>
    <m/>
    <s v="BAWA, MANEESH"/>
    <m/>
    <s v="Maneesh Bawa, MD"/>
    <m/>
    <s v="Bawa"/>
  </r>
  <r>
    <d v="2026-08-31T00:00:00"/>
    <s v="6485694"/>
    <s v="Eder, Stephen J"/>
    <s v="Outpatient"/>
    <x v="1"/>
    <n v="3901420805"/>
    <s v="811311886"/>
    <d v="2001-07-17T00:00:00"/>
    <s v="Li, Robin T, MD"/>
    <s v="General"/>
    <s v="2"/>
    <d v="1899-12-30T08:00:00"/>
    <d v="1899-12-30T12:45:00"/>
    <n v="285"/>
    <d v="1899-12-30T08:00:00"/>
    <d v="1899-12-30T14:00:00"/>
    <n v="360"/>
    <d v="1899-12-30T08:00:00"/>
    <d v="1899-12-30T12:38:00"/>
    <n v="278"/>
    <d v="1899-12-30T08:29:00"/>
    <d v="1899-12-30T12:28:00"/>
    <d v="1899-12-30T12:38:00"/>
    <n v="278"/>
    <n v="239"/>
    <d v="1899-12-30T12:42:41"/>
    <d v="1899-12-30T13:46:00"/>
    <n v="64"/>
    <m/>
    <m/>
    <m/>
    <s v="SHME OR 09"/>
    <s v="Plastics"/>
    <s v="No"/>
    <s v="Garg, Ravi, Md"/>
    <s v="RECONSTRUCTION MIDFACE, LEFORT I; 2 PIECES, SEGMENT MOVEMENT IN ANYDIRECTION, REQUIRING BONE GRAFTS (INCLUDES OBTAINING AUTOGRAFTS) (EG,UNGRAFTED UNILATERAL ALVEOLAR CLEFT)_x000a_IMPRESSION AND CUSTOM PREPARATION; ORAL SURGICAL SPLINT_x000a_GRAFT, BONE; MANDIBLE (INCLUDES OBTAINING GRAFT)_x000a_RECONSTRUCTION OF MANDIBULAR RAMI AND/OR BODY, SAGITTAL SPLIT; WITHINTERNAL RIGID FIXATION"/>
    <s v="BILATERAL SAGITTAL SPLIT MANDIBULAR OSTEOTOMIES, POSSIBLE BONE GRAFT TO MANDIBLE - Bilateral"/>
    <s v="Mon"/>
    <m/>
    <m/>
    <m/>
    <s v="GARG, RAVI"/>
    <m/>
    <s v="Ravi Garg, MD"/>
    <m/>
    <s v="Garg"/>
  </r>
  <r>
    <d v="2026-08-31T00:00:00"/>
    <s v="6678480"/>
    <s v="Lopez Dionisio, Jorge A"/>
    <s v="Inpatient"/>
    <x v="0"/>
    <n v="3901446750"/>
    <s v="811483794"/>
    <d v="1972-07-07T00:00:00"/>
    <s v="Kim, Eung Do, MD"/>
    <s v="Regional"/>
    <s v="3"/>
    <d v="1899-12-30T13:29:00"/>
    <d v="1899-12-30T17:09:00"/>
    <n v="220"/>
    <d v="1899-12-30T12:45:00"/>
    <d v="1899-12-30T15:45:00"/>
    <n v="180"/>
    <d v="1899-12-30T13:29:00"/>
    <d v="1899-12-30T17:03:00"/>
    <n v="214"/>
    <d v="1899-12-30T14:22:00"/>
    <d v="1899-12-30T16:43:00"/>
    <d v="1899-12-30T17:03:00"/>
    <n v="214"/>
    <n v="141"/>
    <d v="1899-12-30T17:07:00"/>
    <d v="1899-12-30T19:30:00"/>
    <n v="143"/>
    <m/>
    <m/>
    <m/>
    <s v="SHME OR 10"/>
    <s v="Urology"/>
    <s v="Yes"/>
    <s v="Salem, Carol Elizabeth, Md"/>
    <s v="NEPHRECTOMY, PARTIAL"/>
    <s v="OPEN LEFT PARTIAL VS. TOTAL RADICAL NEPHRECTOMY - Left"/>
    <s v="Mon"/>
    <m/>
    <s v="ED/IP/IC"/>
    <m/>
    <s v="SALEM, CAROL ELIZABETH"/>
    <m/>
    <s v="Carol Elizabeth Salem, MD"/>
    <m/>
    <s v="Salem"/>
  </r>
  <r>
    <d v="2026-08-31T00:00:00"/>
    <s v="6697245"/>
    <s v="Schloeder, Diane"/>
    <s v="Outpatient"/>
    <x v="1"/>
    <n v="3901461894"/>
    <s v="100320788"/>
    <d v="1952-11-17T00:00:00"/>
    <s v="Rayan, Hany A, MD"/>
    <s v="General"/>
    <m/>
    <d v="1899-12-30T12:41:00"/>
    <m/>
    <m/>
    <d v="1899-12-30T11:45:00"/>
    <d v="1899-12-30T13:00:00"/>
    <n v="75"/>
    <d v="1899-12-30T12:41:00"/>
    <d v="1899-12-30T13:54:00"/>
    <n v="73"/>
    <d v="1899-12-30T13:17:00"/>
    <d v="1899-12-30T13:38:00"/>
    <d v="1899-12-30T13:54:00"/>
    <n v="73"/>
    <n v="21"/>
    <d v="1899-12-30T13:54:04"/>
    <d v="1899-12-30T15:26:00"/>
    <n v="92"/>
    <d v="1899-12-30T15:27:00"/>
    <d v="1899-12-30T17:22:00"/>
    <n v="115"/>
    <s v="SHME OR 05"/>
    <s v="Orthopedics"/>
    <s v="No"/>
    <s v="Bawa, Maneesh, Md"/>
    <s v="KYPHOPLASTY), 1 VERTEBRAL BODY, UNILATERAL OR BILATERAL CANNULATION,_x000a_FLUOROSCOPY (SEPARATE PROCEDURE), UP TO 1 HOUR PHYSICIAN OR OTHERQUALIFIED HEALTH CARE PROFESSIONAL TIME, OTHER THAN 71023 OR 71034 (EG,CARDIAC FLUOROSCOPY)"/>
    <s v="KYPHOPLASTY THORACIC 10 OR 11 - N/A"/>
    <s v="Mon"/>
    <m/>
    <m/>
    <m/>
    <s v="BAWA, MANEESH"/>
    <m/>
    <s v="Maneesh Bawa, MD"/>
    <m/>
    <s v="Bawa"/>
  </r>
  <r>
    <d v="2026-08-31T00:00:00"/>
    <s v="6702223"/>
    <s v="Bowen, Virginia Carol"/>
    <s v="Inpatient"/>
    <x v="0"/>
    <n v="3901459738"/>
    <s v="811142620"/>
    <d v="1965-06-08T00:00:00"/>
    <s v="Nelson, Jesse Stuart, DO"/>
    <s v="General"/>
    <s v="4"/>
    <d v="1899-12-30T14:46:00"/>
    <d v="1899-12-30T16:17:00"/>
    <n v="91"/>
    <d v="1899-12-30T14:30:00"/>
    <d v="1899-12-30T17:00:00"/>
    <n v="150"/>
    <d v="1899-12-30T14:46:00"/>
    <d v="1899-12-30T16:09:00"/>
    <n v="83"/>
    <d v="1899-12-30T15:15:00"/>
    <d v="1899-12-30T16:06:00"/>
    <d v="1899-12-30T16:09:00"/>
    <n v="83"/>
    <n v="51"/>
    <d v="1899-12-30T16:10:22"/>
    <d v="1899-12-30T16:46:00"/>
    <n v="36"/>
    <m/>
    <m/>
    <m/>
    <s v="SHME OR 04"/>
    <s v="General"/>
    <s v="No"/>
    <s v="Fernandez, Nathanial, Md"/>
    <s v="INCISION AND DRAINAGE, COMPLEX, POSTOPERATIVE WOUND INFECTION"/>
    <s v="LEFT THIGH EXPLORATION WITH WASHOUT AND POSSIBLE DELAYED PRIMARY CLOSURE - Left"/>
    <s v="Mon"/>
    <m/>
    <s v="ED/IP/IC"/>
    <m/>
    <s v="FERNANDEZ, NATHANIAL"/>
    <m/>
    <s v="Nathanial Fernandez, MD"/>
    <m/>
    <s v="Fernandez"/>
  </r>
  <r>
    <d v="2026-08-31T00:00:00"/>
    <s v="6706719"/>
    <s v="Rincon Cardona, Anthony"/>
    <s v="Inpatient"/>
    <x v="0"/>
    <n v="3901462644"/>
    <s v="811090453"/>
    <d v="1998-04-14T00:00:00"/>
    <s v="Nelson, Jesse Stuart, DO"/>
    <s v="Regional"/>
    <s v="2"/>
    <d v="1899-12-30T11:30:00"/>
    <d v="1899-12-30T14:34:00"/>
    <n v="184"/>
    <d v="1899-12-30T10:00:00"/>
    <d v="1899-12-30T11:45:00"/>
    <n v="105"/>
    <d v="1899-12-30T11:30:00"/>
    <d v="1899-12-30T14:24:00"/>
    <n v="174"/>
    <d v="1899-12-30T11:57:00"/>
    <d v="1899-12-30T14:14:00"/>
    <d v="1899-12-30T14:24:00"/>
    <n v="174"/>
    <n v="137"/>
    <d v="1899-12-30T14:26:00"/>
    <d v="1899-12-30T15:05:00"/>
    <n v="39"/>
    <m/>
    <m/>
    <m/>
    <s v="SHME OR 01"/>
    <s v="Orthopedics"/>
    <s v="No"/>
    <s v="Kuhn, Kevin Matthew, Md"/>
    <s v="OPEN TREATMENT OF DISTAL RADIAL INTRA-ARTICULAR FRACTURE OR EPIPHYSEALSEPARATION; WITH INTERNAL FIXATION OF 3 OR MORE FRAGMENTS"/>
    <s v="OPEN TREATMENT OF DISTAL RADIAL INTRA-ARTICULAR FRACTURE OR EPIPHYSEALSEPARATION; WITH INTERNAL FIXATION OF 3 OR MORE FRAGMENTS - Right"/>
    <s v="Mon"/>
    <m/>
    <s v="ED/IP/IC"/>
    <m/>
    <s v="KUHN, KEVIN MATTHEW"/>
    <m/>
    <s v="Kevin Matthew Kuhn, MD"/>
    <m/>
    <s v="Kuhn"/>
  </r>
  <r>
    <d v="2026-08-31T00:00:00"/>
    <s v="6706741"/>
    <s v="Dominguez, Esau"/>
    <s v="Inpatient"/>
    <x v="0"/>
    <n v="3901462669"/>
    <s v="811494748"/>
    <d v="2003-02-17T00:00:00"/>
    <s v="Nelson, Jesse Stuart, DO"/>
    <s v="Regional"/>
    <s v="2"/>
    <d v="1899-12-30T08:00:00"/>
    <d v="1899-12-30T11:02:00"/>
    <n v="182"/>
    <d v="1899-12-30T08:00:00"/>
    <d v="1899-12-30T09:30:00"/>
    <n v="90"/>
    <d v="1899-12-30T08:00:00"/>
    <d v="1899-12-30T10:53:00"/>
    <n v="173"/>
    <d v="1899-12-30T08:33:00"/>
    <d v="1899-12-30T10:46:00"/>
    <d v="1899-12-30T10:53:00"/>
    <n v="173"/>
    <n v="133"/>
    <d v="1899-12-30T10:55:00"/>
    <d v="1899-12-30T11:44:00"/>
    <n v="49"/>
    <m/>
    <m/>
    <m/>
    <s v="SHME OR 01"/>
    <s v="Orthopedics"/>
    <s v="No"/>
    <s v="Kuhn, Kevin Matthew, Md"/>
    <s v="PERCUTANEOUS SKELETAL FIXATION OF CARPOMETACARPAL FRACTURE DISLOCATION,THUMB (BENNETT FRACTURE), WITH MANIPULATION_x000a_OPEN TREATMENT OF LUNATE DISLOCATION_x000a_OPEN TREATMENT OF CARPAL SCAPHOID (NAVICULAR) FRACTURE, INCLUDESINTERNAL FIXATION, WHEN PERFORMED"/>
    <s v="PERCUTANEOUS SKELETAL FIXATION OF CARPOMETACARPAL FRACTURE DISLOCATION,THUMB (BENNETT FRACTURE), WITH MANIPULATION - Right"/>
    <s v="Mon"/>
    <m/>
    <s v="ED/IP/IC"/>
    <m/>
    <s v="KUHN, KEVIN MATTHEW"/>
    <m/>
    <s v="Kevin Matthew Kuhn, MD"/>
    <m/>
    <s v="Kuhn"/>
  </r>
  <r>
    <d v="2026-08-31T00:00:00"/>
    <s v="6707128"/>
    <s v="Gramajo, Byron"/>
    <s v="Inpatient"/>
    <x v="0"/>
    <n v="3901462684"/>
    <s v="811494796"/>
    <d v="1981-10-05T00:00:00"/>
    <s v="Chung, Michelle Sheryl, MD"/>
    <s v="General"/>
    <s v="2"/>
    <d v="1899-12-30T11:55:00"/>
    <d v="1899-12-30T13:30:00"/>
    <n v="95"/>
    <d v="1899-12-30T12:00:00"/>
    <d v="1899-12-30T13:50:00"/>
    <n v="110"/>
    <d v="1899-12-30T11:55:00"/>
    <d v="1899-12-30T13:27:00"/>
    <n v="92"/>
    <d v="1899-12-30T12:18:00"/>
    <d v="1899-12-30T13:20:00"/>
    <d v="1899-12-30T13:27:00"/>
    <n v="92"/>
    <n v="62"/>
    <d v="1899-12-30T13:30:01"/>
    <d v="1899-12-30T14:26:00"/>
    <n v="56"/>
    <m/>
    <m/>
    <m/>
    <s v="SHME OR 07"/>
    <s v="General"/>
    <s v="No"/>
    <s v="Toman, Jeffrey Robert, Md"/>
    <s v="LAPAROSCOPY, SURGICAL; CHOLECYSTECTOMY"/>
    <s v="Laparoscopic cholecystectomy, possible open procedure - N/A"/>
    <s v="Mon"/>
    <m/>
    <m/>
    <m/>
    <s v="TOMAN, JEFFREY ROBERT"/>
    <m/>
    <s v="Jeffrey Robert Toman, MD"/>
    <m/>
    <s v="Toman"/>
  </r>
  <r>
    <d v="2026-08-31T00:00:00"/>
    <s v="6707572"/>
    <s v="Llamas, Jose I"/>
    <s v="Inpatient"/>
    <x v="0"/>
    <n v="3901460623"/>
    <s v="810952449"/>
    <d v="1941-05-10T00:00:00"/>
    <s v="Nwabueze, Onyemaechi, MD"/>
    <s v="Regional"/>
    <s v="3"/>
    <d v="1899-12-30T10:23:00"/>
    <d v="1899-12-30T12:05:00"/>
    <n v="102"/>
    <d v="1899-12-30T09:25:00"/>
    <d v="1899-12-30T11:05:00"/>
    <n v="130"/>
    <d v="1899-12-30T10:23:00"/>
    <d v="1899-12-30T11:58:00"/>
    <n v="95"/>
    <d v="1899-12-30T10:51:00"/>
    <d v="1899-12-30T11:51:00"/>
    <d v="1899-12-30T11:58:00"/>
    <n v="95"/>
    <n v="60"/>
    <d v="1899-12-30T12:00:00"/>
    <d v="1899-12-30T12:45:00"/>
    <n v="45"/>
    <m/>
    <m/>
    <m/>
    <s v="SHME OR 06"/>
    <s v="General"/>
    <s v="No"/>
    <s v="Krzyzaniak, Michael Joseph, Md"/>
    <s v="LAPAROSCOPY, ABDOMEN, PERITONEUM, AND OMENTUM, DIAGNOSTIC, WITH ORWITHOUT COLLECTION OF SPECIMEN(S) BY BRUSHING OR WASHING (SEPARATEPROCEDURE)"/>
    <s v="Diagnostic LAPAROSCOPY, ABDOMEN, POSSIBLE LAPAROTOMY, POSSIBLE BOWEL RESECTION - N/A"/>
    <s v="Mon"/>
    <m/>
    <s v="ED/IP/IC"/>
    <m/>
    <s v="KRZYZANIAK, MICHAEL JOSEPH"/>
    <m/>
    <s v="Michael Joseph Krzyzaniak, MD"/>
    <m/>
    <s v="Krzyzaniak"/>
  </r>
  <r>
    <d v="2026-08-31T00:00:00"/>
    <s v="6708484"/>
    <s v="Johnson, James"/>
    <s v="Inpatient"/>
    <x v="0"/>
    <n v="3901457994"/>
    <s v="701530260"/>
    <d v="1968-04-23T00:00:00"/>
    <s v="Li, Robin T, MD"/>
    <s v="General"/>
    <s v="3"/>
    <d v="1899-12-30T13:32:00"/>
    <d v="1899-12-30T15:39:00"/>
    <n v="127"/>
    <d v="1899-12-30T13:00:00"/>
    <d v="1899-12-30T15:20:00"/>
    <n v="170"/>
    <d v="1899-12-30T13:32:00"/>
    <d v="1899-12-30T15:25:00"/>
    <n v="113"/>
    <d v="1899-12-30T14:03:00"/>
    <d v="1899-12-30T15:02:00"/>
    <d v="1899-12-30T15:25:00"/>
    <n v="113"/>
    <n v="59"/>
    <m/>
    <m/>
    <m/>
    <m/>
    <m/>
    <m/>
    <s v="SHME OR 02"/>
    <s v="General"/>
    <s v="Yes"/>
    <s v="Giurgiu, Dan I.N., Md"/>
    <s v="EXPLORATORY LAPAROTOMY, EXPLORATORY CELIOTOMY WITH OR WITHOUT BIOPSY(S)(SEPARATE PROCEDURE)"/>
    <s v="EXPLORATORY LAPAROTOMY, DIVERTING COLOSTOMY, POSSIBLE COLON RESECTION - N/A"/>
    <s v="Mon"/>
    <m/>
    <s v="ED/IP/IC"/>
    <m/>
    <s v="GIURGIU, DAN I.N._x000a_PRICE, ERIN MICHELLE"/>
    <s v="Panel 1: Dr. Giurgiu, Dan I.N., MD / Price, Erin Michelle, MD"/>
    <s v="Dan I.N. Giurgiu, MD (619-330-8330)"/>
    <m/>
    <s v="Giurgiu"/>
  </r>
  <r>
    <d v="2026-08-31T00:00:00"/>
    <s v="6710688"/>
    <s v="Villalpando, Leticia"/>
    <s v="Inpatient"/>
    <x v="0"/>
    <n v="3901463135"/>
    <s v="612520061"/>
    <d v="1982-09-12T00:00:00"/>
    <s v="Feduska, Collin Steven, MD"/>
    <s v="General"/>
    <s v="2"/>
    <d v="1899-12-30T18:26:00"/>
    <d v="1899-12-30T19:39:00"/>
    <n v="73"/>
    <d v="1899-12-30T17:30:00"/>
    <d v="1899-12-30T18:35:00"/>
    <n v="95"/>
    <d v="1899-12-30T18:26:00"/>
    <d v="1899-12-30T19:29:00"/>
    <n v="63"/>
    <d v="1899-12-30T18:59:00"/>
    <d v="1899-12-30T19:25:00"/>
    <d v="1899-12-30T19:29:00"/>
    <n v="63"/>
    <n v="26"/>
    <d v="1899-12-30T19:30:54"/>
    <d v="1899-12-30T20:09:00"/>
    <n v="39"/>
    <m/>
    <m/>
    <m/>
    <s v="SHME OR 06"/>
    <s v="General"/>
    <s v="No"/>
    <s v="Bansal, Vishal, Md"/>
    <s v="LAPAROSCOPY, SURGICAL, APPENDECTOMY"/>
    <s v="LAPAROSCOPY, SURGICAL, APPENDECTOMY - N/A"/>
    <s v="Mon"/>
    <m/>
    <s v="ED/IP/IC"/>
    <m/>
    <s v="BANSAL, VISHAL"/>
    <m/>
    <s v="Vishal Bansal, MD"/>
    <m/>
    <s v="Bansal"/>
  </r>
  <r>
    <d v="2026-08-31T00:00:00"/>
    <s v="6710871"/>
    <s v="Garcia, Amalia"/>
    <s v="Inpatient"/>
    <x v="0"/>
    <n v="3901462736"/>
    <s v="305273520"/>
    <d v="1956-07-10T00:00:00"/>
    <s v="Feduska, Collin Steven, MD"/>
    <s v="Regional"/>
    <s v="3"/>
    <d v="1899-12-30T19:56:00"/>
    <d v="1899-12-30T22:20:00"/>
    <n v="144"/>
    <d v="1899-12-30T19:30:00"/>
    <d v="1899-12-30T21:25:00"/>
    <n v="145"/>
    <d v="1899-12-30T19:56:00"/>
    <d v="1899-12-30T22:10:00"/>
    <n v="134"/>
    <d v="1899-12-30T20:15:00"/>
    <d v="1899-12-30T21:53:00"/>
    <d v="1899-12-30T22:10:00"/>
    <n v="134"/>
    <n v="98"/>
    <d v="1899-12-30T22:15:13"/>
    <d v="1899-12-30T23:12:00"/>
    <n v="57"/>
    <m/>
    <m/>
    <m/>
    <s v="SHME OR 04"/>
    <s v="General"/>
    <s v="Yes"/>
    <s v="Isho, Mathew S, Md"/>
    <s v="EXPLORATORY LAPAROTOMY, EXPLORATORY CELIOTOMY WITH OR WITHOUT BIOPSY(S)(SEPARATE PROCEDURE)"/>
    <s v="EXPLORATORY LAPAROTOMY, EXPLORATORY CELIOTOMY WITH OR WITHOUT BIOPSY(S)(SEPARATE PROCEDURE) - N/A"/>
    <s v="Mon"/>
    <m/>
    <s v="ED/IP/IC"/>
    <m/>
    <s v="ISHO, MATHEW S"/>
    <m/>
    <s v="Mathew S Isho, MD"/>
    <m/>
    <s v="Isho"/>
  </r>
  <r>
    <d v="2026-08-31T00:00:00"/>
    <s v="6710918"/>
    <s v="Guzman, Carolina"/>
    <s v="Inpatient"/>
    <x v="0"/>
    <n v="3901463602"/>
    <s v="200418294"/>
    <d v="1957-10-10T00:00:00"/>
    <s v="Oleske, Alexandra Argyro, DO"/>
    <s v="Regional"/>
    <s v="4"/>
    <d v="1899-12-30T19:46:00"/>
    <d v="1899-12-30T21:54:00"/>
    <n v="128"/>
    <d v="1899-12-30T20:00:00"/>
    <d v="1899-12-30T00:15:00"/>
    <n v="285"/>
    <d v="1899-12-30T19:46:00"/>
    <d v="1899-12-30T21:48:00"/>
    <n v="122"/>
    <d v="1899-12-30T20:25:00"/>
    <d v="1899-12-30T21:42:00"/>
    <d v="1899-12-30T21:48:00"/>
    <n v="122"/>
    <n v="77"/>
    <d v="1899-12-30T21:50:00"/>
    <d v="1899-12-30T00:26:28"/>
    <n v="156"/>
    <m/>
    <m/>
    <m/>
    <s v="SHME OR 07"/>
    <s v="Orthopedics"/>
    <s v="No"/>
    <s v="Kuhn, Kevin Matthew, Md"/>
    <s v="DEBRIDEMENT INCLUDING REMOVAL OF FOREIGN MATERIAL AT THE SITE OF AN OPENFRACTURE AND/OR AN OPEN DISLOCATION (EG, EXCISIONAL DEBRIDEMENT); SKIN,SUBCUTANEOUS TISSUE, MUSCLE FASCIA, MUSCLE, AND BONE_x000a_ARTHRODESIS, ANKLE, OPEN"/>
    <s v="Debridement and operative treatment of right open ankle fracture dislocation, possible wound vac - Right"/>
    <s v="Mon"/>
    <m/>
    <s v="ED/IP/IC"/>
    <m/>
    <s v="KUHN, KEVIN MATTHEW"/>
    <m/>
    <s v="Kevin Matthew Kuhn, MD"/>
    <m/>
    <s v="Kuhn"/>
  </r>
  <r>
    <m/>
    <m/>
    <m/>
    <m/>
    <x v="2"/>
    <m/>
    <m/>
    <m/>
    <m/>
    <m/>
    <m/>
    <m/>
    <m/>
    <m/>
    <m/>
    <m/>
    <m/>
    <m/>
    <m/>
    <m/>
    <m/>
    <m/>
    <m/>
    <m/>
    <m/>
    <m/>
    <m/>
    <m/>
    <m/>
    <m/>
    <m/>
    <m/>
    <m/>
    <m/>
    <m/>
    <m/>
    <m/>
    <m/>
    <m/>
    <m/>
    <m/>
    <m/>
    <m/>
    <m/>
    <m/>
    <m/>
  </r>
  <r>
    <m/>
    <m/>
    <m/>
    <m/>
    <x v="2"/>
    <m/>
    <m/>
    <m/>
    <m/>
    <m/>
    <m/>
    <m/>
    <m/>
    <m/>
    <m/>
    <m/>
    <m/>
    <m/>
    <m/>
    <m/>
    <m/>
    <m/>
    <m/>
    <m/>
    <m/>
    <m/>
    <m/>
    <m/>
    <m/>
    <m/>
    <m/>
    <m/>
    <m/>
    <m/>
    <m/>
    <m/>
    <m/>
    <m/>
    <m/>
    <m/>
    <m/>
    <m/>
    <m/>
    <m/>
    <m/>
    <m/>
  </r>
  <r>
    <m/>
    <m/>
    <m/>
    <m/>
    <x v="2"/>
    <m/>
    <m/>
    <m/>
    <m/>
    <m/>
    <m/>
    <m/>
    <m/>
    <m/>
    <m/>
    <m/>
    <m/>
    <m/>
    <m/>
    <m/>
    <m/>
    <m/>
    <m/>
    <m/>
    <m/>
    <m/>
    <m/>
    <m/>
    <m/>
    <m/>
    <m/>
    <m/>
    <m/>
    <m/>
    <m/>
    <m/>
    <m/>
    <m/>
    <m/>
    <m/>
    <m/>
    <m/>
    <m/>
    <m/>
    <m/>
    <m/>
  </r>
  <r>
    <m/>
    <m/>
    <m/>
    <m/>
    <x v="2"/>
    <m/>
    <m/>
    <m/>
    <m/>
    <m/>
    <m/>
    <m/>
    <m/>
    <m/>
    <m/>
    <m/>
    <m/>
    <m/>
    <m/>
    <m/>
    <m/>
    <m/>
    <m/>
    <m/>
    <m/>
    <m/>
    <m/>
    <m/>
    <m/>
    <m/>
    <m/>
    <m/>
    <m/>
    <m/>
    <m/>
    <m/>
    <m/>
    <m/>
    <m/>
    <m/>
    <m/>
    <m/>
    <m/>
    <m/>
    <m/>
    <m/>
  </r>
  <r>
    <m/>
    <m/>
    <m/>
    <m/>
    <x v="2"/>
    <m/>
    <m/>
    <m/>
    <m/>
    <m/>
    <m/>
    <m/>
    <m/>
    <m/>
    <m/>
    <m/>
    <m/>
    <m/>
    <m/>
    <m/>
    <m/>
    <m/>
    <m/>
    <m/>
    <m/>
    <m/>
    <m/>
    <m/>
    <m/>
    <m/>
    <m/>
    <m/>
    <m/>
    <m/>
    <m/>
    <m/>
    <m/>
    <m/>
    <m/>
    <m/>
    <m/>
    <m/>
    <m/>
    <m/>
    <m/>
    <m/>
  </r>
  <r>
    <m/>
    <m/>
    <m/>
    <m/>
    <x v="2"/>
    <m/>
    <m/>
    <m/>
    <m/>
    <m/>
    <m/>
    <m/>
    <m/>
    <m/>
    <m/>
    <m/>
    <m/>
    <m/>
    <m/>
    <m/>
    <m/>
    <m/>
    <m/>
    <m/>
    <m/>
    <m/>
    <m/>
    <m/>
    <m/>
    <m/>
    <m/>
    <m/>
    <m/>
    <m/>
    <m/>
    <m/>
    <m/>
    <m/>
    <m/>
    <m/>
    <m/>
    <m/>
    <m/>
    <m/>
    <m/>
    <m/>
  </r>
  <r>
    <m/>
    <m/>
    <m/>
    <m/>
    <x v="2"/>
    <m/>
    <m/>
    <m/>
    <m/>
    <m/>
    <m/>
    <m/>
    <m/>
    <m/>
    <m/>
    <m/>
    <m/>
    <m/>
    <m/>
    <m/>
    <m/>
    <m/>
    <m/>
    <m/>
    <m/>
    <m/>
    <m/>
    <m/>
    <m/>
    <m/>
    <m/>
    <m/>
    <m/>
    <m/>
    <m/>
    <m/>
    <m/>
    <m/>
    <m/>
    <m/>
    <m/>
    <m/>
    <m/>
    <m/>
    <m/>
    <m/>
  </r>
  <r>
    <m/>
    <m/>
    <m/>
    <m/>
    <x v="2"/>
    <m/>
    <m/>
    <m/>
    <m/>
    <m/>
    <m/>
    <m/>
    <m/>
    <m/>
    <m/>
    <m/>
    <m/>
    <m/>
    <m/>
    <m/>
    <m/>
    <m/>
    <m/>
    <m/>
    <m/>
    <m/>
    <m/>
    <m/>
    <m/>
    <m/>
    <m/>
    <m/>
    <m/>
    <m/>
    <m/>
    <m/>
    <m/>
    <m/>
    <m/>
    <m/>
    <m/>
    <m/>
    <m/>
    <m/>
    <m/>
    <m/>
  </r>
  <r>
    <m/>
    <m/>
    <m/>
    <m/>
    <x v="2"/>
    <m/>
    <m/>
    <m/>
    <m/>
    <m/>
    <m/>
    <m/>
    <m/>
    <m/>
    <m/>
    <m/>
    <m/>
    <m/>
    <m/>
    <m/>
    <m/>
    <m/>
    <m/>
    <m/>
    <m/>
    <m/>
    <m/>
    <m/>
    <m/>
    <m/>
    <m/>
    <m/>
    <m/>
    <m/>
    <m/>
    <m/>
    <m/>
    <m/>
    <m/>
    <m/>
    <m/>
    <m/>
    <m/>
    <m/>
    <m/>
    <m/>
  </r>
  <r>
    <m/>
    <m/>
    <m/>
    <m/>
    <x v="2"/>
    <m/>
    <m/>
    <m/>
    <m/>
    <m/>
    <m/>
    <m/>
    <m/>
    <m/>
    <m/>
    <m/>
    <m/>
    <m/>
    <m/>
    <m/>
    <m/>
    <m/>
    <m/>
    <m/>
    <m/>
    <m/>
    <m/>
    <m/>
    <m/>
    <m/>
    <m/>
    <m/>
    <m/>
    <m/>
    <m/>
    <m/>
    <m/>
    <m/>
    <m/>
    <m/>
    <m/>
    <m/>
    <m/>
    <m/>
    <m/>
    <m/>
  </r>
  <r>
    <m/>
    <m/>
    <m/>
    <m/>
    <x v="2"/>
    <m/>
    <m/>
    <m/>
    <m/>
    <m/>
    <m/>
    <m/>
    <m/>
    <m/>
    <m/>
    <m/>
    <m/>
    <m/>
    <m/>
    <m/>
    <m/>
    <m/>
    <m/>
    <m/>
    <m/>
    <m/>
    <m/>
    <m/>
    <m/>
    <m/>
    <m/>
    <m/>
    <m/>
    <m/>
    <m/>
    <m/>
    <m/>
    <m/>
    <m/>
    <m/>
    <m/>
    <m/>
    <m/>
    <m/>
    <m/>
    <m/>
  </r>
  <r>
    <m/>
    <m/>
    <m/>
    <m/>
    <x v="2"/>
    <m/>
    <m/>
    <m/>
    <m/>
    <m/>
    <m/>
    <m/>
    <m/>
    <m/>
    <m/>
    <m/>
    <m/>
    <m/>
    <m/>
    <m/>
    <m/>
    <m/>
    <m/>
    <m/>
    <m/>
    <m/>
    <m/>
    <m/>
    <m/>
    <m/>
    <m/>
    <m/>
    <m/>
    <m/>
    <m/>
    <m/>
    <m/>
    <m/>
    <m/>
    <m/>
    <m/>
    <m/>
    <m/>
    <m/>
    <m/>
    <m/>
  </r>
  <r>
    <m/>
    <m/>
    <m/>
    <m/>
    <x v="2"/>
    <m/>
    <m/>
    <m/>
    <m/>
    <m/>
    <m/>
    <m/>
    <m/>
    <m/>
    <m/>
    <m/>
    <m/>
    <m/>
    <m/>
    <m/>
    <m/>
    <m/>
    <m/>
    <m/>
    <m/>
    <m/>
    <m/>
    <m/>
    <m/>
    <m/>
    <m/>
    <m/>
    <m/>
    <m/>
    <m/>
    <m/>
    <m/>
    <m/>
    <m/>
    <m/>
    <m/>
    <m/>
    <m/>
    <m/>
    <m/>
    <m/>
  </r>
  <r>
    <m/>
    <m/>
    <m/>
    <m/>
    <x v="2"/>
    <m/>
    <m/>
    <m/>
    <m/>
    <m/>
    <m/>
    <m/>
    <m/>
    <m/>
    <m/>
    <m/>
    <m/>
    <m/>
    <m/>
    <m/>
    <m/>
    <m/>
    <m/>
    <m/>
    <m/>
    <m/>
    <m/>
    <m/>
    <m/>
    <m/>
    <m/>
    <m/>
    <m/>
    <m/>
    <m/>
    <m/>
    <m/>
    <m/>
    <m/>
    <m/>
    <m/>
    <m/>
    <m/>
    <m/>
    <m/>
    <m/>
  </r>
  <r>
    <m/>
    <m/>
    <m/>
    <m/>
    <x v="2"/>
    <m/>
    <m/>
    <m/>
    <m/>
    <m/>
    <m/>
    <m/>
    <m/>
    <m/>
    <m/>
    <m/>
    <m/>
    <m/>
    <m/>
    <m/>
    <m/>
    <m/>
    <m/>
    <m/>
    <m/>
    <m/>
    <m/>
    <m/>
    <m/>
    <m/>
    <m/>
    <m/>
    <m/>
    <m/>
    <m/>
    <m/>
    <m/>
    <m/>
    <m/>
    <m/>
    <m/>
    <m/>
    <m/>
    <m/>
    <m/>
    <m/>
  </r>
  <r>
    <m/>
    <m/>
    <m/>
    <m/>
    <x v="2"/>
    <m/>
    <m/>
    <m/>
    <m/>
    <m/>
    <m/>
    <m/>
    <m/>
    <m/>
    <m/>
    <m/>
    <m/>
    <m/>
    <m/>
    <m/>
    <m/>
    <m/>
    <m/>
    <m/>
    <m/>
    <m/>
    <m/>
    <m/>
    <m/>
    <m/>
    <m/>
    <m/>
    <m/>
    <m/>
    <m/>
    <m/>
    <m/>
    <m/>
    <m/>
    <m/>
    <m/>
    <m/>
    <m/>
    <m/>
    <m/>
    <m/>
  </r>
  <r>
    <m/>
    <m/>
    <m/>
    <m/>
    <x v="2"/>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2599D5-76EB-4F04-B8DA-E96F9093B92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 firstHeaderRow="1" firstDataRow="2" firstDataCol="1"/>
  <pivotFields count="46">
    <pivotField showAll="0"/>
    <pivotField dataField="1"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4"/>
  </colFields>
  <colItems count="4">
    <i>
      <x/>
    </i>
    <i>
      <x v="1"/>
    </i>
    <i>
      <x v="2"/>
    </i>
    <i t="grand">
      <x/>
    </i>
  </colItems>
  <dataFields count="1">
    <dataField name="Count of Case #" fld="1" subtotal="count" baseField="0" baseItem="0"/>
  </dataFields>
  <formats count="6">
    <format dxfId="11">
      <pivotArea outline="0" collapsedLevelsAreSubtotals="1" fieldPosition="0"/>
    </format>
    <format dxfId="10">
      <pivotArea dataOnly="0" labelOnly="1" fieldPosition="0">
        <references count="1">
          <reference field="4" count="0"/>
        </references>
      </pivotArea>
    </format>
    <format dxfId="9">
      <pivotArea dataOnly="0" labelOnly="1" grandCol="1" outline="0" fieldPosition="0"/>
    </format>
    <format dxfId="8">
      <pivotArea outline="0" collapsedLevelsAreSubtotals="1" fieldPosition="0"/>
    </format>
    <format dxfId="7">
      <pivotArea dataOnly="0" labelOnly="1" fieldPosition="0">
        <references count="1">
          <reference field="4" count="0"/>
        </references>
      </pivotArea>
    </format>
    <format dxfId="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17EDEB-E5EC-401C-8D97-03B6853B494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 firstHeaderRow="1" firstDataRow="2" firstDataCol="1"/>
  <pivotFields count="46">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4"/>
  </colFields>
  <colItems count="4">
    <i>
      <x/>
    </i>
    <i>
      <x v="1"/>
    </i>
    <i>
      <x v="2"/>
    </i>
    <i t="grand">
      <x/>
    </i>
  </colItems>
  <dataFields count="1">
    <dataField name="Sum of Actual Length" fld="19" baseField="0" baseItem="0"/>
  </dataFields>
  <formats count="6">
    <format dxfId="5">
      <pivotArea outline="0" collapsedLevelsAreSubtotals="1" fieldPosition="0"/>
    </format>
    <format dxfId="4">
      <pivotArea dataOnly="0" labelOnly="1" fieldPosition="0">
        <references count="1">
          <reference field="4" count="0"/>
        </references>
      </pivotArea>
    </format>
    <format dxfId="3">
      <pivotArea dataOnly="0" labelOnly="1" grandCol="1" outline="0" fieldPosition="0"/>
    </format>
    <format dxfId="2">
      <pivotArea outline="0" collapsedLevelsAreSubtotals="1" fieldPosition="0"/>
    </format>
    <format dxfId="1">
      <pivotArea dataOnly="0" labelOnly="1" fieldPosition="0">
        <references count="1">
          <reference field="4"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29"/>
  <sheetViews>
    <sheetView tabSelected="1" workbookViewId="0">
      <pane ySplit="1" topLeftCell="A248" activePane="bottomLeft" state="frozen"/>
      <selection pane="bottomLeft" activeCell="G247" sqref="G247"/>
    </sheetView>
  </sheetViews>
  <sheetFormatPr baseColWidth="10" defaultColWidth="8.83203125" defaultRowHeight="15" customHeight="1" x14ac:dyDescent="0.2"/>
  <cols>
    <col min="1" max="1" width="10" customWidth="1"/>
    <col min="9" max="9" width="11" bestFit="1" customWidth="1"/>
  </cols>
  <sheetData>
    <row r="1" spans="1:25" ht="15"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ht="15" customHeight="1" x14ac:dyDescent="0.2">
      <c r="A2" s="1">
        <v>46235</v>
      </c>
      <c r="B2" t="s">
        <v>26</v>
      </c>
      <c r="C2" t="s">
        <v>27</v>
      </c>
      <c r="D2" t="s">
        <v>28</v>
      </c>
      <c r="E2" t="s">
        <v>29</v>
      </c>
      <c r="F2" s="2">
        <v>0.31666666666666698</v>
      </c>
      <c r="G2" s="2">
        <v>0.42361111111111099</v>
      </c>
      <c r="H2">
        <v>154</v>
      </c>
      <c r="I2" s="3">
        <v>0.3125</v>
      </c>
      <c r="J2" s="2">
        <v>0.39583333333333298</v>
      </c>
      <c r="K2">
        <v>120</v>
      </c>
      <c r="L2" s="2">
        <v>0.31666666666666698</v>
      </c>
      <c r="M2" s="2">
        <v>0.41805555555555601</v>
      </c>
      <c r="N2">
        <v>146</v>
      </c>
      <c r="O2" s="2">
        <v>0.35555555555555601</v>
      </c>
      <c r="P2" s="2">
        <v>0.41597222222222202</v>
      </c>
      <c r="Q2" s="2">
        <v>0.41805555555555601</v>
      </c>
      <c r="R2">
        <v>146</v>
      </c>
      <c r="S2">
        <v>87</v>
      </c>
      <c r="T2" s="2">
        <v>0.42013888888888901</v>
      </c>
      <c r="U2" s="2">
        <v>0.438194444444444</v>
      </c>
      <c r="V2">
        <v>26</v>
      </c>
    </row>
    <row r="3" spans="1:25" ht="15" customHeight="1" x14ac:dyDescent="0.2">
      <c r="A3" s="1">
        <v>46235</v>
      </c>
      <c r="B3" t="s">
        <v>26</v>
      </c>
      <c r="C3" t="s">
        <v>27</v>
      </c>
      <c r="D3" t="s">
        <v>28</v>
      </c>
      <c r="E3" t="s">
        <v>29</v>
      </c>
      <c r="F3" s="2">
        <v>0.33333333333333298</v>
      </c>
      <c r="G3" s="2">
        <v>0.45069444444444401</v>
      </c>
      <c r="H3">
        <v>169</v>
      </c>
      <c r="I3" s="3">
        <v>0.3125</v>
      </c>
      <c r="J3" s="2">
        <v>0.40625</v>
      </c>
      <c r="K3">
        <v>135</v>
      </c>
      <c r="L3" s="2">
        <v>0.33333333333333298</v>
      </c>
      <c r="M3" s="2">
        <v>0.44722222222222202</v>
      </c>
      <c r="N3">
        <v>164</v>
      </c>
      <c r="O3" s="2">
        <v>0.359027777777778</v>
      </c>
      <c r="P3" s="2">
        <v>0.44305555555555598</v>
      </c>
      <c r="Q3" s="2">
        <v>0.44722222222222202</v>
      </c>
      <c r="R3">
        <v>164</v>
      </c>
      <c r="S3">
        <v>121</v>
      </c>
      <c r="T3" s="2">
        <v>0.44810185185185197</v>
      </c>
      <c r="U3" s="2">
        <v>0.48631944444444403</v>
      </c>
      <c r="V3">
        <v>55</v>
      </c>
    </row>
    <row r="4" spans="1:25" ht="15" customHeight="1" x14ac:dyDescent="0.2">
      <c r="A4" s="1">
        <v>46235</v>
      </c>
      <c r="B4" t="s">
        <v>26</v>
      </c>
      <c r="C4" t="s">
        <v>27</v>
      </c>
      <c r="D4" t="s">
        <v>28</v>
      </c>
      <c r="E4" t="s">
        <v>31</v>
      </c>
      <c r="F4" s="2">
        <v>0.42847222222222198</v>
      </c>
      <c r="G4" s="2">
        <v>0.49027777777777798</v>
      </c>
      <c r="H4">
        <v>89</v>
      </c>
      <c r="I4" s="3">
        <v>0.41666666666666702</v>
      </c>
      <c r="J4" s="2">
        <v>0.48958333333333298</v>
      </c>
      <c r="K4">
        <v>135</v>
      </c>
      <c r="L4" s="2">
        <v>0.42847222222222198</v>
      </c>
      <c r="M4" s="2">
        <v>0.485416666666667</v>
      </c>
      <c r="N4">
        <v>82</v>
      </c>
      <c r="O4" s="2">
        <v>0.452777777777778</v>
      </c>
      <c r="P4" s="2">
        <v>0.48263888888888901</v>
      </c>
      <c r="Q4" s="2">
        <v>0.485416666666667</v>
      </c>
      <c r="R4">
        <v>82</v>
      </c>
      <c r="S4">
        <v>43</v>
      </c>
      <c r="T4" s="2">
        <v>0.48680555555555599</v>
      </c>
      <c r="U4" s="2">
        <v>0.500694444444444</v>
      </c>
      <c r="V4">
        <v>20</v>
      </c>
    </row>
    <row r="5" spans="1:25" ht="15" customHeight="1" x14ac:dyDescent="0.2">
      <c r="A5" s="1">
        <v>46235</v>
      </c>
      <c r="B5" t="s">
        <v>26</v>
      </c>
      <c r="C5" t="s">
        <v>27</v>
      </c>
      <c r="D5" t="s">
        <v>28</v>
      </c>
      <c r="E5" t="s">
        <v>31</v>
      </c>
      <c r="F5" s="2">
        <v>0.51875000000000004</v>
      </c>
      <c r="G5" s="2">
        <v>0.56874999999999998</v>
      </c>
      <c r="H5">
        <v>72</v>
      </c>
      <c r="I5" s="3">
        <v>0.5</v>
      </c>
      <c r="J5" s="2">
        <v>0.59027777777777801</v>
      </c>
      <c r="K5">
        <v>160</v>
      </c>
      <c r="L5" s="2">
        <v>0.51875000000000004</v>
      </c>
      <c r="M5" s="2">
        <v>0.56388888888888899</v>
      </c>
      <c r="N5">
        <v>65</v>
      </c>
      <c r="O5" s="2">
        <v>0.53402777777777799</v>
      </c>
      <c r="P5" s="2">
        <v>0.55902777777777801</v>
      </c>
      <c r="Q5" s="2">
        <v>0.56388888888888899</v>
      </c>
      <c r="R5">
        <v>65</v>
      </c>
      <c r="S5">
        <v>36</v>
      </c>
      <c r="T5" s="2">
        <v>0.56597222222222199</v>
      </c>
      <c r="U5" s="2">
        <v>0.59513888888888899</v>
      </c>
      <c r="V5">
        <v>42</v>
      </c>
    </row>
    <row r="6" spans="1:25" ht="15" customHeight="1" x14ac:dyDescent="0.2">
      <c r="A6" s="1">
        <v>46236</v>
      </c>
      <c r="B6" t="s">
        <v>26</v>
      </c>
      <c r="C6" t="s">
        <v>27</v>
      </c>
      <c r="D6" t="s">
        <v>28</v>
      </c>
      <c r="E6" t="s">
        <v>31</v>
      </c>
      <c r="F6" s="2">
        <v>0.50972222222222197</v>
      </c>
      <c r="G6" s="2">
        <v>0.53680555555555598</v>
      </c>
      <c r="H6">
        <v>39</v>
      </c>
      <c r="I6" s="3">
        <v>0.53125</v>
      </c>
      <c r="J6" s="2">
        <v>0.5625</v>
      </c>
      <c r="K6">
        <v>75</v>
      </c>
      <c r="L6" s="2">
        <v>0.50972222222222197</v>
      </c>
      <c r="M6" s="2">
        <v>0.53402777777777799</v>
      </c>
      <c r="N6">
        <v>35</v>
      </c>
      <c r="O6" s="2">
        <v>0.52569444444444402</v>
      </c>
      <c r="P6" s="2">
        <v>0.531944444444444</v>
      </c>
      <c r="Q6" s="2">
        <v>0.53402777777777799</v>
      </c>
      <c r="R6">
        <v>35</v>
      </c>
      <c r="S6">
        <v>9</v>
      </c>
      <c r="T6" s="2">
        <v>0.53703703703703698</v>
      </c>
      <c r="U6" s="2">
        <v>0.57156249999999997</v>
      </c>
      <c r="V6">
        <v>50</v>
      </c>
    </row>
    <row r="7" spans="1:25" ht="15" customHeight="1" x14ac:dyDescent="0.2">
      <c r="A7" s="1">
        <v>46236</v>
      </c>
      <c r="B7" t="s">
        <v>26</v>
      </c>
      <c r="C7" t="s">
        <v>27</v>
      </c>
      <c r="D7" t="s">
        <v>34</v>
      </c>
      <c r="E7" t="s">
        <v>29</v>
      </c>
      <c r="F7" s="2">
        <v>0.3125</v>
      </c>
      <c r="G7" s="2">
        <v>0.38333333333333303</v>
      </c>
      <c r="H7">
        <v>102</v>
      </c>
      <c r="I7" s="3">
        <v>0.3125</v>
      </c>
      <c r="J7" s="2">
        <v>0.375</v>
      </c>
      <c r="K7">
        <v>120</v>
      </c>
      <c r="L7" s="2">
        <v>0.3125</v>
      </c>
      <c r="M7" s="2">
        <v>0.37916666666666698</v>
      </c>
      <c r="N7">
        <v>96</v>
      </c>
      <c r="O7" s="2">
        <v>0.329166666666667</v>
      </c>
      <c r="P7" s="2">
        <v>0.37013888888888902</v>
      </c>
      <c r="Q7" s="2">
        <v>0.37916666666666698</v>
      </c>
      <c r="R7">
        <v>96</v>
      </c>
      <c r="S7">
        <v>59</v>
      </c>
      <c r="T7" s="2">
        <v>0.38501157407407399</v>
      </c>
      <c r="U7" s="2">
        <v>0.41805555555555601</v>
      </c>
      <c r="V7">
        <v>48</v>
      </c>
    </row>
    <row r="8" spans="1:25" ht="15" customHeight="1" x14ac:dyDescent="0.2">
      <c r="A8" s="1">
        <v>46236</v>
      </c>
      <c r="B8" t="s">
        <v>26</v>
      </c>
      <c r="C8" t="s">
        <v>27</v>
      </c>
      <c r="D8" t="s">
        <v>34</v>
      </c>
      <c r="E8" t="s">
        <v>35</v>
      </c>
      <c r="F8" s="2">
        <v>0.391666666666667</v>
      </c>
      <c r="G8" s="2">
        <v>0.454166666666667</v>
      </c>
      <c r="H8">
        <v>90</v>
      </c>
      <c r="I8" s="3">
        <v>0.39583333333333298</v>
      </c>
      <c r="J8" s="2">
        <v>0.45833333333333298</v>
      </c>
      <c r="K8">
        <v>120</v>
      </c>
      <c r="L8" s="2">
        <v>0.391666666666667</v>
      </c>
      <c r="M8" s="2">
        <v>0.45138888888888901</v>
      </c>
      <c r="N8">
        <v>86</v>
      </c>
      <c r="O8" s="2">
        <v>0.40902777777777799</v>
      </c>
      <c r="P8" s="2">
        <v>0.44513888888888897</v>
      </c>
      <c r="Q8" s="2">
        <v>0.45138888888888901</v>
      </c>
      <c r="R8">
        <v>86</v>
      </c>
      <c r="S8">
        <v>52</v>
      </c>
      <c r="T8" s="2">
        <v>0.45488425925925902</v>
      </c>
      <c r="U8" s="2">
        <v>0.48611111111111099</v>
      </c>
      <c r="V8">
        <v>45</v>
      </c>
    </row>
    <row r="9" spans="1:25" ht="15" customHeight="1" x14ac:dyDescent="0.2">
      <c r="A9" s="1">
        <v>46236</v>
      </c>
      <c r="B9" t="s">
        <v>26</v>
      </c>
      <c r="C9" t="s">
        <v>27</v>
      </c>
      <c r="D9" t="s">
        <v>28</v>
      </c>
      <c r="E9" t="s">
        <v>36</v>
      </c>
      <c r="F9" s="2">
        <v>0.46736111111111101</v>
      </c>
      <c r="G9" s="2">
        <v>0.499305555555556</v>
      </c>
      <c r="H9">
        <v>46</v>
      </c>
      <c r="I9" s="3">
        <v>0.45833333333333298</v>
      </c>
      <c r="J9" s="2">
        <v>0.48958333333333298</v>
      </c>
      <c r="K9">
        <v>75</v>
      </c>
      <c r="L9" s="2">
        <v>0.46736111111111101</v>
      </c>
      <c r="M9" s="2">
        <v>0.49513888888888902</v>
      </c>
      <c r="N9">
        <v>40</v>
      </c>
      <c r="O9" s="2">
        <v>0.485416666666667</v>
      </c>
      <c r="P9" s="2">
        <v>0.49236111111111103</v>
      </c>
      <c r="Q9" s="2">
        <v>0.49513888888888902</v>
      </c>
      <c r="R9">
        <v>40</v>
      </c>
      <c r="S9">
        <v>10</v>
      </c>
      <c r="T9" s="2">
        <v>0.49729166666666702</v>
      </c>
      <c r="U9" s="2">
        <v>0.55817129629629603</v>
      </c>
      <c r="V9">
        <v>87</v>
      </c>
    </row>
    <row r="10" spans="1:25" ht="15" customHeight="1" x14ac:dyDescent="0.2">
      <c r="A10" s="1">
        <v>46236</v>
      </c>
      <c r="B10" t="s">
        <v>26</v>
      </c>
      <c r="C10" t="s">
        <v>27</v>
      </c>
      <c r="D10" t="s">
        <v>28</v>
      </c>
      <c r="E10" t="s">
        <v>29</v>
      </c>
      <c r="F10" s="2">
        <v>0.31597222222222199</v>
      </c>
      <c r="G10" s="2">
        <v>0.37708333333333299</v>
      </c>
      <c r="H10">
        <v>88</v>
      </c>
      <c r="I10" s="3">
        <v>0.3125</v>
      </c>
      <c r="J10" s="2">
        <v>0.44097222222222199</v>
      </c>
      <c r="K10">
        <v>215</v>
      </c>
      <c r="L10" s="2">
        <v>0.31597222222222199</v>
      </c>
      <c r="M10" s="2">
        <v>0.374305555555556</v>
      </c>
      <c r="N10">
        <v>84</v>
      </c>
      <c r="O10" s="2">
        <v>0.34236111111111101</v>
      </c>
      <c r="P10" s="2">
        <v>0.36805555555555602</v>
      </c>
      <c r="Q10" s="2">
        <v>0.374305555555556</v>
      </c>
      <c r="R10">
        <v>84</v>
      </c>
      <c r="S10">
        <v>37</v>
      </c>
      <c r="T10" s="2">
        <v>0.37559027777777798</v>
      </c>
      <c r="U10" s="2">
        <v>0.41430555555555598</v>
      </c>
      <c r="V10">
        <v>56</v>
      </c>
    </row>
    <row r="11" spans="1:25" ht="15" customHeight="1" x14ac:dyDescent="0.2">
      <c r="A11" s="1">
        <v>46236</v>
      </c>
      <c r="B11" t="s">
        <v>26</v>
      </c>
      <c r="C11" t="s">
        <v>27</v>
      </c>
      <c r="D11" t="s">
        <v>28</v>
      </c>
      <c r="E11" t="s">
        <v>29</v>
      </c>
      <c r="F11" s="2">
        <v>0.390972222222222</v>
      </c>
      <c r="G11" s="2">
        <v>0.44652777777777802</v>
      </c>
      <c r="H11">
        <v>80</v>
      </c>
      <c r="I11" s="3">
        <v>0.39583333333333298</v>
      </c>
      <c r="J11" s="2">
        <v>0.47916666666666702</v>
      </c>
      <c r="K11">
        <v>150</v>
      </c>
      <c r="L11" s="2">
        <v>0.390972222222222</v>
      </c>
      <c r="M11" s="2">
        <v>0.44236111111111098</v>
      </c>
      <c r="N11">
        <v>74</v>
      </c>
      <c r="O11" s="2">
        <v>0.42430555555555599</v>
      </c>
      <c r="P11" s="2">
        <v>0.44027777777777799</v>
      </c>
      <c r="Q11" s="2">
        <v>0.44236111111111098</v>
      </c>
      <c r="R11">
        <v>74</v>
      </c>
      <c r="S11">
        <v>23</v>
      </c>
      <c r="T11" s="2">
        <v>0.44357638888888901</v>
      </c>
      <c r="U11" s="2">
        <v>0.50998842592592597</v>
      </c>
      <c r="V11">
        <v>96</v>
      </c>
    </row>
    <row r="12" spans="1:25" ht="15" customHeight="1" x14ac:dyDescent="0.2">
      <c r="A12" s="1">
        <v>46236</v>
      </c>
      <c r="B12" t="s">
        <v>26</v>
      </c>
      <c r="C12" t="s">
        <v>27</v>
      </c>
      <c r="D12" t="s">
        <v>34</v>
      </c>
      <c r="E12" t="s">
        <v>31</v>
      </c>
      <c r="F12" s="2">
        <v>0.63749999999999996</v>
      </c>
      <c r="G12" s="2">
        <v>0.68402777777777801</v>
      </c>
      <c r="H12">
        <v>67</v>
      </c>
      <c r="I12" s="3">
        <v>0.64930555555555602</v>
      </c>
      <c r="J12" s="2">
        <v>0.74652777777777801</v>
      </c>
      <c r="K12">
        <v>170</v>
      </c>
      <c r="L12" s="2">
        <v>0.63749999999999996</v>
      </c>
      <c r="M12" s="2">
        <v>0.67986111111111103</v>
      </c>
      <c r="N12">
        <v>61</v>
      </c>
      <c r="O12" s="2">
        <v>0.656944444444444</v>
      </c>
      <c r="P12" s="2">
        <v>0.67916666666666703</v>
      </c>
      <c r="Q12" s="2">
        <v>0.67986111111111103</v>
      </c>
      <c r="R12">
        <v>61</v>
      </c>
      <c r="S12">
        <v>32</v>
      </c>
      <c r="T12" s="2">
        <v>0.68302083333333297</v>
      </c>
      <c r="U12" s="2">
        <v>0.70763888888888904</v>
      </c>
      <c r="V12">
        <v>36</v>
      </c>
    </row>
    <row r="13" spans="1:25" ht="15" customHeight="1" x14ac:dyDescent="0.2">
      <c r="A13" s="1">
        <v>46236</v>
      </c>
      <c r="B13" t="s">
        <v>26</v>
      </c>
      <c r="C13" t="s">
        <v>27</v>
      </c>
      <c r="D13" t="s">
        <v>28</v>
      </c>
      <c r="E13" t="s">
        <v>31</v>
      </c>
      <c r="F13" s="2">
        <v>0.49513888888888902</v>
      </c>
      <c r="G13" s="2">
        <v>0.62083333333333302</v>
      </c>
      <c r="H13">
        <v>181</v>
      </c>
      <c r="I13" s="3">
        <v>0.47916666666666702</v>
      </c>
      <c r="J13" s="2">
        <v>0.60416666666666696</v>
      </c>
      <c r="K13">
        <v>210</v>
      </c>
      <c r="L13" s="2">
        <v>0.49513888888888902</v>
      </c>
      <c r="M13" s="2">
        <v>0.61388888888888904</v>
      </c>
      <c r="N13">
        <v>171</v>
      </c>
      <c r="O13" s="2">
        <v>0.51597222222222205</v>
      </c>
      <c r="P13" s="2">
        <v>0.60972222222222205</v>
      </c>
      <c r="Q13" s="2">
        <v>0.61388888888888904</v>
      </c>
      <c r="R13">
        <v>171</v>
      </c>
      <c r="S13">
        <v>135</v>
      </c>
      <c r="T13" s="2">
        <v>0.614571759259259</v>
      </c>
      <c r="U13" s="2">
        <v>0.65256944444444398</v>
      </c>
      <c r="V13">
        <v>55</v>
      </c>
    </row>
    <row r="14" spans="1:25" ht="15" customHeight="1" x14ac:dyDescent="0.2">
      <c r="A14" s="1">
        <v>46236</v>
      </c>
      <c r="B14" t="s">
        <v>26</v>
      </c>
      <c r="C14" t="s">
        <v>27</v>
      </c>
      <c r="D14" t="s">
        <v>38</v>
      </c>
      <c r="E14" t="s">
        <v>29</v>
      </c>
      <c r="F14" s="2">
        <v>0.59652777777777799</v>
      </c>
      <c r="G14" s="2">
        <v>0.62916666666666698</v>
      </c>
      <c r="H14">
        <v>47</v>
      </c>
      <c r="I14" s="3">
        <v>0.60416666666666696</v>
      </c>
      <c r="J14" s="2">
        <v>0.64583333333333304</v>
      </c>
      <c r="K14">
        <v>90</v>
      </c>
      <c r="L14" s="2">
        <v>0.59652777777777799</v>
      </c>
      <c r="M14" s="2">
        <v>0.625</v>
      </c>
      <c r="N14">
        <v>41</v>
      </c>
      <c r="O14" s="2">
        <v>0.61111111111111105</v>
      </c>
      <c r="P14" s="2">
        <v>0.62152777777777801</v>
      </c>
      <c r="Q14" s="2">
        <v>0.625</v>
      </c>
      <c r="R14">
        <v>41</v>
      </c>
      <c r="S14">
        <v>15</v>
      </c>
      <c r="T14" s="2">
        <v>0.62792824074074105</v>
      </c>
      <c r="U14" s="2">
        <v>0.67465277777777799</v>
      </c>
      <c r="V14">
        <v>67</v>
      </c>
    </row>
    <row r="15" spans="1:25" ht="15" customHeight="1" x14ac:dyDescent="0.2">
      <c r="A15" s="1">
        <v>46236</v>
      </c>
      <c r="B15" t="s">
        <v>26</v>
      </c>
      <c r="C15" t="s">
        <v>27</v>
      </c>
      <c r="D15" t="s">
        <v>34</v>
      </c>
      <c r="E15" t="s">
        <v>31</v>
      </c>
      <c r="F15" s="2">
        <v>0.70416666666666705</v>
      </c>
      <c r="G15" s="2">
        <v>0.77777777777777801</v>
      </c>
      <c r="H15">
        <v>106</v>
      </c>
      <c r="I15" s="3">
        <v>0.77430555555555602</v>
      </c>
      <c r="J15" s="2">
        <v>0.84722222222222199</v>
      </c>
      <c r="K15">
        <v>135</v>
      </c>
      <c r="L15" s="2">
        <v>0.70416666666666705</v>
      </c>
      <c r="M15" s="2">
        <v>0.77430555555555602</v>
      </c>
      <c r="N15">
        <v>101</v>
      </c>
      <c r="O15" s="2">
        <v>0.72430555555555598</v>
      </c>
      <c r="P15" s="2">
        <v>0.77291666666666703</v>
      </c>
      <c r="Q15" s="2">
        <v>0.77430555555555602</v>
      </c>
      <c r="R15">
        <v>101</v>
      </c>
      <c r="S15">
        <v>70</v>
      </c>
      <c r="T15" s="2">
        <v>0.77857638888888903</v>
      </c>
      <c r="U15" s="2">
        <v>0.81665509259259295</v>
      </c>
      <c r="V15">
        <v>54</v>
      </c>
    </row>
    <row r="16" spans="1:25" ht="15" customHeight="1" x14ac:dyDescent="0.2">
      <c r="A16" s="1">
        <v>46236</v>
      </c>
      <c r="B16" t="s">
        <v>26</v>
      </c>
      <c r="C16" t="s">
        <v>27</v>
      </c>
      <c r="D16" t="s">
        <v>28</v>
      </c>
      <c r="E16" t="s">
        <v>29</v>
      </c>
      <c r="F16" s="2">
        <v>0.54513888888888895</v>
      </c>
      <c r="G16" s="2">
        <v>0.57291666666666696</v>
      </c>
      <c r="H16">
        <v>40</v>
      </c>
      <c r="I16" s="3">
        <v>0.58333333333333304</v>
      </c>
      <c r="J16" s="2">
        <v>0.61458333333333304</v>
      </c>
      <c r="K16">
        <v>75</v>
      </c>
      <c r="L16" s="2">
        <v>0.54513888888888895</v>
      </c>
      <c r="M16" s="2">
        <v>0.57013888888888897</v>
      </c>
      <c r="N16">
        <v>36</v>
      </c>
      <c r="O16" s="2">
        <v>0.55833333333333302</v>
      </c>
      <c r="P16" s="2">
        <v>0.56527777777777799</v>
      </c>
      <c r="Q16" s="2">
        <v>0.57013888888888897</v>
      </c>
      <c r="R16">
        <v>36</v>
      </c>
      <c r="S16">
        <v>10</v>
      </c>
      <c r="T16" s="2">
        <v>0.57106481481481497</v>
      </c>
      <c r="U16" s="2">
        <v>0.59288194444444398</v>
      </c>
      <c r="V16">
        <v>31</v>
      </c>
    </row>
    <row r="17" spans="1:25" ht="15" customHeight="1" x14ac:dyDescent="0.2">
      <c r="A17" s="1">
        <v>46236</v>
      </c>
      <c r="B17" t="s">
        <v>26</v>
      </c>
      <c r="C17" t="s">
        <v>27</v>
      </c>
      <c r="D17" t="s">
        <v>28</v>
      </c>
      <c r="E17" t="s">
        <v>40</v>
      </c>
      <c r="F17" s="2">
        <v>0.6875</v>
      </c>
      <c r="G17" s="2">
        <v>0.82361111111111096</v>
      </c>
      <c r="H17">
        <v>196</v>
      </c>
      <c r="I17" s="3">
        <v>0.69097222222222199</v>
      </c>
      <c r="J17" s="2">
        <v>0.81944444444444398</v>
      </c>
      <c r="K17">
        <v>215</v>
      </c>
      <c r="L17" s="2">
        <v>0.6875</v>
      </c>
      <c r="M17" s="2">
        <v>0.82013888888888897</v>
      </c>
      <c r="N17">
        <v>191</v>
      </c>
      <c r="O17" s="2">
        <v>0.72013888888888899</v>
      </c>
      <c r="P17" s="2">
        <v>0.813194444444444</v>
      </c>
      <c r="Q17" s="2">
        <v>0.82013888888888897</v>
      </c>
      <c r="R17">
        <v>191</v>
      </c>
      <c r="S17">
        <v>134</v>
      </c>
    </row>
    <row r="18" spans="1:25" ht="15" customHeight="1" x14ac:dyDescent="0.2">
      <c r="A18" s="1">
        <v>46237</v>
      </c>
      <c r="B18" t="s">
        <v>26</v>
      </c>
      <c r="C18" t="s">
        <v>27</v>
      </c>
      <c r="D18" t="s">
        <v>28</v>
      </c>
      <c r="E18" t="s">
        <v>29</v>
      </c>
      <c r="F18" s="2">
        <v>0.34513888888888899</v>
      </c>
      <c r="G18" s="2">
        <v>0.41875000000000001</v>
      </c>
      <c r="H18">
        <v>106</v>
      </c>
      <c r="I18" s="3">
        <v>0.33333333333333298</v>
      </c>
      <c r="J18" s="2">
        <v>0.39583333333333298</v>
      </c>
      <c r="K18">
        <v>90</v>
      </c>
      <c r="L18" s="2">
        <v>0.34513888888888899</v>
      </c>
      <c r="M18" s="2">
        <v>0.41249999999999998</v>
      </c>
      <c r="N18">
        <v>97</v>
      </c>
      <c r="O18" s="2">
        <v>0.37361111111111101</v>
      </c>
      <c r="P18" s="2">
        <v>0.406944444444444</v>
      </c>
      <c r="Q18" s="2">
        <v>0.41249999999999998</v>
      </c>
      <c r="R18">
        <v>97</v>
      </c>
      <c r="S18">
        <v>48</v>
      </c>
      <c r="T18" s="2">
        <v>0.41337962962962999</v>
      </c>
      <c r="U18" s="2">
        <v>0.42013888888888901</v>
      </c>
      <c r="V18">
        <v>10</v>
      </c>
    </row>
    <row r="19" spans="1:25" ht="15" customHeight="1" x14ac:dyDescent="0.2">
      <c r="A19" s="1">
        <v>46237</v>
      </c>
      <c r="B19" t="s">
        <v>42</v>
      </c>
      <c r="C19" t="s">
        <v>43</v>
      </c>
      <c r="D19" t="s">
        <v>28</v>
      </c>
      <c r="E19" t="s">
        <v>35</v>
      </c>
      <c r="F19" s="2">
        <v>0.33819444444444402</v>
      </c>
      <c r="G19" s="2">
        <v>0.40138888888888902</v>
      </c>
      <c r="H19">
        <v>91</v>
      </c>
      <c r="I19" s="3">
        <v>0.33333333333333298</v>
      </c>
      <c r="J19" s="2">
        <v>0.39583333333333298</v>
      </c>
      <c r="K19">
        <v>90</v>
      </c>
      <c r="L19" s="2">
        <v>0.33819444444444402</v>
      </c>
      <c r="M19" s="2">
        <v>0.39791666666666697</v>
      </c>
      <c r="N19">
        <v>86</v>
      </c>
      <c r="O19" s="2">
        <v>0.35694444444444401</v>
      </c>
      <c r="P19" s="2">
        <v>0.38819444444444401</v>
      </c>
      <c r="Q19" s="2">
        <v>0.39791666666666697</v>
      </c>
      <c r="R19">
        <v>86</v>
      </c>
      <c r="S19">
        <v>45</v>
      </c>
      <c r="T19" s="2">
        <v>0.39930555555555602</v>
      </c>
      <c r="U19" s="2">
        <v>0.42638888888888898</v>
      </c>
      <c r="V19">
        <v>39</v>
      </c>
      <c r="W19" s="2">
        <v>0.42708333333333298</v>
      </c>
      <c r="X19" s="2">
        <v>0.46527777777777801</v>
      </c>
      <c r="Y19">
        <v>55</v>
      </c>
    </row>
    <row r="20" spans="1:25" ht="15" customHeight="1" x14ac:dyDescent="0.2">
      <c r="A20" s="1">
        <v>46237</v>
      </c>
      <c r="B20" t="s">
        <v>42</v>
      </c>
      <c r="C20" t="s">
        <v>43</v>
      </c>
      <c r="D20" t="s">
        <v>34</v>
      </c>
      <c r="E20" t="s">
        <v>29</v>
      </c>
      <c r="F20" s="2">
        <v>0.66180555555555598</v>
      </c>
      <c r="G20" s="2">
        <v>0.80763888888888902</v>
      </c>
      <c r="H20">
        <v>210</v>
      </c>
      <c r="I20" s="3">
        <v>0.625</v>
      </c>
      <c r="J20" s="2">
        <v>0.72916666666666696</v>
      </c>
      <c r="K20">
        <v>150</v>
      </c>
      <c r="L20" s="2">
        <v>0.66180555555555598</v>
      </c>
      <c r="M20" s="2">
        <v>0.80277777777777803</v>
      </c>
      <c r="N20">
        <v>203</v>
      </c>
      <c r="O20" s="2">
        <v>0.69583333333333297</v>
      </c>
      <c r="P20" s="2">
        <v>0.78749999999999998</v>
      </c>
      <c r="Q20" s="2">
        <v>0.80277777777777803</v>
      </c>
      <c r="R20">
        <v>203</v>
      </c>
      <c r="S20">
        <v>132</v>
      </c>
      <c r="T20" s="2">
        <v>0.80770833333333303</v>
      </c>
      <c r="U20" s="2">
        <v>0.85035879629629596</v>
      </c>
      <c r="V20">
        <v>61</v>
      </c>
    </row>
    <row r="21" spans="1:25" ht="15" customHeight="1" x14ac:dyDescent="0.2">
      <c r="A21" s="1">
        <v>46237</v>
      </c>
      <c r="B21" t="s">
        <v>26</v>
      </c>
      <c r="C21" t="s">
        <v>27</v>
      </c>
      <c r="D21" t="s">
        <v>28</v>
      </c>
      <c r="E21" t="s">
        <v>29</v>
      </c>
      <c r="F21" s="2">
        <v>0.53888888888888897</v>
      </c>
      <c r="G21" s="2">
        <v>0.64166666666666705</v>
      </c>
      <c r="H21">
        <v>148</v>
      </c>
      <c r="I21" s="3">
        <v>0.51041666666666696</v>
      </c>
      <c r="J21" s="2">
        <v>0.625</v>
      </c>
      <c r="K21">
        <v>165</v>
      </c>
      <c r="L21" s="2">
        <v>0.53888888888888897</v>
      </c>
      <c r="M21" s="2">
        <v>0.63611111111111096</v>
      </c>
      <c r="N21">
        <v>140</v>
      </c>
      <c r="O21" s="2">
        <v>0.57847222222222205</v>
      </c>
      <c r="P21" s="2">
        <v>0.62638888888888899</v>
      </c>
      <c r="Q21" s="2">
        <v>0.63611111111111096</v>
      </c>
      <c r="R21">
        <v>140</v>
      </c>
      <c r="S21">
        <v>69</v>
      </c>
      <c r="T21" s="2">
        <v>0.63749999999999996</v>
      </c>
      <c r="U21" s="2">
        <v>0.66319444444444398</v>
      </c>
      <c r="V21">
        <v>37</v>
      </c>
    </row>
    <row r="22" spans="1:25" ht="15" customHeight="1" x14ac:dyDescent="0.2">
      <c r="A22" s="1">
        <v>46237</v>
      </c>
      <c r="B22" t="s">
        <v>42</v>
      </c>
      <c r="C22" t="s">
        <v>43</v>
      </c>
      <c r="D22" t="s">
        <v>28</v>
      </c>
      <c r="E22" t="s">
        <v>31</v>
      </c>
      <c r="F22" s="2">
        <v>0.50138888888888899</v>
      </c>
      <c r="G22" s="2">
        <v>0.53333333333333299</v>
      </c>
      <c r="H22">
        <v>46</v>
      </c>
      <c r="I22" s="3">
        <v>0.51041666666666696</v>
      </c>
      <c r="J22" s="2">
        <v>0.55208333333333304</v>
      </c>
      <c r="K22">
        <v>60</v>
      </c>
      <c r="L22" s="2">
        <v>0.50138888888888899</v>
      </c>
      <c r="M22" s="2">
        <v>0.52847222222222201</v>
      </c>
      <c r="N22">
        <v>39</v>
      </c>
      <c r="O22" s="2">
        <v>0.51319444444444395</v>
      </c>
      <c r="P22" s="2">
        <v>0.52291666666666703</v>
      </c>
      <c r="Q22" s="2">
        <v>0.52847222222222201</v>
      </c>
      <c r="R22">
        <v>39</v>
      </c>
      <c r="S22">
        <v>14</v>
      </c>
      <c r="T22" s="2">
        <v>0.53054398148148196</v>
      </c>
      <c r="U22" s="2">
        <v>0.56956018518518503</v>
      </c>
      <c r="V22">
        <v>57</v>
      </c>
      <c r="W22" s="2">
        <v>0.569583333333333</v>
      </c>
      <c r="X22" s="2">
        <v>0.60416666666666696</v>
      </c>
      <c r="Y22">
        <v>50</v>
      </c>
    </row>
    <row r="23" spans="1:25" ht="15" customHeight="1" x14ac:dyDescent="0.2">
      <c r="A23" s="1">
        <v>46237</v>
      </c>
      <c r="B23" t="s">
        <v>26</v>
      </c>
      <c r="C23" t="s">
        <v>27</v>
      </c>
      <c r="D23" t="s">
        <v>28</v>
      </c>
      <c r="E23" t="s">
        <v>31</v>
      </c>
      <c r="F23" s="2">
        <v>0.34236111111111101</v>
      </c>
      <c r="G23" s="2">
        <v>0.47291666666666698</v>
      </c>
      <c r="H23">
        <v>188</v>
      </c>
      <c r="I23" s="3">
        <v>0.33333333333333298</v>
      </c>
      <c r="J23" s="2">
        <v>0.4375</v>
      </c>
      <c r="K23">
        <v>150</v>
      </c>
      <c r="L23" s="2">
        <v>0.34236111111111101</v>
      </c>
      <c r="M23" s="2">
        <v>0.469444444444444</v>
      </c>
      <c r="N23">
        <v>183</v>
      </c>
      <c r="O23" s="2">
        <v>0.36180555555555599</v>
      </c>
      <c r="P23" s="2">
        <v>0.46319444444444402</v>
      </c>
      <c r="Q23" s="2">
        <v>0.469444444444444</v>
      </c>
      <c r="R23">
        <v>183</v>
      </c>
      <c r="S23">
        <v>146</v>
      </c>
      <c r="T23" s="2">
        <v>0.47164351851851899</v>
      </c>
      <c r="U23" s="2">
        <v>0.50600694444444405</v>
      </c>
      <c r="V23">
        <v>49</v>
      </c>
    </row>
    <row r="24" spans="1:25" ht="15" customHeight="1" x14ac:dyDescent="0.2">
      <c r="A24" s="1">
        <v>46237</v>
      </c>
      <c r="B24" t="s">
        <v>42</v>
      </c>
      <c r="C24" t="s">
        <v>43</v>
      </c>
      <c r="D24" t="s">
        <v>28</v>
      </c>
      <c r="E24" t="s">
        <v>31</v>
      </c>
      <c r="F24" s="2">
        <v>0.33680555555555602</v>
      </c>
      <c r="G24" s="2">
        <v>0.374305555555556</v>
      </c>
      <c r="H24">
        <v>54</v>
      </c>
      <c r="I24" s="3">
        <v>0.33333333333333298</v>
      </c>
      <c r="J24" s="2">
        <v>0.375</v>
      </c>
      <c r="K24">
        <v>60</v>
      </c>
      <c r="L24" s="2">
        <v>0.33680555555555602</v>
      </c>
      <c r="M24" s="2">
        <v>0.37222222222222201</v>
      </c>
      <c r="N24">
        <v>51</v>
      </c>
      <c r="O24" s="2">
        <v>0.35208333333333303</v>
      </c>
      <c r="P24" s="2">
        <v>0.36736111111111103</v>
      </c>
      <c r="Q24" s="2">
        <v>0.37222222222222201</v>
      </c>
      <c r="R24">
        <v>51</v>
      </c>
      <c r="S24">
        <v>22</v>
      </c>
      <c r="T24" s="2">
        <v>0.37399305555555601</v>
      </c>
      <c r="U24" s="2">
        <v>0.420833333333333</v>
      </c>
      <c r="V24">
        <v>68</v>
      </c>
      <c r="W24" s="2">
        <v>0.421527777777778</v>
      </c>
      <c r="X24" s="2">
        <v>0.44305555555555598</v>
      </c>
      <c r="Y24">
        <v>31</v>
      </c>
    </row>
    <row r="25" spans="1:25" ht="15" customHeight="1" x14ac:dyDescent="0.2">
      <c r="A25" s="1">
        <v>46237</v>
      </c>
      <c r="B25" t="s">
        <v>26</v>
      </c>
      <c r="C25" t="s">
        <v>27</v>
      </c>
      <c r="D25" t="s">
        <v>34</v>
      </c>
      <c r="E25" t="s">
        <v>29</v>
      </c>
      <c r="F25" s="2">
        <v>0.66041666666666698</v>
      </c>
      <c r="G25" s="2">
        <v>0.77152777777777803</v>
      </c>
      <c r="H25">
        <v>160</v>
      </c>
      <c r="I25" s="3">
        <v>0.625</v>
      </c>
      <c r="J25" s="2">
        <v>0.71875</v>
      </c>
      <c r="K25">
        <v>135</v>
      </c>
      <c r="L25" s="2">
        <v>0.65972222222222199</v>
      </c>
      <c r="M25" s="2">
        <v>0.76666666666666705</v>
      </c>
      <c r="N25">
        <v>154</v>
      </c>
      <c r="O25" s="2">
        <v>0.68888888888888899</v>
      </c>
      <c r="P25" s="2">
        <v>0.75277777777777799</v>
      </c>
      <c r="Q25" s="2">
        <v>0.76666666666666705</v>
      </c>
      <c r="R25">
        <v>154</v>
      </c>
      <c r="S25">
        <v>92</v>
      </c>
      <c r="T25" s="2">
        <v>0.76736111111111105</v>
      </c>
      <c r="U25" s="2">
        <v>0.81805555555555598</v>
      </c>
      <c r="V25">
        <v>73</v>
      </c>
    </row>
    <row r="26" spans="1:25" ht="15" customHeight="1" x14ac:dyDescent="0.2">
      <c r="A26" s="1">
        <v>46237</v>
      </c>
      <c r="B26" t="s">
        <v>26</v>
      </c>
      <c r="C26" t="s">
        <v>27</v>
      </c>
      <c r="D26" t="s">
        <v>28</v>
      </c>
      <c r="E26" t="s">
        <v>29</v>
      </c>
      <c r="F26" s="2">
        <v>0.51875000000000004</v>
      </c>
      <c r="G26" s="2">
        <v>0.63263888888888897</v>
      </c>
      <c r="H26">
        <v>164</v>
      </c>
      <c r="I26" s="3">
        <v>0.48958333333333298</v>
      </c>
      <c r="J26" s="2">
        <v>0.58333333333333304</v>
      </c>
      <c r="K26">
        <v>135</v>
      </c>
      <c r="L26" s="2">
        <v>0.51875000000000004</v>
      </c>
      <c r="M26" s="2">
        <v>0.62638888888888899</v>
      </c>
      <c r="N26">
        <v>155</v>
      </c>
      <c r="O26" s="2">
        <v>0.54513888888888895</v>
      </c>
      <c r="P26" s="2">
        <v>0.62083333333333302</v>
      </c>
      <c r="Q26" s="2">
        <v>0.62638888888888899</v>
      </c>
      <c r="R26">
        <v>155</v>
      </c>
      <c r="S26">
        <v>109</v>
      </c>
      <c r="T26" s="2">
        <v>0.62952546296296297</v>
      </c>
      <c r="U26" s="2">
        <v>0.66168981481481504</v>
      </c>
      <c r="V26">
        <v>46</v>
      </c>
    </row>
    <row r="27" spans="1:25" ht="15" customHeight="1" x14ac:dyDescent="0.2">
      <c r="A27" s="1">
        <v>46237</v>
      </c>
      <c r="B27" t="s">
        <v>26</v>
      </c>
      <c r="C27" t="s">
        <v>27</v>
      </c>
      <c r="D27" t="s">
        <v>28</v>
      </c>
      <c r="E27" t="s">
        <v>29</v>
      </c>
      <c r="F27" s="2">
        <v>0.452083333333333</v>
      </c>
      <c r="G27" s="2">
        <v>0.54791666666666705</v>
      </c>
      <c r="H27">
        <v>138</v>
      </c>
      <c r="I27" s="3">
        <v>0.42708333333333298</v>
      </c>
      <c r="J27" s="2">
        <v>0.51041666666666696</v>
      </c>
      <c r="K27">
        <v>120</v>
      </c>
      <c r="L27" s="2">
        <v>0.452083333333333</v>
      </c>
      <c r="M27" s="2">
        <v>0.54097222222222197</v>
      </c>
      <c r="N27">
        <v>128</v>
      </c>
      <c r="O27" s="2">
        <v>0.47986111111111102</v>
      </c>
      <c r="P27" s="2">
        <v>0.53819444444444398</v>
      </c>
      <c r="Q27" s="2">
        <v>0.54097222222222197</v>
      </c>
      <c r="R27">
        <v>128</v>
      </c>
      <c r="S27">
        <v>84</v>
      </c>
      <c r="T27" s="2">
        <v>0.54387731481481505</v>
      </c>
      <c r="U27" s="2">
        <v>0.563194444444444</v>
      </c>
      <c r="V27">
        <v>28</v>
      </c>
    </row>
    <row r="28" spans="1:25" ht="15" customHeight="1" x14ac:dyDescent="0.2">
      <c r="A28" s="1">
        <v>46237</v>
      </c>
      <c r="B28" t="s">
        <v>42</v>
      </c>
      <c r="C28" t="s">
        <v>43</v>
      </c>
      <c r="D28" t="s">
        <v>28</v>
      </c>
      <c r="E28" t="s">
        <v>29</v>
      </c>
      <c r="F28" s="2">
        <v>0.38750000000000001</v>
      </c>
      <c r="G28" s="2">
        <v>0.422222222222222</v>
      </c>
      <c r="H28">
        <v>50</v>
      </c>
      <c r="I28" s="3">
        <v>0.39583333333333298</v>
      </c>
      <c r="J28" s="2">
        <v>0.42708333333333298</v>
      </c>
      <c r="K28">
        <v>45</v>
      </c>
      <c r="L28" s="2">
        <v>0.38750000000000001</v>
      </c>
      <c r="M28" s="2">
        <v>0.41875000000000001</v>
      </c>
      <c r="N28">
        <v>45</v>
      </c>
      <c r="O28" s="2">
        <v>0.40416666666666701</v>
      </c>
      <c r="P28" s="2">
        <v>0.41388888888888897</v>
      </c>
      <c r="Q28" s="2">
        <v>0.41875000000000001</v>
      </c>
      <c r="R28">
        <v>45</v>
      </c>
      <c r="S28">
        <v>14</v>
      </c>
      <c r="T28" s="2">
        <v>0.42063657407407401</v>
      </c>
      <c r="U28" s="2">
        <v>0.44343749999999998</v>
      </c>
      <c r="V28">
        <v>33</v>
      </c>
      <c r="W28" s="2">
        <v>0.44305555555555598</v>
      </c>
      <c r="X28" s="2">
        <v>0.483333333333333</v>
      </c>
      <c r="Y28">
        <v>58</v>
      </c>
    </row>
    <row r="29" spans="1:25" ht="15" customHeight="1" x14ac:dyDescent="0.2">
      <c r="A29" s="1">
        <v>46237</v>
      </c>
      <c r="B29" t="s">
        <v>26</v>
      </c>
      <c r="C29" t="s">
        <v>27</v>
      </c>
      <c r="D29" t="s">
        <v>34</v>
      </c>
      <c r="E29" t="s">
        <v>31</v>
      </c>
      <c r="F29" s="2">
        <v>0.33888888888888902</v>
      </c>
      <c r="G29" s="2">
        <v>0.48680555555555599</v>
      </c>
      <c r="H29">
        <v>213</v>
      </c>
      <c r="I29" s="3">
        <v>0.33333333333333298</v>
      </c>
      <c r="J29" s="2">
        <v>0.46875</v>
      </c>
      <c r="K29">
        <v>195</v>
      </c>
      <c r="L29" s="2">
        <v>0.33888888888888902</v>
      </c>
      <c r="M29" s="2">
        <v>0.484027777777778</v>
      </c>
      <c r="N29">
        <v>209</v>
      </c>
      <c r="O29" s="2">
        <v>0.36805555555555602</v>
      </c>
      <c r="P29" s="2">
        <v>0.47777777777777802</v>
      </c>
      <c r="Q29" s="2">
        <v>0.484027777777778</v>
      </c>
      <c r="R29">
        <v>209</v>
      </c>
      <c r="S29">
        <v>158</v>
      </c>
      <c r="T29" s="2">
        <v>0.48666666666666702</v>
      </c>
      <c r="U29" s="2">
        <v>0.50322916666666695</v>
      </c>
      <c r="V29">
        <v>24</v>
      </c>
    </row>
    <row r="30" spans="1:25" ht="15" customHeight="1" x14ac:dyDescent="0.2">
      <c r="A30" s="1">
        <v>46237</v>
      </c>
      <c r="B30" t="s">
        <v>42</v>
      </c>
      <c r="C30" t="s">
        <v>43</v>
      </c>
      <c r="D30" t="s">
        <v>28</v>
      </c>
      <c r="E30" t="s">
        <v>35</v>
      </c>
      <c r="F30" s="2">
        <v>0.44722222222222202</v>
      </c>
      <c r="G30" s="2">
        <v>0.47777777777777802</v>
      </c>
      <c r="H30">
        <v>44</v>
      </c>
      <c r="I30" s="3">
        <v>0.44791666666666702</v>
      </c>
      <c r="J30" s="2">
        <v>0.48958333333333298</v>
      </c>
      <c r="K30">
        <v>60</v>
      </c>
      <c r="L30" s="2">
        <v>0.44722222222222202</v>
      </c>
      <c r="M30" s="2">
        <v>0.47638888888888897</v>
      </c>
      <c r="N30">
        <v>42</v>
      </c>
      <c r="O30" s="2">
        <v>0.45972222222222198</v>
      </c>
      <c r="P30" s="2">
        <v>0.46875</v>
      </c>
      <c r="Q30" s="2">
        <v>0.47638888888888897</v>
      </c>
      <c r="R30">
        <v>42</v>
      </c>
      <c r="S30">
        <v>13</v>
      </c>
      <c r="T30" s="2">
        <v>0.47900462962962997</v>
      </c>
      <c r="U30" s="2">
        <v>0.53472222222222199</v>
      </c>
      <c r="V30">
        <v>81</v>
      </c>
      <c r="W30" s="2">
        <v>0.53541666666666698</v>
      </c>
      <c r="X30" s="2">
        <v>0.56944444444444398</v>
      </c>
      <c r="Y30">
        <v>49</v>
      </c>
    </row>
    <row r="31" spans="1:25" ht="15" customHeight="1" x14ac:dyDescent="0.2">
      <c r="A31" s="1">
        <v>46237</v>
      </c>
      <c r="B31" t="s">
        <v>42</v>
      </c>
      <c r="C31" t="s">
        <v>43</v>
      </c>
      <c r="D31" t="s">
        <v>28</v>
      </c>
      <c r="E31" t="s">
        <v>29</v>
      </c>
      <c r="F31" s="2">
        <v>0.36944444444444402</v>
      </c>
      <c r="G31" s="2">
        <v>0.48263888888888901</v>
      </c>
      <c r="H31">
        <v>163</v>
      </c>
      <c r="I31" s="3">
        <v>0.35416666666666702</v>
      </c>
      <c r="J31" s="2">
        <v>0.44791666666666702</v>
      </c>
      <c r="K31">
        <v>135</v>
      </c>
      <c r="L31" s="2">
        <v>0.36944444444444402</v>
      </c>
      <c r="M31" s="2">
        <v>0.47708333333333303</v>
      </c>
      <c r="N31">
        <v>155</v>
      </c>
      <c r="O31" s="2">
        <v>0.39305555555555599</v>
      </c>
      <c r="P31" s="2">
        <v>0.47222222222222199</v>
      </c>
      <c r="Q31" s="2">
        <v>0.47708333333333303</v>
      </c>
      <c r="R31">
        <v>155</v>
      </c>
      <c r="S31">
        <v>114</v>
      </c>
      <c r="T31" s="2">
        <v>0.47853009259259299</v>
      </c>
      <c r="U31" s="2">
        <v>0.49375000000000002</v>
      </c>
      <c r="V31">
        <v>22</v>
      </c>
    </row>
    <row r="32" spans="1:25" ht="15" customHeight="1" x14ac:dyDescent="0.2">
      <c r="A32" s="1">
        <v>46237</v>
      </c>
      <c r="B32" t="s">
        <v>26</v>
      </c>
      <c r="C32" t="s">
        <v>27</v>
      </c>
      <c r="D32" t="s">
        <v>34</v>
      </c>
      <c r="E32" t="s">
        <v>29</v>
      </c>
      <c r="F32" s="2">
        <v>0.52291666666666703</v>
      </c>
      <c r="G32" s="2">
        <v>0.71319444444444402</v>
      </c>
      <c r="H32">
        <v>274</v>
      </c>
      <c r="I32" s="3">
        <v>0.45833333333333298</v>
      </c>
      <c r="J32" s="2">
        <v>0.64583333333333304</v>
      </c>
      <c r="K32">
        <v>270</v>
      </c>
      <c r="L32" s="2">
        <v>0.52291666666666703</v>
      </c>
      <c r="M32" s="2">
        <v>0.70972222222222203</v>
      </c>
      <c r="N32">
        <v>269</v>
      </c>
      <c r="O32" s="2">
        <v>0.55555555555555602</v>
      </c>
      <c r="P32" s="2">
        <v>0.69722222222222197</v>
      </c>
      <c r="Q32" s="2">
        <v>0.70972222222222203</v>
      </c>
      <c r="R32">
        <v>269</v>
      </c>
      <c r="S32">
        <v>204</v>
      </c>
      <c r="T32" s="2">
        <v>0.71180555555555602</v>
      </c>
      <c r="U32" s="2">
        <v>0.74236111111111103</v>
      </c>
      <c r="V32">
        <v>44</v>
      </c>
    </row>
    <row r="33" spans="1:25" ht="15" customHeight="1" x14ac:dyDescent="0.2">
      <c r="A33" s="1">
        <v>46237</v>
      </c>
      <c r="B33" t="s">
        <v>42</v>
      </c>
      <c r="C33" t="s">
        <v>43</v>
      </c>
      <c r="D33" t="s">
        <v>28</v>
      </c>
      <c r="E33" t="s">
        <v>29</v>
      </c>
      <c r="F33" s="2">
        <v>0.33680555555555602</v>
      </c>
      <c r="G33" s="2">
        <v>0.38611111111111102</v>
      </c>
      <c r="H33">
        <v>71</v>
      </c>
      <c r="I33" s="3">
        <v>0.33333333333333298</v>
      </c>
      <c r="J33" s="2">
        <v>0.375</v>
      </c>
      <c r="K33">
        <v>60</v>
      </c>
      <c r="L33" s="2">
        <v>0.33680555555555602</v>
      </c>
      <c r="M33" s="2">
        <v>0.38055555555555598</v>
      </c>
      <c r="N33">
        <v>63</v>
      </c>
      <c r="O33" s="2">
        <v>0.35555555555555601</v>
      </c>
      <c r="P33" s="2">
        <v>0.37847222222222199</v>
      </c>
      <c r="Q33" s="2">
        <v>0.38055555555555598</v>
      </c>
      <c r="R33">
        <v>63</v>
      </c>
      <c r="S33">
        <v>33</v>
      </c>
      <c r="T33" s="2">
        <v>0.38402777777777802</v>
      </c>
      <c r="U33" s="2">
        <v>0.41736111111111102</v>
      </c>
      <c r="V33">
        <v>48</v>
      </c>
      <c r="W33" s="2">
        <v>0.41805555555555601</v>
      </c>
      <c r="X33" s="2">
        <v>0.43194444444444402</v>
      </c>
      <c r="Y33">
        <v>20</v>
      </c>
    </row>
    <row r="34" spans="1:25" ht="15" customHeight="1" x14ac:dyDescent="0.2">
      <c r="A34" s="1">
        <v>46237</v>
      </c>
      <c r="B34" t="s">
        <v>26</v>
      </c>
      <c r="C34" t="s">
        <v>27</v>
      </c>
      <c r="D34" t="s">
        <v>28</v>
      </c>
      <c r="E34" t="s">
        <v>31</v>
      </c>
      <c r="F34" s="2">
        <v>0.53819444444444398</v>
      </c>
      <c r="G34" s="2">
        <v>0.719444444444444</v>
      </c>
      <c r="H34">
        <v>261</v>
      </c>
      <c r="I34" s="3">
        <v>0.50347222222222199</v>
      </c>
      <c r="J34" s="2">
        <v>0.63888888888888895</v>
      </c>
      <c r="K34">
        <v>195</v>
      </c>
      <c r="L34" s="2">
        <v>0.53819444444444398</v>
      </c>
      <c r="M34" s="2">
        <v>0.71388888888888902</v>
      </c>
      <c r="N34">
        <v>253</v>
      </c>
      <c r="O34" s="2">
        <v>0.59652777777777799</v>
      </c>
      <c r="P34" s="2">
        <v>0.69583333333333297</v>
      </c>
      <c r="Q34" s="2">
        <v>0.71388888888888902</v>
      </c>
      <c r="R34">
        <v>253</v>
      </c>
      <c r="S34">
        <v>143</v>
      </c>
    </row>
    <row r="35" spans="1:25" ht="15" customHeight="1" x14ac:dyDescent="0.2">
      <c r="A35" s="1">
        <v>46237</v>
      </c>
      <c r="B35" t="s">
        <v>42</v>
      </c>
      <c r="C35" t="s">
        <v>43</v>
      </c>
      <c r="D35" t="s">
        <v>38</v>
      </c>
      <c r="E35" t="s">
        <v>29</v>
      </c>
      <c r="F35" s="2">
        <v>0.54236111111111096</v>
      </c>
      <c r="G35" s="2">
        <v>0.62222222222222201</v>
      </c>
      <c r="H35">
        <v>115</v>
      </c>
      <c r="I35" s="3">
        <v>0.51041666666666696</v>
      </c>
      <c r="J35" s="2">
        <v>0.5625</v>
      </c>
      <c r="K35">
        <v>75</v>
      </c>
      <c r="L35" s="2">
        <v>0.54236111111111096</v>
      </c>
      <c r="M35" s="2">
        <v>0.61597222222222203</v>
      </c>
      <c r="N35">
        <v>106</v>
      </c>
      <c r="O35" s="2">
        <v>0.56388888888888899</v>
      </c>
      <c r="P35" s="2">
        <v>0.61250000000000004</v>
      </c>
      <c r="Q35" s="2">
        <v>0.61597222222222203</v>
      </c>
      <c r="R35">
        <v>106</v>
      </c>
      <c r="S35">
        <v>70</v>
      </c>
      <c r="T35" s="2">
        <v>0.618148148148148</v>
      </c>
      <c r="U35" s="2">
        <v>0.66736111111111096</v>
      </c>
      <c r="V35">
        <v>71</v>
      </c>
      <c r="W35" s="2">
        <v>0.66805555555555596</v>
      </c>
      <c r="X35" s="2">
        <v>0.70555555555555605</v>
      </c>
      <c r="Y35">
        <v>54</v>
      </c>
    </row>
    <row r="36" spans="1:25" ht="15" customHeight="1" x14ac:dyDescent="0.2">
      <c r="A36" s="1">
        <v>46237</v>
      </c>
      <c r="B36" t="s">
        <v>42</v>
      </c>
      <c r="C36" t="s">
        <v>43</v>
      </c>
      <c r="D36" t="s">
        <v>34</v>
      </c>
      <c r="E36" t="s">
        <v>29</v>
      </c>
      <c r="F36" s="2">
        <v>0.50694444444444398</v>
      </c>
      <c r="G36" s="2">
        <v>0.63402777777777797</v>
      </c>
      <c r="H36">
        <v>183</v>
      </c>
      <c r="I36" s="3">
        <v>0.48958333333333298</v>
      </c>
      <c r="J36" s="2">
        <v>0.60416666666666696</v>
      </c>
      <c r="K36">
        <v>165</v>
      </c>
      <c r="L36" s="2">
        <v>0.50694444444444398</v>
      </c>
      <c r="M36" s="2">
        <v>0.63055555555555598</v>
      </c>
      <c r="N36">
        <v>178</v>
      </c>
      <c r="O36" s="2">
        <v>0.53402777777777799</v>
      </c>
      <c r="P36" s="2">
        <v>0.62638888888888899</v>
      </c>
      <c r="Q36" s="2">
        <v>0.63055555555555598</v>
      </c>
      <c r="R36">
        <v>178</v>
      </c>
      <c r="S36">
        <v>133</v>
      </c>
      <c r="T36" s="2">
        <v>0.63194444444444398</v>
      </c>
      <c r="U36" s="2">
        <v>0.67430555555555605</v>
      </c>
      <c r="V36">
        <v>61</v>
      </c>
    </row>
    <row r="37" spans="1:25" ht="15" customHeight="1" x14ac:dyDescent="0.2">
      <c r="A37" s="1">
        <v>46237</v>
      </c>
      <c r="B37" t="s">
        <v>42</v>
      </c>
      <c r="C37" t="s">
        <v>43</v>
      </c>
      <c r="D37" t="s">
        <v>28</v>
      </c>
      <c r="E37" t="s">
        <v>31</v>
      </c>
      <c r="F37" s="2">
        <v>0.56111111111111101</v>
      </c>
      <c r="G37" s="2">
        <v>0.58680555555555602</v>
      </c>
      <c r="H37">
        <v>37</v>
      </c>
      <c r="I37" s="3">
        <v>0.57291666666666696</v>
      </c>
      <c r="J37" s="2">
        <v>0.60416666666666696</v>
      </c>
      <c r="K37">
        <v>45</v>
      </c>
      <c r="L37" s="2">
        <v>0.56111111111111101</v>
      </c>
      <c r="M37" s="2">
        <v>0.58611111111111103</v>
      </c>
      <c r="N37">
        <v>36</v>
      </c>
      <c r="O37" s="2">
        <v>0.57361111111111096</v>
      </c>
      <c r="P37" s="2">
        <v>0.57916666666666705</v>
      </c>
      <c r="Q37" s="2">
        <v>0.58611111111111103</v>
      </c>
      <c r="R37">
        <v>36</v>
      </c>
      <c r="S37">
        <v>8</v>
      </c>
      <c r="T37" s="2">
        <v>0.58680555555555602</v>
      </c>
      <c r="U37" s="2">
        <v>0.66666666666666696</v>
      </c>
      <c r="V37">
        <v>115</v>
      </c>
      <c r="W37" s="2">
        <v>0.67013888888888895</v>
      </c>
      <c r="X37" s="2">
        <v>0.6875</v>
      </c>
      <c r="Y37">
        <v>25</v>
      </c>
    </row>
    <row r="38" spans="1:25" ht="15" customHeight="1" x14ac:dyDescent="0.2">
      <c r="A38" s="1">
        <v>46237</v>
      </c>
      <c r="B38" t="s">
        <v>26</v>
      </c>
      <c r="C38" t="s">
        <v>27</v>
      </c>
      <c r="D38" t="s">
        <v>28</v>
      </c>
      <c r="E38" t="s">
        <v>29</v>
      </c>
      <c r="F38" s="2">
        <v>0.45069444444444401</v>
      </c>
      <c r="G38" s="2">
        <v>0.52222222222222203</v>
      </c>
      <c r="H38">
        <v>103</v>
      </c>
      <c r="I38" s="3">
        <v>0.41666666666666702</v>
      </c>
      <c r="J38" s="2">
        <v>0.47916666666666702</v>
      </c>
      <c r="K38">
        <v>90</v>
      </c>
      <c r="L38" s="2">
        <v>0.45069444444444401</v>
      </c>
      <c r="M38" s="2">
        <v>0.51597222222222205</v>
      </c>
      <c r="N38">
        <v>94</v>
      </c>
      <c r="O38" s="2">
        <v>0.47638888888888897</v>
      </c>
      <c r="P38" s="2">
        <v>0.50972222222222197</v>
      </c>
      <c r="Q38" s="2">
        <v>0.51597222222222205</v>
      </c>
      <c r="R38">
        <v>94</v>
      </c>
      <c r="S38">
        <v>48</v>
      </c>
      <c r="T38" s="2">
        <v>0.51931712962962995</v>
      </c>
      <c r="U38" s="2">
        <v>0.52847222222222201</v>
      </c>
      <c r="V38">
        <v>14</v>
      </c>
    </row>
    <row r="39" spans="1:25" ht="15" customHeight="1" x14ac:dyDescent="0.2">
      <c r="A39" s="1">
        <v>46237</v>
      </c>
      <c r="B39" t="s">
        <v>26</v>
      </c>
      <c r="C39" t="s">
        <v>27</v>
      </c>
      <c r="D39" t="s">
        <v>34</v>
      </c>
      <c r="E39" t="s">
        <v>31</v>
      </c>
      <c r="F39" s="2">
        <v>0.33958333333333302</v>
      </c>
      <c r="G39" s="2">
        <v>0.47777777777777802</v>
      </c>
      <c r="H39">
        <v>199</v>
      </c>
      <c r="I39" s="3">
        <v>0.33333333333333298</v>
      </c>
      <c r="J39" s="2">
        <v>0.46875</v>
      </c>
      <c r="K39">
        <v>195</v>
      </c>
      <c r="L39" s="2">
        <v>0.33958333333333302</v>
      </c>
      <c r="M39" s="2">
        <v>0.47430555555555598</v>
      </c>
      <c r="N39">
        <v>194</v>
      </c>
      <c r="O39" s="2">
        <v>0.37222222222222201</v>
      </c>
      <c r="P39" s="2">
        <v>0.46736111111111101</v>
      </c>
      <c r="Q39" s="2">
        <v>0.47430555555555598</v>
      </c>
      <c r="R39">
        <v>194</v>
      </c>
      <c r="S39">
        <v>137</v>
      </c>
      <c r="T39" s="2">
        <v>0.47569444444444398</v>
      </c>
      <c r="U39" s="2">
        <v>0.48749999999999999</v>
      </c>
      <c r="V39">
        <v>17</v>
      </c>
    </row>
    <row r="40" spans="1:25" ht="15" customHeight="1" x14ac:dyDescent="0.2">
      <c r="A40" s="1">
        <v>46237</v>
      </c>
      <c r="B40" t="s">
        <v>42</v>
      </c>
      <c r="C40" t="s">
        <v>43</v>
      </c>
      <c r="D40" t="s">
        <v>28</v>
      </c>
      <c r="E40" t="s">
        <v>29</v>
      </c>
      <c r="F40" s="2">
        <v>0.6</v>
      </c>
      <c r="G40" s="2">
        <v>0.69166666666666698</v>
      </c>
      <c r="H40">
        <v>132</v>
      </c>
      <c r="I40" s="3">
        <v>0.5625</v>
      </c>
      <c r="J40" s="2">
        <v>0.64583333333333304</v>
      </c>
      <c r="K40">
        <v>120</v>
      </c>
      <c r="L40" s="2">
        <v>0.6</v>
      </c>
      <c r="M40" s="2">
        <v>0.68611111111111101</v>
      </c>
      <c r="N40">
        <v>124</v>
      </c>
      <c r="O40" s="2">
        <v>0.62152777777777801</v>
      </c>
      <c r="P40" s="2">
        <v>0.68263888888888902</v>
      </c>
      <c r="Q40" s="2">
        <v>0.68611111111111101</v>
      </c>
      <c r="R40">
        <v>124</v>
      </c>
      <c r="S40">
        <v>88</v>
      </c>
      <c r="T40" s="2">
        <v>0.69097222222222199</v>
      </c>
      <c r="U40" s="2">
        <v>0.70972222222222203</v>
      </c>
      <c r="V40">
        <v>27</v>
      </c>
    </row>
    <row r="41" spans="1:25" ht="15" customHeight="1" x14ac:dyDescent="0.2">
      <c r="A41" s="1">
        <v>46237</v>
      </c>
      <c r="B41" t="s">
        <v>26</v>
      </c>
      <c r="C41" t="s">
        <v>27</v>
      </c>
      <c r="D41" t="s">
        <v>34</v>
      </c>
      <c r="E41" t="s">
        <v>36</v>
      </c>
      <c r="F41" s="2">
        <v>0.47986111111111102</v>
      </c>
      <c r="G41" s="2">
        <v>0.66388888888888897</v>
      </c>
      <c r="H41">
        <v>265</v>
      </c>
      <c r="I41" s="3">
        <v>0.46875</v>
      </c>
      <c r="J41" s="2">
        <v>0.58333333333333304</v>
      </c>
      <c r="K41">
        <v>165</v>
      </c>
      <c r="L41" s="2">
        <v>0.47986111111111102</v>
      </c>
      <c r="M41" s="2">
        <v>0.65347222222222201</v>
      </c>
      <c r="N41">
        <v>250</v>
      </c>
      <c r="O41" s="2">
        <v>0.53125</v>
      </c>
      <c r="P41" s="2">
        <v>0.64513888888888904</v>
      </c>
      <c r="Q41" s="2">
        <v>0.65347222222222201</v>
      </c>
      <c r="R41">
        <v>250</v>
      </c>
      <c r="S41">
        <v>164</v>
      </c>
    </row>
    <row r="42" spans="1:25" ht="15" customHeight="1" x14ac:dyDescent="0.2">
      <c r="A42" s="1">
        <v>46237</v>
      </c>
      <c r="B42" t="s">
        <v>26</v>
      </c>
      <c r="C42" t="s">
        <v>27</v>
      </c>
      <c r="D42" t="s">
        <v>34</v>
      </c>
      <c r="E42" t="s">
        <v>29</v>
      </c>
      <c r="F42" s="2">
        <v>0.34930555555555598</v>
      </c>
      <c r="G42" s="2">
        <v>0.45763888888888898</v>
      </c>
      <c r="H42">
        <v>156</v>
      </c>
      <c r="I42" s="3">
        <v>0.33333333333333298</v>
      </c>
      <c r="J42" s="2">
        <v>0.44791666666666702</v>
      </c>
      <c r="K42">
        <v>165</v>
      </c>
      <c r="L42" s="2">
        <v>0.34930555555555598</v>
      </c>
      <c r="M42" s="2">
        <v>0.45069444444444401</v>
      </c>
      <c r="N42">
        <v>146</v>
      </c>
      <c r="O42" s="2">
        <v>0.38333333333333303</v>
      </c>
      <c r="P42" s="2">
        <v>0.44374999999999998</v>
      </c>
      <c r="Q42" s="2">
        <v>0.45069444444444401</v>
      </c>
      <c r="R42">
        <v>146</v>
      </c>
      <c r="S42">
        <v>87</v>
      </c>
      <c r="T42" s="2">
        <v>0.45157407407407402</v>
      </c>
      <c r="U42" s="2">
        <v>0.52501157407407395</v>
      </c>
      <c r="V42">
        <v>106</v>
      </c>
    </row>
    <row r="43" spans="1:25" ht="15" customHeight="1" x14ac:dyDescent="0.2">
      <c r="A43" s="1">
        <v>46237</v>
      </c>
      <c r="B43" t="s">
        <v>26</v>
      </c>
      <c r="C43" t="s">
        <v>27</v>
      </c>
      <c r="D43" t="s">
        <v>34</v>
      </c>
      <c r="E43" t="s">
        <v>31</v>
      </c>
      <c r="F43" s="2">
        <v>0.33888888888888902</v>
      </c>
      <c r="G43" s="2">
        <v>0.42569444444444399</v>
      </c>
      <c r="H43">
        <v>125</v>
      </c>
      <c r="I43" s="3">
        <v>0.33333333333333298</v>
      </c>
      <c r="J43" s="2">
        <v>0.40972222222222199</v>
      </c>
      <c r="K43">
        <v>110</v>
      </c>
      <c r="L43" s="2">
        <v>0.33888888888888902</v>
      </c>
      <c r="M43" s="2">
        <v>0.42013888888888901</v>
      </c>
      <c r="N43">
        <v>117</v>
      </c>
      <c r="O43" s="2">
        <v>0.359722222222222</v>
      </c>
      <c r="P43" s="2">
        <v>0.41736111111111102</v>
      </c>
      <c r="Q43" s="2">
        <v>0.42013888888888901</v>
      </c>
      <c r="R43">
        <v>117</v>
      </c>
      <c r="S43">
        <v>83</v>
      </c>
      <c r="T43" s="2">
        <v>0.422916666666667</v>
      </c>
      <c r="U43" s="2">
        <v>0.47291666666666698</v>
      </c>
      <c r="V43">
        <v>72</v>
      </c>
    </row>
    <row r="44" spans="1:25" ht="15" customHeight="1" x14ac:dyDescent="0.2">
      <c r="A44" s="1">
        <v>46237</v>
      </c>
      <c r="B44" t="s">
        <v>26</v>
      </c>
      <c r="C44" t="s">
        <v>27</v>
      </c>
      <c r="D44" t="s">
        <v>28</v>
      </c>
      <c r="E44" t="s">
        <v>31</v>
      </c>
      <c r="F44" s="2">
        <v>0.50833333333333297</v>
      </c>
      <c r="G44" s="2">
        <v>0.55694444444444402</v>
      </c>
      <c r="H44">
        <v>70</v>
      </c>
      <c r="I44" s="3">
        <v>0.5</v>
      </c>
      <c r="J44" s="2">
        <v>0.55208333333333304</v>
      </c>
      <c r="K44">
        <v>75</v>
      </c>
      <c r="L44" s="2">
        <v>0.50833333333333297</v>
      </c>
      <c r="M44" s="2">
        <v>0.55277777777777803</v>
      </c>
      <c r="N44">
        <v>64</v>
      </c>
      <c r="O44" s="2">
        <v>0.52430555555555602</v>
      </c>
      <c r="P44" s="2">
        <v>0.55000000000000004</v>
      </c>
      <c r="Q44" s="2">
        <v>0.55277777777777803</v>
      </c>
      <c r="R44">
        <v>64</v>
      </c>
      <c r="S44">
        <v>37</v>
      </c>
      <c r="T44" s="2">
        <v>0.55416666666666703</v>
      </c>
      <c r="U44" s="2">
        <v>0.59652777777777799</v>
      </c>
      <c r="V44">
        <v>61</v>
      </c>
    </row>
    <row r="45" spans="1:25" ht="15" customHeight="1" x14ac:dyDescent="0.2">
      <c r="A45" s="1">
        <v>46237</v>
      </c>
      <c r="B45" t="s">
        <v>26</v>
      </c>
      <c r="C45" t="s">
        <v>27</v>
      </c>
      <c r="D45" t="s">
        <v>28</v>
      </c>
      <c r="E45" t="s">
        <v>31</v>
      </c>
      <c r="F45" s="2">
        <v>0.63958333333333295</v>
      </c>
      <c r="G45" s="2">
        <v>0.71458333333333302</v>
      </c>
      <c r="H45">
        <v>108</v>
      </c>
      <c r="I45" s="3">
        <v>0.58333333333333304</v>
      </c>
      <c r="J45" s="2">
        <v>0.67013888888888895</v>
      </c>
      <c r="K45">
        <v>125</v>
      </c>
      <c r="L45" s="2">
        <v>0.63958333333333295</v>
      </c>
      <c r="M45" s="2">
        <v>0.70833333333333304</v>
      </c>
      <c r="N45">
        <v>99</v>
      </c>
      <c r="O45" s="2">
        <v>0.65833333333333299</v>
      </c>
      <c r="P45" s="2">
        <v>0.70347222222222205</v>
      </c>
      <c r="Q45" s="2">
        <v>0.70833333333333304</v>
      </c>
      <c r="R45">
        <v>99</v>
      </c>
      <c r="S45">
        <v>65</v>
      </c>
      <c r="T45" s="2">
        <v>0.70908564814814801</v>
      </c>
      <c r="U45" s="2">
        <v>0.74027777777777803</v>
      </c>
      <c r="V45">
        <v>45</v>
      </c>
    </row>
    <row r="46" spans="1:25" ht="15" customHeight="1" x14ac:dyDescent="0.2">
      <c r="A46" s="1">
        <v>46237</v>
      </c>
      <c r="B46" t="s">
        <v>26</v>
      </c>
      <c r="C46" t="s">
        <v>27</v>
      </c>
      <c r="D46" t="s">
        <v>34</v>
      </c>
      <c r="E46" t="s">
        <v>29</v>
      </c>
      <c r="F46" s="2">
        <v>0.453472222222222</v>
      </c>
      <c r="G46" s="2">
        <v>0.56736111111111098</v>
      </c>
      <c r="H46">
        <v>164</v>
      </c>
      <c r="I46" s="3">
        <v>0.40625</v>
      </c>
      <c r="J46" s="2">
        <v>0.46180555555555602</v>
      </c>
      <c r="K46">
        <v>80</v>
      </c>
      <c r="L46" s="2">
        <v>0.453472222222222</v>
      </c>
      <c r="M46" s="2">
        <v>0.56388888888888899</v>
      </c>
      <c r="N46">
        <v>159</v>
      </c>
      <c r="O46" s="2">
        <v>0.47499999999999998</v>
      </c>
      <c r="P46" s="2">
        <v>0.55555555555555602</v>
      </c>
      <c r="Q46" s="2">
        <v>0.56388888888888899</v>
      </c>
      <c r="R46">
        <v>159</v>
      </c>
      <c r="S46">
        <v>116</v>
      </c>
      <c r="T46" s="2">
        <v>0.56445601851851901</v>
      </c>
      <c r="U46" s="2">
        <v>0.61453703703703699</v>
      </c>
      <c r="V46">
        <v>72</v>
      </c>
    </row>
    <row r="47" spans="1:25" ht="15" customHeight="1" x14ac:dyDescent="0.2">
      <c r="A47" s="1">
        <v>46237</v>
      </c>
      <c r="B47" t="s">
        <v>26</v>
      </c>
      <c r="C47" t="s">
        <v>27</v>
      </c>
      <c r="D47" t="s">
        <v>28</v>
      </c>
      <c r="E47" t="s">
        <v>29</v>
      </c>
      <c r="F47" s="2">
        <v>0.71597222222222201</v>
      </c>
      <c r="G47" s="2">
        <v>0.76527777777777795</v>
      </c>
      <c r="H47">
        <v>71</v>
      </c>
      <c r="I47" s="3">
        <v>0.6875</v>
      </c>
      <c r="J47" s="2">
        <v>0.74305555555555602</v>
      </c>
      <c r="K47">
        <v>80</v>
      </c>
      <c r="L47" s="2">
        <v>0.71597222222222201</v>
      </c>
      <c r="M47" s="2">
        <v>0.75902777777777797</v>
      </c>
      <c r="N47">
        <v>62</v>
      </c>
      <c r="O47" s="2">
        <v>0.73333333333333295</v>
      </c>
      <c r="P47" s="2">
        <v>0.75347222222222199</v>
      </c>
      <c r="Q47" s="2">
        <v>0.75902777777777797</v>
      </c>
      <c r="R47">
        <v>62</v>
      </c>
      <c r="S47">
        <v>29</v>
      </c>
      <c r="T47" s="2">
        <v>0.76053240740740702</v>
      </c>
      <c r="U47" s="2">
        <v>0.781944444444444</v>
      </c>
      <c r="V47">
        <v>31</v>
      </c>
    </row>
    <row r="48" spans="1:25" ht="15" customHeight="1" x14ac:dyDescent="0.2">
      <c r="A48" s="1">
        <v>46237</v>
      </c>
      <c r="B48" t="s">
        <v>26</v>
      </c>
      <c r="C48" t="s">
        <v>27</v>
      </c>
      <c r="D48" t="s">
        <v>28</v>
      </c>
      <c r="E48" t="s">
        <v>29</v>
      </c>
      <c r="F48" s="2">
        <v>0.65763888888888899</v>
      </c>
      <c r="G48" s="2">
        <v>0.67916666666666703</v>
      </c>
      <c r="H48">
        <v>31</v>
      </c>
      <c r="I48" s="3">
        <v>0.67708333333333304</v>
      </c>
      <c r="J48" s="2">
        <v>0.71875</v>
      </c>
      <c r="K48">
        <v>60</v>
      </c>
      <c r="L48" s="2">
        <v>0.65763888888888899</v>
      </c>
      <c r="M48" s="2">
        <v>0.67430555555555605</v>
      </c>
      <c r="N48">
        <v>24</v>
      </c>
      <c r="O48" s="2">
        <v>0.66666666666666696</v>
      </c>
      <c r="P48" s="2">
        <v>0.67152777777777795</v>
      </c>
      <c r="Q48" s="2">
        <v>0.67430555555555605</v>
      </c>
      <c r="R48">
        <v>24</v>
      </c>
      <c r="S48">
        <v>7</v>
      </c>
      <c r="T48" s="2">
        <v>0.67708333333333304</v>
      </c>
      <c r="U48" s="2">
        <v>0.72457175925925899</v>
      </c>
      <c r="V48">
        <v>68</v>
      </c>
    </row>
    <row r="49" spans="1:25" ht="15" customHeight="1" x14ac:dyDescent="0.2">
      <c r="A49" s="1">
        <v>46237</v>
      </c>
      <c r="B49" t="s">
        <v>26</v>
      </c>
      <c r="C49" t="s">
        <v>27</v>
      </c>
      <c r="D49" t="s">
        <v>28</v>
      </c>
      <c r="E49" t="s">
        <v>31</v>
      </c>
      <c r="F49" s="2">
        <v>0.59166666666666701</v>
      </c>
      <c r="G49" s="2">
        <v>0.67430555555555605</v>
      </c>
      <c r="H49">
        <v>119</v>
      </c>
      <c r="I49" s="3">
        <v>0.57291666666666696</v>
      </c>
      <c r="J49" s="2">
        <v>0.63888888888888895</v>
      </c>
      <c r="K49">
        <v>95</v>
      </c>
      <c r="L49" s="2">
        <v>0.59166666666666701</v>
      </c>
      <c r="M49" s="2">
        <v>0.67013888888888895</v>
      </c>
      <c r="N49">
        <v>113</v>
      </c>
      <c r="O49" s="2">
        <v>0.60902777777777795</v>
      </c>
      <c r="P49" s="2">
        <v>0.66388888888888897</v>
      </c>
      <c r="Q49" s="2">
        <v>0.67013888888888895</v>
      </c>
      <c r="R49">
        <v>113</v>
      </c>
      <c r="S49">
        <v>79</v>
      </c>
      <c r="T49" s="2">
        <v>0.67065972222222203</v>
      </c>
      <c r="U49" s="2">
        <v>0.69583333333333297</v>
      </c>
      <c r="V49">
        <v>37</v>
      </c>
    </row>
    <row r="50" spans="1:25" ht="15" customHeight="1" x14ac:dyDescent="0.2">
      <c r="A50" s="1">
        <v>46237</v>
      </c>
      <c r="B50" t="s">
        <v>26</v>
      </c>
      <c r="C50" t="s">
        <v>27</v>
      </c>
      <c r="D50" t="s">
        <v>28</v>
      </c>
      <c r="E50" t="s">
        <v>36</v>
      </c>
      <c r="F50" s="2">
        <v>0.61805555555555602</v>
      </c>
      <c r="G50" s="2">
        <v>0.656944444444444</v>
      </c>
      <c r="H50">
        <v>56</v>
      </c>
      <c r="I50" s="3">
        <v>0.61458333333333304</v>
      </c>
      <c r="J50" s="2">
        <v>0.64583333333333304</v>
      </c>
      <c r="K50">
        <v>45</v>
      </c>
      <c r="L50" s="2">
        <v>0.61805555555555602</v>
      </c>
      <c r="M50" s="2">
        <v>0.65416666666666701</v>
      </c>
      <c r="N50">
        <v>52</v>
      </c>
      <c r="O50" s="2">
        <v>0.64027777777777795</v>
      </c>
      <c r="P50" s="2">
        <v>0.65</v>
      </c>
      <c r="Q50" s="2">
        <v>0.65416666666666701</v>
      </c>
      <c r="R50">
        <v>52</v>
      </c>
      <c r="S50">
        <v>14</v>
      </c>
      <c r="T50" s="2">
        <v>0.65508101851851896</v>
      </c>
      <c r="U50" s="2">
        <v>0.69346064814814801</v>
      </c>
      <c r="V50">
        <v>55</v>
      </c>
    </row>
    <row r="51" spans="1:25" ht="15" customHeight="1" x14ac:dyDescent="0.2">
      <c r="A51" s="1">
        <v>46237</v>
      </c>
      <c r="B51" t="s">
        <v>26</v>
      </c>
      <c r="C51" t="s">
        <v>27</v>
      </c>
      <c r="D51" t="s">
        <v>28</v>
      </c>
      <c r="E51" t="s">
        <v>29</v>
      </c>
      <c r="F51" s="2">
        <v>0.79513888888888895</v>
      </c>
      <c r="G51" s="2">
        <v>0.86319444444444404</v>
      </c>
      <c r="H51">
        <v>98</v>
      </c>
      <c r="I51" s="3">
        <v>0.77083333333333304</v>
      </c>
      <c r="J51" s="2">
        <v>0.83680555555555602</v>
      </c>
      <c r="K51">
        <v>95</v>
      </c>
      <c r="L51" s="2">
        <v>0.79513888888888895</v>
      </c>
      <c r="M51" s="2">
        <v>0.85763888888888895</v>
      </c>
      <c r="N51">
        <v>90</v>
      </c>
      <c r="O51" s="2">
        <v>0.82013888888888897</v>
      </c>
      <c r="P51" s="2">
        <v>0.84652777777777799</v>
      </c>
      <c r="Q51" s="2">
        <v>0.85763888888888895</v>
      </c>
      <c r="R51">
        <v>90</v>
      </c>
      <c r="S51">
        <v>38</v>
      </c>
      <c r="T51" s="2">
        <v>0.85486111111111096</v>
      </c>
      <c r="U51" s="2">
        <v>0.88888888888888895</v>
      </c>
      <c r="V51">
        <v>49</v>
      </c>
    </row>
    <row r="52" spans="1:25" ht="15" customHeight="1" x14ac:dyDescent="0.2">
      <c r="A52" s="1">
        <v>46237</v>
      </c>
      <c r="B52" t="s">
        <v>42</v>
      </c>
      <c r="C52" t="s">
        <v>43</v>
      </c>
      <c r="D52" t="s">
        <v>28</v>
      </c>
      <c r="E52" t="s">
        <v>35</v>
      </c>
      <c r="F52" s="2">
        <v>0.74513888888888902</v>
      </c>
      <c r="G52" s="2">
        <v>0.78611111111111098</v>
      </c>
      <c r="H52">
        <v>59</v>
      </c>
      <c r="I52" s="3">
        <v>0.76041666666666696</v>
      </c>
      <c r="J52" s="2">
        <v>0.79861111111111105</v>
      </c>
      <c r="K52">
        <v>55</v>
      </c>
      <c r="L52" s="2">
        <v>0.74513888888888902</v>
      </c>
      <c r="M52" s="2">
        <v>0.780555555555556</v>
      </c>
      <c r="N52">
        <v>51</v>
      </c>
      <c r="O52" s="2">
        <v>0.76249999999999996</v>
      </c>
      <c r="P52" s="2">
        <v>0.77361111111111103</v>
      </c>
      <c r="Q52" s="2">
        <v>0.780555555555556</v>
      </c>
      <c r="R52">
        <v>51</v>
      </c>
      <c r="S52">
        <v>16</v>
      </c>
      <c r="T52" s="2">
        <v>0.78233796296296299</v>
      </c>
      <c r="U52" s="2">
        <v>0.81406250000000002</v>
      </c>
      <c r="V52">
        <v>46</v>
      </c>
    </row>
    <row r="53" spans="1:25" ht="15" customHeight="1" x14ac:dyDescent="0.2">
      <c r="A53" s="1">
        <v>46237</v>
      </c>
      <c r="B53" t="s">
        <v>26</v>
      </c>
      <c r="C53" t="s">
        <v>27</v>
      </c>
      <c r="D53" t="s">
        <v>34</v>
      </c>
      <c r="E53" t="s">
        <v>36</v>
      </c>
      <c r="F53" s="2">
        <v>0.83333333333333304</v>
      </c>
      <c r="G53" s="2">
        <v>0.97361111111111098</v>
      </c>
      <c r="H53">
        <v>202</v>
      </c>
      <c r="I53" s="3">
        <v>0.83333333333333304</v>
      </c>
      <c r="J53" s="2">
        <v>6.9444444444444397E-3</v>
      </c>
      <c r="K53">
        <v>280</v>
      </c>
      <c r="L53" s="2">
        <v>0.83333333333333304</v>
      </c>
      <c r="M53" s="2">
        <v>0.96041666666666703</v>
      </c>
      <c r="N53">
        <v>183</v>
      </c>
      <c r="O53" s="2">
        <v>0.87222222222222201</v>
      </c>
      <c r="P53" s="2">
        <v>0.95486111111111105</v>
      </c>
      <c r="Q53" s="2">
        <v>0.96041666666666703</v>
      </c>
      <c r="R53">
        <v>183</v>
      </c>
      <c r="S53">
        <v>119</v>
      </c>
    </row>
    <row r="54" spans="1:25" ht="15" customHeight="1" x14ac:dyDescent="0.2">
      <c r="A54" s="1">
        <v>46237</v>
      </c>
      <c r="B54" t="s">
        <v>26</v>
      </c>
      <c r="C54" t="s">
        <v>27</v>
      </c>
      <c r="D54" t="s">
        <v>28</v>
      </c>
      <c r="E54" t="s">
        <v>40</v>
      </c>
      <c r="F54" s="2">
        <v>0.83333333333333304</v>
      </c>
      <c r="G54" s="2">
        <v>0.91111111111111098</v>
      </c>
      <c r="H54">
        <v>112</v>
      </c>
      <c r="I54" s="3">
        <v>0.86111111111111105</v>
      </c>
      <c r="J54" s="2">
        <v>0.92361111111111105</v>
      </c>
      <c r="K54">
        <v>120</v>
      </c>
      <c r="L54" s="2">
        <v>0.83680555555555602</v>
      </c>
      <c r="M54" s="2">
        <v>0.90416666666666701</v>
      </c>
      <c r="N54">
        <v>97</v>
      </c>
      <c r="O54" s="2">
        <v>0.85486111111111096</v>
      </c>
      <c r="P54" s="2">
        <v>0.88333333333333297</v>
      </c>
      <c r="Q54" s="2">
        <v>0.90416666666666701</v>
      </c>
      <c r="R54">
        <v>97</v>
      </c>
      <c r="S54">
        <v>41</v>
      </c>
    </row>
    <row r="55" spans="1:25" ht="15" customHeight="1" x14ac:dyDescent="0.2">
      <c r="A55" s="1">
        <v>46237</v>
      </c>
      <c r="B55" t="s">
        <v>26</v>
      </c>
      <c r="C55" t="s">
        <v>27</v>
      </c>
      <c r="D55" t="s">
        <v>34</v>
      </c>
      <c r="E55" t="s">
        <v>36</v>
      </c>
      <c r="F55" s="2">
        <v>0.27083333333333298</v>
      </c>
      <c r="G55" s="2">
        <v>0.60277777777777797</v>
      </c>
      <c r="H55">
        <v>478</v>
      </c>
      <c r="I55" s="3">
        <v>0.26041666666666702</v>
      </c>
      <c r="J55" s="2">
        <v>0.46875</v>
      </c>
      <c r="K55">
        <v>300</v>
      </c>
      <c r="L55" s="2">
        <v>0.27083333333333298</v>
      </c>
      <c r="M55" s="2">
        <v>0.58888888888888902</v>
      </c>
      <c r="N55">
        <v>458</v>
      </c>
      <c r="O55" s="2">
        <v>0.36180555555555599</v>
      </c>
      <c r="P55" s="2">
        <v>0.58194444444444404</v>
      </c>
      <c r="Q55" s="2">
        <v>0.58888888888888902</v>
      </c>
      <c r="R55">
        <v>458</v>
      </c>
      <c r="S55">
        <v>317</v>
      </c>
    </row>
    <row r="56" spans="1:25" ht="15" customHeight="1" x14ac:dyDescent="0.2">
      <c r="A56" s="1">
        <v>46237</v>
      </c>
      <c r="B56" t="s">
        <v>26</v>
      </c>
      <c r="C56" t="s">
        <v>27</v>
      </c>
      <c r="D56" t="s">
        <v>28</v>
      </c>
      <c r="E56" t="s">
        <v>31</v>
      </c>
      <c r="F56" s="2">
        <v>0.34722222222222199</v>
      </c>
      <c r="G56" s="2">
        <v>0.51319444444444395</v>
      </c>
      <c r="H56">
        <v>239</v>
      </c>
      <c r="I56" s="3">
        <v>0.33333333333333298</v>
      </c>
      <c r="J56" s="2">
        <v>0.48958333333333298</v>
      </c>
      <c r="K56">
        <v>225</v>
      </c>
      <c r="L56" s="2">
        <v>0.34722222222222199</v>
      </c>
      <c r="M56" s="2">
        <v>0.50763888888888897</v>
      </c>
      <c r="N56">
        <v>231</v>
      </c>
      <c r="O56" s="2">
        <v>0.36736111111111103</v>
      </c>
      <c r="P56" s="2">
        <v>0.50486111111111098</v>
      </c>
      <c r="Q56" s="2">
        <v>0.50763888888888897</v>
      </c>
      <c r="R56">
        <v>231</v>
      </c>
      <c r="S56">
        <v>198</v>
      </c>
      <c r="T56" s="2">
        <v>0.50921296296296303</v>
      </c>
      <c r="U56" s="2">
        <v>0.56597222222222199</v>
      </c>
      <c r="V56">
        <v>82</v>
      </c>
    </row>
    <row r="57" spans="1:25" ht="15" customHeight="1" x14ac:dyDescent="0.2">
      <c r="A57" s="1">
        <v>46238</v>
      </c>
      <c r="B57" t="s">
        <v>26</v>
      </c>
      <c r="C57" t="s">
        <v>27</v>
      </c>
      <c r="D57" t="s">
        <v>34</v>
      </c>
      <c r="E57" t="s">
        <v>29</v>
      </c>
      <c r="F57" s="2">
        <v>0.31597222222222199</v>
      </c>
      <c r="G57" s="2">
        <v>0.438194444444444</v>
      </c>
      <c r="H57">
        <v>176</v>
      </c>
      <c r="I57" s="3">
        <v>0.3125</v>
      </c>
      <c r="J57" s="2">
        <v>0.42708333333333298</v>
      </c>
      <c r="K57">
        <v>165</v>
      </c>
      <c r="L57" s="2">
        <v>0.31597222222222199</v>
      </c>
      <c r="M57" s="2">
        <v>0.43333333333333302</v>
      </c>
      <c r="N57">
        <v>169</v>
      </c>
      <c r="O57" s="2">
        <v>0.35</v>
      </c>
      <c r="P57" s="2">
        <v>0.42708333333333298</v>
      </c>
      <c r="Q57" s="2">
        <v>0.43333333333333302</v>
      </c>
      <c r="R57">
        <v>169</v>
      </c>
      <c r="S57">
        <v>111</v>
      </c>
      <c r="T57" s="2">
        <v>0.43935185185185199</v>
      </c>
      <c r="U57" s="2">
        <v>0.45532407407407399</v>
      </c>
      <c r="V57">
        <v>23</v>
      </c>
    </row>
    <row r="58" spans="1:25" ht="15" customHeight="1" x14ac:dyDescent="0.2">
      <c r="A58" s="1">
        <v>46238</v>
      </c>
      <c r="B58" t="s">
        <v>42</v>
      </c>
      <c r="C58" t="s">
        <v>43</v>
      </c>
      <c r="D58" t="s">
        <v>28</v>
      </c>
      <c r="E58" t="s">
        <v>31</v>
      </c>
      <c r="F58" s="2">
        <v>0.53680555555555598</v>
      </c>
      <c r="G58" s="2">
        <v>0.56597222222222199</v>
      </c>
      <c r="H58">
        <v>42</v>
      </c>
      <c r="I58" s="3">
        <v>0.52083333333333304</v>
      </c>
      <c r="J58" s="2">
        <v>0.54166666666666696</v>
      </c>
      <c r="K58">
        <v>30</v>
      </c>
      <c r="L58" s="2">
        <v>0.53680555555555598</v>
      </c>
      <c r="M58" s="2">
        <v>0.56111111111111101</v>
      </c>
      <c r="N58">
        <v>35</v>
      </c>
      <c r="O58" s="2">
        <v>0.55138888888888904</v>
      </c>
      <c r="P58" s="2">
        <v>0.55763888888888902</v>
      </c>
      <c r="Q58" s="2">
        <v>0.56111111111111101</v>
      </c>
      <c r="R58">
        <v>35</v>
      </c>
      <c r="S58">
        <v>9</v>
      </c>
      <c r="T58" s="2">
        <v>0.5625</v>
      </c>
      <c r="U58" s="2">
        <v>0.59375</v>
      </c>
      <c r="V58">
        <v>45</v>
      </c>
      <c r="W58" s="2">
        <v>0.594444444444444</v>
      </c>
      <c r="X58" s="2">
        <v>0.63124999999999998</v>
      </c>
      <c r="Y58">
        <v>53</v>
      </c>
    </row>
    <row r="59" spans="1:25" ht="15" customHeight="1" x14ac:dyDescent="0.2">
      <c r="A59" s="1">
        <v>46238</v>
      </c>
      <c r="B59" t="s">
        <v>42</v>
      </c>
      <c r="C59" t="s">
        <v>43</v>
      </c>
      <c r="D59" t="s">
        <v>28</v>
      </c>
      <c r="E59" t="s">
        <v>29</v>
      </c>
      <c r="F59" s="2">
        <v>0.31111111111111101</v>
      </c>
      <c r="G59" s="2">
        <v>0.35138888888888897</v>
      </c>
      <c r="H59">
        <v>58</v>
      </c>
      <c r="I59" s="3">
        <v>0.3125</v>
      </c>
      <c r="J59" s="2">
        <v>0.35416666666666702</v>
      </c>
      <c r="K59">
        <v>60</v>
      </c>
      <c r="L59" s="2">
        <v>0.31111111111111101</v>
      </c>
      <c r="M59" s="2">
        <v>0.34791666666666698</v>
      </c>
      <c r="N59">
        <v>53</v>
      </c>
      <c r="O59" s="2">
        <v>0.32430555555555601</v>
      </c>
      <c r="P59" s="2">
        <v>0.343055555555556</v>
      </c>
      <c r="Q59" s="2">
        <v>0.34791666666666698</v>
      </c>
      <c r="R59">
        <v>53</v>
      </c>
      <c r="S59">
        <v>27</v>
      </c>
      <c r="T59" s="2">
        <v>0.35115740740740697</v>
      </c>
      <c r="U59" s="2">
        <v>0.374305555555556</v>
      </c>
      <c r="V59">
        <v>34</v>
      </c>
      <c r="W59" s="2">
        <v>0.375</v>
      </c>
      <c r="X59" s="2">
        <v>0.40625</v>
      </c>
      <c r="Y59">
        <v>45</v>
      </c>
    </row>
    <row r="60" spans="1:25" ht="15" customHeight="1" x14ac:dyDescent="0.2">
      <c r="A60" s="1">
        <v>46238</v>
      </c>
      <c r="B60" t="s">
        <v>42</v>
      </c>
      <c r="C60" t="s">
        <v>43</v>
      </c>
      <c r="D60" t="s">
        <v>28</v>
      </c>
      <c r="E60" t="s">
        <v>29</v>
      </c>
      <c r="F60" s="2">
        <v>0.36666666666666697</v>
      </c>
      <c r="G60" s="2">
        <v>0.4</v>
      </c>
      <c r="H60">
        <v>48</v>
      </c>
      <c r="I60" s="3">
        <v>0.375</v>
      </c>
      <c r="J60" s="2">
        <v>0.40625</v>
      </c>
      <c r="K60">
        <v>45</v>
      </c>
      <c r="L60" s="2">
        <v>0.36666666666666697</v>
      </c>
      <c r="M60" s="2">
        <v>0.39583333333333298</v>
      </c>
      <c r="N60">
        <v>42</v>
      </c>
      <c r="O60" s="2">
        <v>0.37777777777777799</v>
      </c>
      <c r="P60" s="2">
        <v>0.38541666666666702</v>
      </c>
      <c r="Q60" s="2">
        <v>0.39583333333333298</v>
      </c>
      <c r="R60">
        <v>42</v>
      </c>
      <c r="S60">
        <v>11</v>
      </c>
      <c r="T60" s="2">
        <v>0.39791666666666697</v>
      </c>
      <c r="U60" s="2">
        <v>0.422916666666667</v>
      </c>
      <c r="V60">
        <v>36</v>
      </c>
      <c r="W60" s="2">
        <v>0.42361111111111099</v>
      </c>
      <c r="X60" s="2">
        <v>0.45833333333333298</v>
      </c>
      <c r="Y60">
        <v>50</v>
      </c>
    </row>
    <row r="61" spans="1:25" ht="15" customHeight="1" x14ac:dyDescent="0.2">
      <c r="A61" s="1">
        <v>46238</v>
      </c>
      <c r="B61" t="s">
        <v>26</v>
      </c>
      <c r="C61" t="s">
        <v>27</v>
      </c>
      <c r="D61" t="s">
        <v>28</v>
      </c>
      <c r="E61" t="s">
        <v>29</v>
      </c>
      <c r="F61" s="2">
        <v>0.48125000000000001</v>
      </c>
      <c r="G61" s="2">
        <v>0.60486111111111096</v>
      </c>
      <c r="H61">
        <v>178</v>
      </c>
      <c r="I61" s="3">
        <v>0.51041666666666696</v>
      </c>
      <c r="J61" s="2">
        <v>0.61458333333333304</v>
      </c>
      <c r="K61">
        <v>150</v>
      </c>
      <c r="L61" s="2">
        <v>0.48125000000000001</v>
      </c>
      <c r="M61" s="2">
        <v>0.59861111111111098</v>
      </c>
      <c r="N61">
        <v>169</v>
      </c>
      <c r="O61" s="2">
        <v>0.50138888888888899</v>
      </c>
      <c r="P61" s="2">
        <v>0.59236111111111101</v>
      </c>
      <c r="Q61" s="2">
        <v>0.59861111111111098</v>
      </c>
      <c r="R61">
        <v>169</v>
      </c>
      <c r="S61">
        <v>131</v>
      </c>
      <c r="T61" s="2">
        <v>0.59883101851851805</v>
      </c>
      <c r="U61" s="2">
        <v>0.64930555555555602</v>
      </c>
      <c r="V61">
        <v>73</v>
      </c>
    </row>
    <row r="62" spans="1:25" ht="15" customHeight="1" x14ac:dyDescent="0.2">
      <c r="A62" s="1">
        <v>46238</v>
      </c>
      <c r="B62" t="s">
        <v>42</v>
      </c>
      <c r="C62" t="s">
        <v>43</v>
      </c>
      <c r="D62" t="s">
        <v>28</v>
      </c>
      <c r="E62" t="s">
        <v>29</v>
      </c>
      <c r="F62" s="2">
        <v>0.53611111111111098</v>
      </c>
      <c r="G62" s="2">
        <v>0.60694444444444395</v>
      </c>
      <c r="H62">
        <v>102</v>
      </c>
      <c r="I62" s="3">
        <v>0.52083333333333304</v>
      </c>
      <c r="J62" s="2">
        <v>0.59375</v>
      </c>
      <c r="K62">
        <v>105</v>
      </c>
      <c r="L62" s="2">
        <v>0.53611111111111098</v>
      </c>
      <c r="M62" s="2">
        <v>0.60347222222222197</v>
      </c>
      <c r="N62">
        <v>97</v>
      </c>
      <c r="O62" s="2">
        <v>0.55763888888888902</v>
      </c>
      <c r="P62" s="2">
        <v>0.6</v>
      </c>
      <c r="Q62" s="2">
        <v>0.60347222222222197</v>
      </c>
      <c r="R62">
        <v>97</v>
      </c>
      <c r="S62">
        <v>61</v>
      </c>
      <c r="T62" s="2">
        <v>0.60952546296296295</v>
      </c>
      <c r="U62" s="2">
        <v>0.64861111111111103</v>
      </c>
      <c r="V62">
        <v>57</v>
      </c>
      <c r="W62" s="2">
        <v>0.64930555555555602</v>
      </c>
      <c r="X62" s="2">
        <v>0.70625000000000004</v>
      </c>
      <c r="Y62">
        <v>82</v>
      </c>
    </row>
    <row r="63" spans="1:25" ht="15" customHeight="1" x14ac:dyDescent="0.2">
      <c r="A63" s="1">
        <v>46238</v>
      </c>
      <c r="B63" t="s">
        <v>42</v>
      </c>
      <c r="C63" t="s">
        <v>43</v>
      </c>
      <c r="D63" t="s">
        <v>28</v>
      </c>
      <c r="E63" t="s">
        <v>31</v>
      </c>
      <c r="F63" s="2">
        <v>0.31666666666666698</v>
      </c>
      <c r="G63" s="2">
        <v>0.37777777777777799</v>
      </c>
      <c r="H63">
        <v>88</v>
      </c>
      <c r="I63" s="3">
        <v>0.3125</v>
      </c>
      <c r="J63" s="2">
        <v>0.375</v>
      </c>
      <c r="K63">
        <v>90</v>
      </c>
      <c r="L63" s="2">
        <v>0.31666666666666698</v>
      </c>
      <c r="M63" s="2">
        <v>0.37361111111111101</v>
      </c>
      <c r="N63">
        <v>82</v>
      </c>
      <c r="O63" s="2">
        <v>0.329166666666667</v>
      </c>
      <c r="P63" s="2">
        <v>0.37013888888888902</v>
      </c>
      <c r="Q63" s="2">
        <v>0.37361111111111101</v>
      </c>
      <c r="R63">
        <v>82</v>
      </c>
      <c r="S63">
        <v>59</v>
      </c>
      <c r="T63" s="2">
        <v>0.37655092592592598</v>
      </c>
      <c r="U63" s="2">
        <v>0.41736111111111102</v>
      </c>
      <c r="V63">
        <v>59</v>
      </c>
      <c r="W63" s="2">
        <v>0.41805555555555601</v>
      </c>
      <c r="X63" s="2">
        <v>0.47083333333333299</v>
      </c>
      <c r="Y63">
        <v>76</v>
      </c>
    </row>
    <row r="64" spans="1:25" ht="15" customHeight="1" x14ac:dyDescent="0.2">
      <c r="A64" s="1">
        <v>46238</v>
      </c>
      <c r="B64" t="s">
        <v>26</v>
      </c>
      <c r="C64" t="s">
        <v>27</v>
      </c>
      <c r="D64" t="s">
        <v>34</v>
      </c>
      <c r="E64" t="s">
        <v>36</v>
      </c>
      <c r="F64" s="2">
        <v>0.27013888888888898</v>
      </c>
      <c r="G64" s="2">
        <v>0.56388888888888899</v>
      </c>
      <c r="H64">
        <v>423</v>
      </c>
      <c r="I64" s="3">
        <v>0.26041666666666702</v>
      </c>
      <c r="J64" s="2">
        <v>0.46875</v>
      </c>
      <c r="K64">
        <v>300</v>
      </c>
      <c r="L64" s="2">
        <v>0.27013888888888898</v>
      </c>
      <c r="M64" s="2">
        <v>0.55486111111111103</v>
      </c>
      <c r="N64">
        <v>410</v>
      </c>
      <c r="O64" s="2">
        <v>0.36666666666666697</v>
      </c>
      <c r="P64" s="2">
        <v>0.54513888888888895</v>
      </c>
      <c r="Q64" s="2">
        <v>0.55486111111111103</v>
      </c>
      <c r="R64">
        <v>410</v>
      </c>
      <c r="S64">
        <v>257</v>
      </c>
    </row>
    <row r="65" spans="1:25" ht="15" customHeight="1" x14ac:dyDescent="0.2">
      <c r="A65" s="1">
        <v>46238</v>
      </c>
      <c r="B65" t="s">
        <v>42</v>
      </c>
      <c r="C65" t="s">
        <v>43</v>
      </c>
      <c r="D65" t="s">
        <v>28</v>
      </c>
      <c r="E65" t="s">
        <v>31</v>
      </c>
      <c r="F65" s="2">
        <v>0.531944444444444</v>
      </c>
      <c r="G65" s="2">
        <v>0.57777777777777795</v>
      </c>
      <c r="H65">
        <v>66</v>
      </c>
      <c r="I65" s="3">
        <v>0.54166666666666696</v>
      </c>
      <c r="J65" s="2">
        <v>0.58333333333333304</v>
      </c>
      <c r="K65">
        <v>60</v>
      </c>
      <c r="L65" s="2">
        <v>0.531944444444444</v>
      </c>
      <c r="M65" s="2">
        <v>0.57499999999999996</v>
      </c>
      <c r="N65">
        <v>62</v>
      </c>
      <c r="O65" s="2">
        <v>0.54583333333333295</v>
      </c>
      <c r="P65" s="2">
        <v>0.57152777777777797</v>
      </c>
      <c r="Q65" s="2">
        <v>0.57499999999999996</v>
      </c>
      <c r="R65">
        <v>62</v>
      </c>
      <c r="S65">
        <v>37</v>
      </c>
      <c r="T65" s="2">
        <v>0.57777777777777795</v>
      </c>
      <c r="U65" s="2">
        <v>0.594444444444444</v>
      </c>
      <c r="V65">
        <v>24</v>
      </c>
      <c r="W65" s="2">
        <v>0.59513888888888899</v>
      </c>
      <c r="X65" s="2">
        <v>0.62152777777777801</v>
      </c>
      <c r="Y65">
        <v>38</v>
      </c>
    </row>
    <row r="66" spans="1:25" ht="15" customHeight="1" x14ac:dyDescent="0.2">
      <c r="A66" s="1">
        <v>46238</v>
      </c>
      <c r="B66" t="s">
        <v>26</v>
      </c>
      <c r="C66" t="s">
        <v>27</v>
      </c>
      <c r="D66" t="s">
        <v>34</v>
      </c>
      <c r="E66" t="s">
        <v>29</v>
      </c>
      <c r="F66" s="2">
        <v>0.31111111111111101</v>
      </c>
      <c r="G66" s="2">
        <v>0.44722222222222202</v>
      </c>
      <c r="H66">
        <v>196</v>
      </c>
      <c r="I66" s="3">
        <v>0.3125</v>
      </c>
      <c r="J66" s="2">
        <v>0.48958333333333298</v>
      </c>
      <c r="K66">
        <v>255</v>
      </c>
      <c r="L66" s="2">
        <v>0.31111111111111101</v>
      </c>
      <c r="M66" s="2">
        <v>0.44097222222222199</v>
      </c>
      <c r="N66">
        <v>187</v>
      </c>
      <c r="O66" s="2">
        <v>0.344444444444444</v>
      </c>
      <c r="P66" s="2">
        <v>0.42847222222222198</v>
      </c>
      <c r="Q66" s="2">
        <v>0.44097222222222199</v>
      </c>
      <c r="R66">
        <v>187</v>
      </c>
      <c r="S66">
        <v>121</v>
      </c>
      <c r="T66" s="2">
        <v>0.44097222222222199</v>
      </c>
      <c r="U66" s="2">
        <v>0.46115740740740702</v>
      </c>
      <c r="V66">
        <v>29</v>
      </c>
    </row>
    <row r="67" spans="1:25" ht="15" customHeight="1" x14ac:dyDescent="0.2">
      <c r="A67" s="1">
        <v>46238</v>
      </c>
      <c r="B67" t="s">
        <v>42</v>
      </c>
      <c r="C67" t="s">
        <v>43</v>
      </c>
      <c r="D67" t="s">
        <v>28</v>
      </c>
      <c r="E67" t="s">
        <v>31</v>
      </c>
      <c r="F67" s="2">
        <v>0.58680555555555602</v>
      </c>
      <c r="G67" s="2">
        <v>0.61597222222222203</v>
      </c>
      <c r="H67">
        <v>42</v>
      </c>
      <c r="I67" s="3">
        <v>0.5625</v>
      </c>
      <c r="J67" s="2">
        <v>0.60416666666666696</v>
      </c>
      <c r="K67">
        <v>60</v>
      </c>
      <c r="L67" s="2">
        <v>0.58680555555555602</v>
      </c>
      <c r="M67" s="2">
        <v>0.61041666666666705</v>
      </c>
      <c r="N67">
        <v>34</v>
      </c>
      <c r="O67" s="2">
        <v>0.59791666666666698</v>
      </c>
      <c r="P67" s="2">
        <v>0.60694444444444395</v>
      </c>
      <c r="Q67" s="2">
        <v>0.61041666666666705</v>
      </c>
      <c r="R67">
        <v>34</v>
      </c>
      <c r="S67">
        <v>13</v>
      </c>
      <c r="T67" s="2">
        <v>0.61180555555555605</v>
      </c>
      <c r="U67" s="2">
        <v>0.63611111111111096</v>
      </c>
      <c r="V67">
        <v>35</v>
      </c>
      <c r="W67" s="2">
        <v>0.63680555555555596</v>
      </c>
      <c r="X67" s="2">
        <v>0.64652777777777803</v>
      </c>
      <c r="Y67">
        <v>14</v>
      </c>
    </row>
    <row r="68" spans="1:25" ht="15" customHeight="1" x14ac:dyDescent="0.2">
      <c r="A68" s="1">
        <v>46238</v>
      </c>
      <c r="B68" t="s">
        <v>42</v>
      </c>
      <c r="C68" t="s">
        <v>43</v>
      </c>
      <c r="D68" t="s">
        <v>38</v>
      </c>
      <c r="E68" t="s">
        <v>35</v>
      </c>
      <c r="F68" s="2">
        <v>0.61111111111111105</v>
      </c>
      <c r="G68" s="2">
        <v>0.64097222222222205</v>
      </c>
      <c r="H68">
        <v>43</v>
      </c>
      <c r="I68" s="3">
        <v>0.60416666666666696</v>
      </c>
      <c r="J68" s="2">
        <v>0.64583333333333304</v>
      </c>
      <c r="K68">
        <v>60</v>
      </c>
      <c r="L68" s="2">
        <v>0.61111111111111105</v>
      </c>
      <c r="M68" s="2">
        <v>0.63611111111111096</v>
      </c>
      <c r="N68">
        <v>36</v>
      </c>
      <c r="O68" s="2">
        <v>0.61944444444444402</v>
      </c>
      <c r="P68" s="2">
        <v>0.63472222222222197</v>
      </c>
      <c r="Q68" s="2">
        <v>0.63611111111111096</v>
      </c>
      <c r="R68">
        <v>36</v>
      </c>
      <c r="S68">
        <v>22</v>
      </c>
      <c r="T68" s="2">
        <v>0.63888888888888895</v>
      </c>
      <c r="U68" s="2">
        <v>0.65416666666666701</v>
      </c>
      <c r="V68">
        <v>22</v>
      </c>
      <c r="W68" s="2">
        <v>0.65486111111111101</v>
      </c>
      <c r="X68" s="2">
        <v>0.67916666666666703</v>
      </c>
      <c r="Y68">
        <v>35</v>
      </c>
    </row>
    <row r="69" spans="1:25" ht="15" customHeight="1" x14ac:dyDescent="0.2">
      <c r="A69" s="1">
        <v>46238</v>
      </c>
      <c r="B69" t="s">
        <v>42</v>
      </c>
      <c r="C69" t="s">
        <v>43</v>
      </c>
      <c r="D69" t="s">
        <v>28</v>
      </c>
      <c r="E69" t="s">
        <v>31</v>
      </c>
      <c r="F69" s="2">
        <v>0.33055555555555599</v>
      </c>
      <c r="G69" s="2">
        <v>0.43402777777777801</v>
      </c>
      <c r="H69">
        <v>149</v>
      </c>
      <c r="I69" s="3">
        <v>0.3125</v>
      </c>
      <c r="J69" s="2">
        <v>0.39583333333333298</v>
      </c>
      <c r="K69">
        <v>120</v>
      </c>
      <c r="L69" s="2">
        <v>0.33055555555555599</v>
      </c>
      <c r="M69" s="2">
        <v>0.42777777777777798</v>
      </c>
      <c r="N69">
        <v>140</v>
      </c>
      <c r="O69" s="2">
        <v>0.34791666666666698</v>
      </c>
      <c r="P69" s="2">
        <v>0.422916666666667</v>
      </c>
      <c r="Q69" s="2">
        <v>0.42777777777777798</v>
      </c>
      <c r="R69">
        <v>140</v>
      </c>
      <c r="S69">
        <v>108</v>
      </c>
      <c r="T69" s="2">
        <v>0.429108796296296</v>
      </c>
      <c r="U69" s="2">
        <v>0.50138888888888899</v>
      </c>
      <c r="V69">
        <v>105</v>
      </c>
    </row>
    <row r="70" spans="1:25" ht="15" customHeight="1" x14ac:dyDescent="0.2">
      <c r="A70" s="1">
        <v>46238</v>
      </c>
      <c r="B70" t="s">
        <v>42</v>
      </c>
      <c r="C70" t="s">
        <v>43</v>
      </c>
      <c r="D70" t="s">
        <v>28</v>
      </c>
      <c r="E70" t="s">
        <v>29</v>
      </c>
      <c r="F70" s="2">
        <v>0.40833333333333299</v>
      </c>
      <c r="G70" s="2">
        <v>0.46041666666666697</v>
      </c>
      <c r="H70">
        <v>75</v>
      </c>
      <c r="I70" s="3">
        <v>0.40625</v>
      </c>
      <c r="J70" s="2">
        <v>0.45833333333333298</v>
      </c>
      <c r="K70">
        <v>75</v>
      </c>
      <c r="L70" s="2">
        <v>0.40833333333333299</v>
      </c>
      <c r="M70" s="2">
        <v>0.45694444444444399</v>
      </c>
      <c r="N70">
        <v>70</v>
      </c>
      <c r="O70" s="2">
        <v>0.42986111111111103</v>
      </c>
      <c r="P70" s="2">
        <v>0.45138888888888901</v>
      </c>
      <c r="Q70" s="2">
        <v>0.45694444444444399</v>
      </c>
      <c r="R70">
        <v>70</v>
      </c>
      <c r="S70">
        <v>31</v>
      </c>
      <c r="T70" s="2">
        <v>0.46031250000000001</v>
      </c>
      <c r="U70" s="2">
        <v>0.47222222222222199</v>
      </c>
      <c r="V70">
        <v>18</v>
      </c>
      <c r="W70" s="2">
        <v>0.47291666666666698</v>
      </c>
      <c r="X70" s="2">
        <v>0.49652777777777801</v>
      </c>
      <c r="Y70">
        <v>34</v>
      </c>
    </row>
    <row r="71" spans="1:25" ht="15" customHeight="1" x14ac:dyDescent="0.2">
      <c r="A71" s="1">
        <v>46238</v>
      </c>
      <c r="B71" t="s">
        <v>26</v>
      </c>
      <c r="C71" t="s">
        <v>27</v>
      </c>
      <c r="D71" t="s">
        <v>28</v>
      </c>
      <c r="E71" t="s">
        <v>29</v>
      </c>
      <c r="F71" s="2">
        <v>0.31388888888888899</v>
      </c>
      <c r="G71" s="2">
        <v>0.38402777777777802</v>
      </c>
      <c r="H71">
        <v>101</v>
      </c>
      <c r="I71" s="3">
        <v>0.3125</v>
      </c>
      <c r="J71" s="2">
        <v>0.38541666666666702</v>
      </c>
      <c r="K71">
        <v>105</v>
      </c>
      <c r="L71" s="2">
        <v>0.31388888888888899</v>
      </c>
      <c r="M71" s="2">
        <v>0.38055555555555598</v>
      </c>
      <c r="N71">
        <v>96</v>
      </c>
      <c r="O71" s="2">
        <v>0.33680555555555602</v>
      </c>
      <c r="P71" s="2">
        <v>0.375694444444444</v>
      </c>
      <c r="Q71" s="2">
        <v>0.38055555555555598</v>
      </c>
      <c r="R71">
        <v>96</v>
      </c>
      <c r="S71">
        <v>56</v>
      </c>
      <c r="T71" s="2">
        <v>0.38194444444444398</v>
      </c>
      <c r="U71" s="2">
        <v>0.39791666666666697</v>
      </c>
      <c r="V71">
        <v>23</v>
      </c>
      <c r="W71" s="2">
        <v>0.39791666666666697</v>
      </c>
      <c r="X71" s="2">
        <v>0.53472222222222199</v>
      </c>
      <c r="Y71">
        <v>197</v>
      </c>
    </row>
    <row r="72" spans="1:25" ht="15" customHeight="1" x14ac:dyDescent="0.2">
      <c r="A72" s="1">
        <v>46238</v>
      </c>
      <c r="B72" t="s">
        <v>26</v>
      </c>
      <c r="C72" t="s">
        <v>27</v>
      </c>
      <c r="D72" t="s">
        <v>28</v>
      </c>
      <c r="E72" t="s">
        <v>29</v>
      </c>
      <c r="F72" s="2">
        <v>0.48680555555555599</v>
      </c>
      <c r="G72" s="2">
        <v>0.57013888888888897</v>
      </c>
      <c r="H72">
        <v>120</v>
      </c>
      <c r="I72" s="3">
        <v>0.47916666666666702</v>
      </c>
      <c r="J72" s="2">
        <v>0.58333333333333304</v>
      </c>
      <c r="K72">
        <v>150</v>
      </c>
      <c r="L72" s="2">
        <v>0.48680555555555599</v>
      </c>
      <c r="M72" s="2">
        <v>0.56597222222222199</v>
      </c>
      <c r="N72">
        <v>114</v>
      </c>
      <c r="O72" s="2">
        <v>0.52500000000000002</v>
      </c>
      <c r="P72" s="2">
        <v>0.56041666666666701</v>
      </c>
      <c r="Q72" s="2">
        <v>0.56597222222222199</v>
      </c>
      <c r="R72">
        <v>114</v>
      </c>
      <c r="S72">
        <v>51</v>
      </c>
      <c r="T72" s="2">
        <v>0.56736111111111098</v>
      </c>
      <c r="U72" s="2">
        <v>0.58958333333333302</v>
      </c>
      <c r="V72">
        <v>32</v>
      </c>
    </row>
    <row r="73" spans="1:25" ht="15" customHeight="1" x14ac:dyDescent="0.2">
      <c r="A73" s="1">
        <v>46238</v>
      </c>
      <c r="B73" t="s">
        <v>42</v>
      </c>
      <c r="C73" t="s">
        <v>43</v>
      </c>
      <c r="D73" t="s">
        <v>28</v>
      </c>
      <c r="E73" t="s">
        <v>29</v>
      </c>
      <c r="F73" s="2">
        <v>0.41666666666666702</v>
      </c>
      <c r="G73" s="2">
        <v>0.47083333333333299</v>
      </c>
      <c r="H73">
        <v>78</v>
      </c>
      <c r="I73" s="3">
        <v>0.41666666666666702</v>
      </c>
      <c r="J73" s="2">
        <v>0.46875</v>
      </c>
      <c r="K73">
        <v>75</v>
      </c>
      <c r="L73" s="2">
        <v>0.41666666666666702</v>
      </c>
      <c r="M73" s="2">
        <v>0.46666666666666701</v>
      </c>
      <c r="N73">
        <v>72</v>
      </c>
      <c r="O73" s="2">
        <v>0.43125000000000002</v>
      </c>
      <c r="P73" s="2">
        <v>0.46250000000000002</v>
      </c>
      <c r="Q73" s="2">
        <v>0.46666666666666701</v>
      </c>
      <c r="R73">
        <v>72</v>
      </c>
      <c r="S73">
        <v>45</v>
      </c>
      <c r="T73" s="2">
        <v>0.46935185185185202</v>
      </c>
      <c r="U73" s="2">
        <v>0.52013888888888904</v>
      </c>
      <c r="V73">
        <v>74</v>
      </c>
      <c r="W73" s="2">
        <v>0.52083333333333304</v>
      </c>
      <c r="X73" s="2">
        <v>0.56026620370370395</v>
      </c>
      <c r="Y73">
        <v>56</v>
      </c>
    </row>
    <row r="74" spans="1:25" ht="15" customHeight="1" x14ac:dyDescent="0.2">
      <c r="A74" s="1">
        <v>46238</v>
      </c>
      <c r="B74" t="s">
        <v>26</v>
      </c>
      <c r="C74" t="s">
        <v>27</v>
      </c>
      <c r="D74" t="s">
        <v>28</v>
      </c>
      <c r="E74" t="s">
        <v>29</v>
      </c>
      <c r="F74" s="2">
        <v>0.31597222222222199</v>
      </c>
      <c r="G74" s="2">
        <v>0.4375</v>
      </c>
      <c r="H74">
        <v>175</v>
      </c>
      <c r="I74" s="3">
        <v>0.3125</v>
      </c>
      <c r="J74" s="2">
        <v>0.4375</v>
      </c>
      <c r="K74">
        <v>180</v>
      </c>
      <c r="L74" s="2">
        <v>0.31597222222222199</v>
      </c>
      <c r="M74" s="2">
        <v>0.43194444444444402</v>
      </c>
      <c r="N74">
        <v>167</v>
      </c>
      <c r="O74" s="2">
        <v>0.35</v>
      </c>
      <c r="P74" s="2">
        <v>0.422222222222222</v>
      </c>
      <c r="Q74" s="2">
        <v>0.43194444444444402</v>
      </c>
      <c r="R74">
        <v>167</v>
      </c>
      <c r="S74">
        <v>104</v>
      </c>
      <c r="T74" s="2">
        <v>0.43312499999999998</v>
      </c>
      <c r="U74" s="2">
        <v>0.51041666666666696</v>
      </c>
      <c r="V74">
        <v>112</v>
      </c>
    </row>
    <row r="75" spans="1:25" ht="15" customHeight="1" x14ac:dyDescent="0.2">
      <c r="A75" s="1">
        <v>46238</v>
      </c>
      <c r="B75" t="s">
        <v>26</v>
      </c>
      <c r="C75" t="s">
        <v>27</v>
      </c>
      <c r="D75" t="s">
        <v>28</v>
      </c>
      <c r="E75" t="s">
        <v>36</v>
      </c>
      <c r="F75" s="2">
        <v>0.47499999999999998</v>
      </c>
      <c r="G75" s="2">
        <v>0.61527777777777803</v>
      </c>
      <c r="H75">
        <v>202</v>
      </c>
      <c r="I75" s="3">
        <v>0.45833333333333298</v>
      </c>
      <c r="J75" s="2">
        <v>0.5625</v>
      </c>
      <c r="K75">
        <v>150</v>
      </c>
      <c r="L75" s="2">
        <v>0.47499999999999998</v>
      </c>
      <c r="M75" s="2">
        <v>0.60763888888888895</v>
      </c>
      <c r="N75">
        <v>191</v>
      </c>
      <c r="O75" s="2">
        <v>0.49097222222222198</v>
      </c>
      <c r="P75" s="2">
        <v>0.57569444444444395</v>
      </c>
      <c r="Q75" s="2">
        <v>0.60763888888888895</v>
      </c>
      <c r="R75">
        <v>191</v>
      </c>
      <c r="S75">
        <v>122</v>
      </c>
    </row>
    <row r="76" spans="1:25" ht="15" customHeight="1" x14ac:dyDescent="0.2">
      <c r="A76" s="1">
        <v>46238</v>
      </c>
      <c r="B76" t="s">
        <v>42</v>
      </c>
      <c r="C76" t="s">
        <v>43</v>
      </c>
      <c r="D76" t="s">
        <v>34</v>
      </c>
      <c r="E76" t="s">
        <v>29</v>
      </c>
      <c r="F76" s="2">
        <v>0.61527777777777803</v>
      </c>
      <c r="G76" s="2">
        <v>0.69652777777777797</v>
      </c>
      <c r="H76">
        <v>117</v>
      </c>
      <c r="I76" s="3">
        <v>0.59375</v>
      </c>
      <c r="J76" s="2">
        <v>0.67708333333333304</v>
      </c>
      <c r="K76">
        <v>120</v>
      </c>
      <c r="L76" s="2">
        <v>0.61527777777777803</v>
      </c>
      <c r="M76" s="2">
        <v>0.68958333333333299</v>
      </c>
      <c r="N76">
        <v>107</v>
      </c>
      <c r="O76" s="2">
        <v>0.64583333333333304</v>
      </c>
      <c r="P76" s="2">
        <v>0.68402777777777801</v>
      </c>
      <c r="Q76" s="2">
        <v>0.68958333333333299</v>
      </c>
      <c r="R76">
        <v>107</v>
      </c>
      <c r="S76">
        <v>55</v>
      </c>
      <c r="T76" s="2">
        <v>0.69305555555555598</v>
      </c>
      <c r="U76" s="2">
        <v>0.72916666666666696</v>
      </c>
      <c r="V76">
        <v>52</v>
      </c>
      <c r="W76" s="2">
        <v>0.72986111111111096</v>
      </c>
      <c r="X76" s="2">
        <v>0.78472222222222199</v>
      </c>
      <c r="Y76">
        <v>79</v>
      </c>
    </row>
    <row r="77" spans="1:25" ht="15" customHeight="1" x14ac:dyDescent="0.2">
      <c r="A77" s="1">
        <v>46238</v>
      </c>
      <c r="B77" t="s">
        <v>42</v>
      </c>
      <c r="C77" t="s">
        <v>43</v>
      </c>
      <c r="D77" t="s">
        <v>28</v>
      </c>
      <c r="E77" t="s">
        <v>35</v>
      </c>
      <c r="F77" s="2">
        <v>0.46736111111111101</v>
      </c>
      <c r="G77" s="2">
        <v>0.51180555555555596</v>
      </c>
      <c r="H77">
        <v>64</v>
      </c>
      <c r="I77" s="3">
        <v>0.46875</v>
      </c>
      <c r="J77" s="2">
        <v>0.5</v>
      </c>
      <c r="K77">
        <v>45</v>
      </c>
      <c r="L77" s="2">
        <v>0.46736111111111101</v>
      </c>
      <c r="M77" s="2">
        <v>0.50902777777777797</v>
      </c>
      <c r="N77">
        <v>60</v>
      </c>
      <c r="O77" s="2">
        <v>0.49305555555555602</v>
      </c>
      <c r="P77" s="2">
        <v>0.50486111111111098</v>
      </c>
      <c r="Q77" s="2">
        <v>0.50902777777777797</v>
      </c>
      <c r="R77">
        <v>60</v>
      </c>
      <c r="S77">
        <v>17</v>
      </c>
      <c r="T77" s="2">
        <v>0.51041666666666696</v>
      </c>
      <c r="U77" s="2">
        <v>0.52847222222222201</v>
      </c>
      <c r="V77">
        <v>26</v>
      </c>
      <c r="W77" s="2">
        <v>0.52916666666666701</v>
      </c>
      <c r="X77" s="2">
        <v>0.59166666666666701</v>
      </c>
      <c r="Y77">
        <v>90</v>
      </c>
    </row>
    <row r="78" spans="1:25" ht="15" customHeight="1" x14ac:dyDescent="0.2">
      <c r="A78" s="1">
        <v>46238</v>
      </c>
      <c r="B78" t="s">
        <v>26</v>
      </c>
      <c r="C78" t="s">
        <v>27</v>
      </c>
      <c r="D78" t="s">
        <v>28</v>
      </c>
      <c r="E78" t="s">
        <v>36</v>
      </c>
      <c r="F78" s="2">
        <v>0.40277777777777801</v>
      </c>
      <c r="G78" s="2">
        <v>0.73055555555555596</v>
      </c>
      <c r="H78">
        <v>472</v>
      </c>
      <c r="I78" s="3">
        <v>0.39583333333333298</v>
      </c>
      <c r="J78" s="2">
        <v>0.625</v>
      </c>
      <c r="K78">
        <v>330</v>
      </c>
      <c r="L78" s="2">
        <v>0.40277777777777801</v>
      </c>
      <c r="M78" s="2">
        <v>0.71875</v>
      </c>
      <c r="N78">
        <v>455</v>
      </c>
      <c r="O78" s="2">
        <v>0.48749999999999999</v>
      </c>
      <c r="P78" s="2">
        <v>0.69027777777777799</v>
      </c>
      <c r="Q78" s="2">
        <v>0.71875</v>
      </c>
      <c r="R78">
        <v>455</v>
      </c>
      <c r="S78">
        <v>292</v>
      </c>
    </row>
    <row r="79" spans="1:25" ht="15" customHeight="1" x14ac:dyDescent="0.2">
      <c r="A79" s="1">
        <v>46238</v>
      </c>
      <c r="B79" t="s">
        <v>26</v>
      </c>
      <c r="C79" t="s">
        <v>27</v>
      </c>
      <c r="D79" t="s">
        <v>38</v>
      </c>
      <c r="E79" t="s">
        <v>29</v>
      </c>
      <c r="F79" s="2">
        <v>0.68333333333333302</v>
      </c>
      <c r="G79" s="2">
        <v>0.72499999999999998</v>
      </c>
      <c r="H79">
        <v>60</v>
      </c>
      <c r="I79" s="3">
        <v>0.66666666666666696</v>
      </c>
      <c r="J79" s="2">
        <v>0.70833333333333304</v>
      </c>
      <c r="K79">
        <v>60</v>
      </c>
      <c r="L79" s="2">
        <v>0.68333333333333302</v>
      </c>
      <c r="M79" s="2">
        <v>0.71875</v>
      </c>
      <c r="N79">
        <v>51</v>
      </c>
      <c r="O79" s="2">
        <v>0.69791666666666696</v>
      </c>
      <c r="P79" s="2">
        <v>0.71527777777777801</v>
      </c>
      <c r="Q79" s="2">
        <v>0.71875</v>
      </c>
      <c r="R79">
        <v>51</v>
      </c>
      <c r="S79">
        <v>25</v>
      </c>
      <c r="T79" s="2">
        <v>0.72186342592592601</v>
      </c>
      <c r="U79" s="2">
        <v>0.74240740740740696</v>
      </c>
      <c r="V79">
        <v>30</v>
      </c>
    </row>
    <row r="80" spans="1:25" ht="15" customHeight="1" x14ac:dyDescent="0.2">
      <c r="A80" s="1">
        <v>46238</v>
      </c>
      <c r="B80" t="s">
        <v>26</v>
      </c>
      <c r="C80" t="s">
        <v>27</v>
      </c>
      <c r="D80" t="s">
        <v>28</v>
      </c>
      <c r="E80" t="s">
        <v>29</v>
      </c>
      <c r="F80" s="2">
        <v>0.63263888888888897</v>
      </c>
      <c r="G80" s="2">
        <v>0.67638888888888904</v>
      </c>
      <c r="H80">
        <v>63</v>
      </c>
      <c r="I80" s="3">
        <v>0.64583333333333304</v>
      </c>
      <c r="J80" s="2">
        <v>0.69444444444444398</v>
      </c>
      <c r="K80">
        <v>70</v>
      </c>
      <c r="L80" s="2">
        <v>0.63263888888888897</v>
      </c>
      <c r="M80" s="2">
        <v>0.67013888888888895</v>
      </c>
      <c r="N80">
        <v>54</v>
      </c>
      <c r="O80" s="2">
        <v>0.65833333333333299</v>
      </c>
      <c r="P80" s="2">
        <v>0.66458333333333297</v>
      </c>
      <c r="Q80" s="2">
        <v>0.67013888888888895</v>
      </c>
      <c r="R80">
        <v>54</v>
      </c>
      <c r="S80">
        <v>9</v>
      </c>
      <c r="T80" s="2">
        <v>0.67361111111111105</v>
      </c>
      <c r="U80" s="2">
        <v>0.71592592592592597</v>
      </c>
      <c r="V80">
        <v>60</v>
      </c>
    </row>
    <row r="81" spans="1:25" ht="15" customHeight="1" x14ac:dyDescent="0.2">
      <c r="A81" s="1">
        <v>46238</v>
      </c>
      <c r="B81" t="s">
        <v>26</v>
      </c>
      <c r="C81" t="s">
        <v>27</v>
      </c>
      <c r="D81" t="s">
        <v>34</v>
      </c>
      <c r="E81" t="s">
        <v>31</v>
      </c>
      <c r="F81" s="2">
        <v>0.60624999999999996</v>
      </c>
      <c r="G81" s="2">
        <v>0.66666666666666696</v>
      </c>
      <c r="H81">
        <v>87</v>
      </c>
      <c r="I81" s="3">
        <v>0.60416666666666696</v>
      </c>
      <c r="J81" s="2">
        <v>0.69791666666666696</v>
      </c>
      <c r="K81">
        <v>135</v>
      </c>
      <c r="L81" s="2">
        <v>0.60624999999999996</v>
      </c>
      <c r="M81" s="2">
        <v>0.66388888888888897</v>
      </c>
      <c r="N81">
        <v>83</v>
      </c>
      <c r="O81" s="2">
        <v>0.624305555555556</v>
      </c>
      <c r="P81" s="2">
        <v>0.65902777777777799</v>
      </c>
      <c r="Q81" s="2">
        <v>0.66388888888888897</v>
      </c>
      <c r="R81">
        <v>83</v>
      </c>
      <c r="S81">
        <v>50</v>
      </c>
      <c r="T81" s="2">
        <v>0.66497685185185196</v>
      </c>
      <c r="U81" s="2">
        <v>0.69861111111111096</v>
      </c>
      <c r="V81">
        <v>49</v>
      </c>
    </row>
    <row r="82" spans="1:25" ht="15" customHeight="1" x14ac:dyDescent="0.2">
      <c r="A82" s="1">
        <v>46238</v>
      </c>
      <c r="B82" t="s">
        <v>26</v>
      </c>
      <c r="C82" t="s">
        <v>27</v>
      </c>
      <c r="D82" t="s">
        <v>28</v>
      </c>
      <c r="E82" t="s">
        <v>29</v>
      </c>
      <c r="F82" s="2">
        <v>0.50902777777777797</v>
      </c>
      <c r="G82" s="2">
        <v>0.62152777777777801</v>
      </c>
      <c r="H82">
        <v>162</v>
      </c>
      <c r="I82" s="3">
        <v>0.5</v>
      </c>
      <c r="J82" s="2">
        <v>0.59375</v>
      </c>
      <c r="K82">
        <v>135</v>
      </c>
      <c r="L82" s="2">
        <v>0.50902777777777797</v>
      </c>
      <c r="M82" s="2">
        <v>0.62152777777777801</v>
      </c>
      <c r="N82">
        <v>162</v>
      </c>
      <c r="O82" s="2">
        <v>0.55208333333333304</v>
      </c>
      <c r="P82" s="2">
        <v>0.60555555555555596</v>
      </c>
      <c r="Q82" s="2">
        <v>0.62152777777777801</v>
      </c>
      <c r="R82">
        <v>162</v>
      </c>
      <c r="S82">
        <v>77</v>
      </c>
    </row>
    <row r="83" spans="1:25" ht="15" customHeight="1" x14ac:dyDescent="0.2">
      <c r="A83" s="1">
        <v>46238</v>
      </c>
      <c r="B83" t="s">
        <v>26</v>
      </c>
      <c r="C83" t="s">
        <v>27</v>
      </c>
      <c r="D83" t="s">
        <v>28</v>
      </c>
      <c r="E83" t="s">
        <v>31</v>
      </c>
      <c r="F83" s="2">
        <v>0.67916666666666703</v>
      </c>
      <c r="G83" s="2">
        <v>0.75763888888888897</v>
      </c>
      <c r="H83">
        <v>113</v>
      </c>
      <c r="I83" s="3">
        <v>0.6875</v>
      </c>
      <c r="J83" s="2">
        <v>0.78472222222222199</v>
      </c>
      <c r="K83">
        <v>140</v>
      </c>
      <c r="L83" s="2">
        <v>0.67916666666666703</v>
      </c>
      <c r="M83" s="2">
        <v>0.75416666666666698</v>
      </c>
      <c r="N83">
        <v>108</v>
      </c>
      <c r="O83" s="2">
        <v>0.70208333333333295</v>
      </c>
      <c r="P83" s="2">
        <v>0.75138888888888899</v>
      </c>
      <c r="Q83" s="2">
        <v>0.75416666666666698</v>
      </c>
      <c r="R83">
        <v>108</v>
      </c>
      <c r="S83">
        <v>71</v>
      </c>
      <c r="T83" s="2">
        <v>0.75555555555555598</v>
      </c>
      <c r="U83" s="2">
        <v>0.813194444444444</v>
      </c>
      <c r="V83">
        <v>83</v>
      </c>
    </row>
    <row r="84" spans="1:25" ht="15" customHeight="1" x14ac:dyDescent="0.2">
      <c r="A84" s="1">
        <v>46238</v>
      </c>
      <c r="B84" t="s">
        <v>42</v>
      </c>
      <c r="C84" t="s">
        <v>43</v>
      </c>
      <c r="D84" t="s">
        <v>28</v>
      </c>
      <c r="E84" t="s">
        <v>29</v>
      </c>
      <c r="F84" s="2">
        <v>0.40833333333333299</v>
      </c>
      <c r="G84" s="2">
        <v>0.51180555555555596</v>
      </c>
      <c r="H84">
        <v>149</v>
      </c>
      <c r="I84" s="3">
        <v>0.39583333333333298</v>
      </c>
      <c r="J84" s="2">
        <v>0.5</v>
      </c>
      <c r="K84">
        <v>150</v>
      </c>
      <c r="L84" s="2">
        <v>0.40833333333333299</v>
      </c>
      <c r="M84" s="2">
        <v>0.50763888888888897</v>
      </c>
      <c r="N84">
        <v>143</v>
      </c>
      <c r="O84" s="2">
        <v>0.42777777777777798</v>
      </c>
      <c r="P84" s="2">
        <v>0.50277777777777799</v>
      </c>
      <c r="Q84" s="2">
        <v>0.50763888888888897</v>
      </c>
      <c r="R84">
        <v>143</v>
      </c>
      <c r="S84">
        <v>108</v>
      </c>
      <c r="T84" s="2">
        <v>0.51041666666666696</v>
      </c>
      <c r="U84" s="2">
        <v>0.54236111111111096</v>
      </c>
      <c r="V84">
        <v>46</v>
      </c>
      <c r="W84" s="2">
        <v>0.54305555555555596</v>
      </c>
      <c r="X84" s="2">
        <v>0.57013888888888897</v>
      </c>
      <c r="Y84">
        <v>39</v>
      </c>
    </row>
    <row r="85" spans="1:25" ht="15" customHeight="1" x14ac:dyDescent="0.2">
      <c r="A85" s="1">
        <v>46238</v>
      </c>
      <c r="B85" t="s">
        <v>42</v>
      </c>
      <c r="C85" t="s">
        <v>43</v>
      </c>
      <c r="D85" t="s">
        <v>28</v>
      </c>
      <c r="E85" t="s">
        <v>31</v>
      </c>
      <c r="F85" s="2">
        <v>0.4375</v>
      </c>
      <c r="G85" s="2">
        <v>0.50486111111111098</v>
      </c>
      <c r="H85">
        <v>97</v>
      </c>
      <c r="I85" s="3">
        <v>0.42708333333333298</v>
      </c>
      <c r="J85" s="2">
        <v>0.49305555555555602</v>
      </c>
      <c r="K85">
        <v>95</v>
      </c>
      <c r="L85" s="2">
        <v>0.4375</v>
      </c>
      <c r="M85" s="2">
        <v>0.50138888888888899</v>
      </c>
      <c r="N85">
        <v>92</v>
      </c>
      <c r="O85" s="2">
        <v>0.454166666666667</v>
      </c>
      <c r="P85" s="2">
        <v>0.49305555555555602</v>
      </c>
      <c r="Q85" s="2">
        <v>0.50138888888888899</v>
      </c>
      <c r="R85">
        <v>92</v>
      </c>
      <c r="S85">
        <v>56</v>
      </c>
      <c r="T85" s="2">
        <v>0.50208333333333299</v>
      </c>
      <c r="U85" s="2">
        <v>0.55277777777777803</v>
      </c>
      <c r="V85">
        <v>73</v>
      </c>
    </row>
    <row r="86" spans="1:25" ht="15" customHeight="1" x14ac:dyDescent="0.2">
      <c r="A86" s="1">
        <v>46238</v>
      </c>
      <c r="B86" t="s">
        <v>26</v>
      </c>
      <c r="C86" t="s">
        <v>27</v>
      </c>
      <c r="D86" t="s">
        <v>34</v>
      </c>
      <c r="E86" t="s">
        <v>35</v>
      </c>
      <c r="F86" s="2">
        <v>0.54305555555555596</v>
      </c>
      <c r="G86" s="2">
        <v>0.60624999999999996</v>
      </c>
      <c r="H86">
        <v>91</v>
      </c>
      <c r="I86" s="3">
        <v>0.54166666666666696</v>
      </c>
      <c r="J86" s="2">
        <v>0.61458333333333304</v>
      </c>
      <c r="K86">
        <v>105</v>
      </c>
      <c r="L86" s="2">
        <v>0.54097222222222197</v>
      </c>
      <c r="M86" s="2">
        <v>0.60138888888888897</v>
      </c>
      <c r="N86">
        <v>87</v>
      </c>
      <c r="O86" s="2">
        <v>0.55902777777777801</v>
      </c>
      <c r="P86" s="2">
        <v>0.59791666666666698</v>
      </c>
      <c r="Q86" s="2">
        <v>0.60138888888888897</v>
      </c>
      <c r="R86">
        <v>87</v>
      </c>
      <c r="S86">
        <v>56</v>
      </c>
      <c r="T86" s="2">
        <v>0.60416666666666696</v>
      </c>
      <c r="U86" s="2">
        <v>0.64296296296296296</v>
      </c>
      <c r="V86">
        <v>55</v>
      </c>
    </row>
    <row r="87" spans="1:25" ht="15" customHeight="1" x14ac:dyDescent="0.2">
      <c r="A87" s="1">
        <v>46238</v>
      </c>
      <c r="B87" t="s">
        <v>26</v>
      </c>
      <c r="C87" t="s">
        <v>27</v>
      </c>
      <c r="D87" t="s">
        <v>28</v>
      </c>
      <c r="E87" t="s">
        <v>36</v>
      </c>
      <c r="F87" s="2">
        <v>0.65069444444444402</v>
      </c>
      <c r="G87" s="2">
        <v>0.73888888888888904</v>
      </c>
      <c r="H87">
        <v>127</v>
      </c>
      <c r="I87" s="3">
        <v>0.66666666666666696</v>
      </c>
      <c r="J87" s="2">
        <v>0.76388888888888895</v>
      </c>
      <c r="K87">
        <v>140</v>
      </c>
      <c r="L87" s="2">
        <v>0.65069444444444402</v>
      </c>
      <c r="M87" s="2">
        <v>0.73263888888888895</v>
      </c>
      <c r="N87">
        <v>118</v>
      </c>
      <c r="O87" s="2">
        <v>0.66527777777777797</v>
      </c>
      <c r="P87" s="2">
        <v>0.72499999999999998</v>
      </c>
      <c r="Q87" s="2">
        <v>0.73263888888888895</v>
      </c>
      <c r="R87">
        <v>118</v>
      </c>
      <c r="S87">
        <v>86</v>
      </c>
    </row>
    <row r="88" spans="1:25" ht="15" customHeight="1" x14ac:dyDescent="0.2">
      <c r="A88" s="1">
        <v>46238</v>
      </c>
      <c r="B88" t="s">
        <v>26</v>
      </c>
      <c r="C88" t="s">
        <v>27</v>
      </c>
      <c r="D88" t="s">
        <v>28</v>
      </c>
      <c r="E88" t="s">
        <v>31</v>
      </c>
      <c r="F88" s="2">
        <v>0.74791666666666701</v>
      </c>
      <c r="G88" s="2">
        <v>0.82083333333333297</v>
      </c>
      <c r="H88">
        <v>105</v>
      </c>
      <c r="I88" s="3">
        <v>0.72916666666666696</v>
      </c>
      <c r="J88" s="2">
        <v>0.79861111111111105</v>
      </c>
      <c r="K88">
        <v>100</v>
      </c>
      <c r="L88" s="2">
        <v>0.74791666666666701</v>
      </c>
      <c r="M88" s="2">
        <v>0.81736111111111098</v>
      </c>
      <c r="N88">
        <v>100</v>
      </c>
      <c r="O88" s="2">
        <v>0.76875000000000004</v>
      </c>
      <c r="P88" s="2">
        <v>0.80277777777777803</v>
      </c>
      <c r="Q88" s="2">
        <v>0.81736111111111098</v>
      </c>
      <c r="R88">
        <v>100</v>
      </c>
      <c r="S88">
        <v>49</v>
      </c>
      <c r="T88" s="2">
        <v>0.81805555555555598</v>
      </c>
      <c r="U88" s="2">
        <v>0.88194444444444398</v>
      </c>
      <c r="V88">
        <v>92</v>
      </c>
    </row>
    <row r="89" spans="1:25" ht="15" customHeight="1" x14ac:dyDescent="0.2">
      <c r="A89" s="1">
        <v>46238</v>
      </c>
      <c r="B89" t="s">
        <v>42</v>
      </c>
      <c r="C89" t="s">
        <v>43</v>
      </c>
      <c r="D89" t="s">
        <v>34</v>
      </c>
      <c r="E89" t="s">
        <v>31</v>
      </c>
      <c r="F89" s="2">
        <v>0.468055555555556</v>
      </c>
      <c r="G89" s="2">
        <v>0.59027777777777801</v>
      </c>
      <c r="H89">
        <v>176</v>
      </c>
      <c r="I89" s="3">
        <v>0.44791666666666702</v>
      </c>
      <c r="J89" s="2">
        <v>0.57291666666666696</v>
      </c>
      <c r="K89">
        <v>180</v>
      </c>
      <c r="L89" s="2">
        <v>0.468055555555556</v>
      </c>
      <c r="M89" s="2">
        <v>0.58333333333333304</v>
      </c>
      <c r="N89">
        <v>166</v>
      </c>
      <c r="O89" s="2">
        <v>0.49861111111111101</v>
      </c>
      <c r="P89" s="2">
        <v>0.57986111111111105</v>
      </c>
      <c r="Q89" s="2">
        <v>0.58333333333333304</v>
      </c>
      <c r="R89">
        <v>166</v>
      </c>
      <c r="S89">
        <v>117</v>
      </c>
      <c r="T89" s="2">
        <v>0.58541666666666703</v>
      </c>
      <c r="U89" s="2">
        <v>0.61527777777777803</v>
      </c>
      <c r="V89">
        <v>43</v>
      </c>
      <c r="W89" s="2">
        <v>0.61597222222222203</v>
      </c>
      <c r="X89" s="2">
        <v>0.69513888888888897</v>
      </c>
      <c r="Y89">
        <v>114</v>
      </c>
    </row>
    <row r="90" spans="1:25" ht="15" customHeight="1" x14ac:dyDescent="0.2">
      <c r="A90" s="1">
        <v>46238</v>
      </c>
      <c r="B90" t="s">
        <v>42</v>
      </c>
      <c r="C90" t="s">
        <v>43</v>
      </c>
      <c r="D90" t="s">
        <v>28</v>
      </c>
      <c r="E90" t="s">
        <v>35</v>
      </c>
      <c r="F90" s="2">
        <v>0.3125</v>
      </c>
      <c r="G90" s="2">
        <v>0.34375</v>
      </c>
      <c r="H90">
        <v>45</v>
      </c>
      <c r="I90" s="3">
        <v>0.3125</v>
      </c>
      <c r="J90" s="2">
        <v>0.34375</v>
      </c>
      <c r="K90">
        <v>45</v>
      </c>
      <c r="L90" s="2">
        <v>0.3125</v>
      </c>
      <c r="M90" s="2">
        <v>0.34027777777777801</v>
      </c>
      <c r="N90">
        <v>40</v>
      </c>
      <c r="O90" s="2">
        <v>0.327083333333333</v>
      </c>
      <c r="P90" s="2">
        <v>0.33750000000000002</v>
      </c>
      <c r="Q90" s="2">
        <v>0.34027777777777801</v>
      </c>
      <c r="R90">
        <v>40</v>
      </c>
      <c r="S90">
        <v>15</v>
      </c>
      <c r="T90" s="2">
        <v>0.34375</v>
      </c>
      <c r="U90" s="2">
        <v>0.36458333333333298</v>
      </c>
      <c r="V90">
        <v>30</v>
      </c>
      <c r="W90" s="2">
        <v>0.36527777777777798</v>
      </c>
      <c r="X90" s="2">
        <v>0.36805555555555602</v>
      </c>
      <c r="Y90">
        <v>4</v>
      </c>
    </row>
    <row r="91" spans="1:25" ht="15" customHeight="1" x14ac:dyDescent="0.2">
      <c r="A91" s="1">
        <v>46238</v>
      </c>
      <c r="B91" t="s">
        <v>42</v>
      </c>
      <c r="C91" t="s">
        <v>43</v>
      </c>
      <c r="D91" t="s">
        <v>28</v>
      </c>
      <c r="E91" t="s">
        <v>31</v>
      </c>
      <c r="F91" s="2">
        <v>0.64027777777777795</v>
      </c>
      <c r="G91" s="2">
        <v>0.67291666666666705</v>
      </c>
      <c r="H91">
        <v>47</v>
      </c>
      <c r="I91" s="3">
        <v>0.625</v>
      </c>
      <c r="J91" s="2">
        <v>0.65625</v>
      </c>
      <c r="K91">
        <v>45</v>
      </c>
      <c r="L91" s="2">
        <v>0.64027777777777795</v>
      </c>
      <c r="M91" s="2">
        <v>0.66736111111111096</v>
      </c>
      <c r="N91">
        <v>39</v>
      </c>
      <c r="O91" s="2">
        <v>0.65208333333333302</v>
      </c>
      <c r="P91" s="2">
        <v>0.66319444444444398</v>
      </c>
      <c r="Q91" s="2">
        <v>0.66736111111111096</v>
      </c>
      <c r="R91">
        <v>39</v>
      </c>
      <c r="S91">
        <v>16</v>
      </c>
      <c r="T91" s="2">
        <v>0.67074074074074097</v>
      </c>
      <c r="U91" s="2">
        <v>0.71690972222222205</v>
      </c>
      <c r="V91">
        <v>67</v>
      </c>
      <c r="W91" s="2">
        <v>0.71699074074074098</v>
      </c>
      <c r="X91" s="2">
        <v>0.720405092592593</v>
      </c>
      <c r="Y91">
        <v>5</v>
      </c>
    </row>
    <row r="92" spans="1:25" ht="15" customHeight="1" x14ac:dyDescent="0.2">
      <c r="A92" s="1">
        <v>46238</v>
      </c>
      <c r="B92" t="s">
        <v>42</v>
      </c>
      <c r="C92" t="s">
        <v>43</v>
      </c>
      <c r="D92" t="s">
        <v>28</v>
      </c>
      <c r="E92" t="s">
        <v>31</v>
      </c>
      <c r="F92" s="2">
        <v>0.36597222222222198</v>
      </c>
      <c r="G92" s="2">
        <v>0.39722222222222198</v>
      </c>
      <c r="H92">
        <v>45</v>
      </c>
      <c r="I92" s="3">
        <v>0.36458333333333298</v>
      </c>
      <c r="J92" s="2">
        <v>0.39583333333333298</v>
      </c>
      <c r="K92">
        <v>45</v>
      </c>
      <c r="L92" s="2">
        <v>0.36597222222222198</v>
      </c>
      <c r="M92" s="2">
        <v>0.39513888888888898</v>
      </c>
      <c r="N92">
        <v>42</v>
      </c>
      <c r="O92" s="2">
        <v>0.37986111111111098</v>
      </c>
      <c r="P92" s="2">
        <v>0.390972222222222</v>
      </c>
      <c r="Q92" s="2">
        <v>0.39513888888888898</v>
      </c>
      <c r="R92">
        <v>42</v>
      </c>
      <c r="S92">
        <v>16</v>
      </c>
      <c r="T92" s="2">
        <v>0.39652777777777798</v>
      </c>
      <c r="U92" s="2">
        <v>0.41736111111111102</v>
      </c>
      <c r="V92">
        <v>30</v>
      </c>
      <c r="W92" s="2">
        <v>0.41805555555555601</v>
      </c>
      <c r="X92" s="2">
        <v>0.43541666666666701</v>
      </c>
      <c r="Y92">
        <v>25</v>
      </c>
    </row>
    <row r="93" spans="1:25" ht="15" customHeight="1" x14ac:dyDescent="0.2">
      <c r="A93" s="1">
        <v>46238</v>
      </c>
      <c r="B93" t="s">
        <v>42</v>
      </c>
      <c r="C93" t="s">
        <v>43</v>
      </c>
      <c r="D93" t="s">
        <v>28</v>
      </c>
      <c r="E93" t="s">
        <v>31</v>
      </c>
      <c r="F93" s="2">
        <v>0.41597222222222202</v>
      </c>
      <c r="G93" s="2">
        <v>0.44444444444444398</v>
      </c>
      <c r="H93">
        <v>41</v>
      </c>
      <c r="I93" s="3">
        <v>0.41666666666666702</v>
      </c>
      <c r="J93" s="2">
        <v>0.44791666666666702</v>
      </c>
      <c r="K93">
        <v>45</v>
      </c>
      <c r="L93" s="2">
        <v>0.41597222222222202</v>
      </c>
      <c r="M93" s="2">
        <v>0.44236111111111098</v>
      </c>
      <c r="N93">
        <v>38</v>
      </c>
      <c r="O93" s="2">
        <v>0.42638888888888898</v>
      </c>
      <c r="P93" s="2">
        <v>0.43888888888888899</v>
      </c>
      <c r="Q93" s="2">
        <v>0.44236111111111098</v>
      </c>
      <c r="R93">
        <v>38</v>
      </c>
      <c r="S93">
        <v>18</v>
      </c>
      <c r="T93" s="2">
        <v>0.44305555555555598</v>
      </c>
      <c r="U93" s="2">
        <v>0.48958333333333298</v>
      </c>
      <c r="V93">
        <v>67</v>
      </c>
      <c r="W93" s="2">
        <v>0.49027777777777798</v>
      </c>
      <c r="X93" s="2">
        <v>0.54166666666666696</v>
      </c>
      <c r="Y93">
        <v>74</v>
      </c>
    </row>
    <row r="94" spans="1:25" ht="15" customHeight="1" x14ac:dyDescent="0.2">
      <c r="A94" s="1">
        <v>46238</v>
      </c>
      <c r="B94" t="s">
        <v>42</v>
      </c>
      <c r="C94" t="s">
        <v>43</v>
      </c>
      <c r="D94" t="s">
        <v>28</v>
      </c>
      <c r="E94" t="s">
        <v>31</v>
      </c>
      <c r="F94" s="2">
        <v>0.37708333333333299</v>
      </c>
      <c r="G94" s="2">
        <v>0.41111111111111098</v>
      </c>
      <c r="H94">
        <v>49</v>
      </c>
      <c r="I94" s="3">
        <v>0.375</v>
      </c>
      <c r="J94" s="2">
        <v>0.41666666666666702</v>
      </c>
      <c r="K94">
        <v>60</v>
      </c>
      <c r="L94" s="2">
        <v>0.37708333333333299</v>
      </c>
      <c r="M94" s="2">
        <v>0.40625</v>
      </c>
      <c r="N94">
        <v>42</v>
      </c>
      <c r="O94" s="2">
        <v>0.38750000000000001</v>
      </c>
      <c r="P94" s="2">
        <v>0.4</v>
      </c>
      <c r="Q94" s="2">
        <v>0.40625</v>
      </c>
      <c r="R94">
        <v>42</v>
      </c>
      <c r="S94">
        <v>18</v>
      </c>
      <c r="T94" s="2">
        <v>0.410023148148148</v>
      </c>
      <c r="U94" s="2">
        <v>0.42430555555555599</v>
      </c>
      <c r="V94">
        <v>21</v>
      </c>
      <c r="W94" s="2">
        <v>0.42499999999999999</v>
      </c>
      <c r="X94" s="2">
        <v>0.45486111111111099</v>
      </c>
      <c r="Y94">
        <v>43</v>
      </c>
    </row>
    <row r="95" spans="1:25" ht="15" customHeight="1" x14ac:dyDescent="0.2">
      <c r="A95" s="1">
        <v>46238</v>
      </c>
      <c r="B95" t="s">
        <v>42</v>
      </c>
      <c r="C95" t="s">
        <v>43</v>
      </c>
      <c r="D95" t="s">
        <v>28</v>
      </c>
      <c r="E95" t="s">
        <v>31</v>
      </c>
      <c r="F95" s="2">
        <v>0.32013888888888897</v>
      </c>
      <c r="G95" s="2">
        <v>0.35555555555555601</v>
      </c>
      <c r="H95">
        <v>51</v>
      </c>
      <c r="I95" s="3">
        <v>0.3125</v>
      </c>
      <c r="J95" s="2">
        <v>0.35416666666666702</v>
      </c>
      <c r="K95">
        <v>60</v>
      </c>
      <c r="L95" s="2">
        <v>0.32013888888888897</v>
      </c>
      <c r="M95" s="2">
        <v>0.35</v>
      </c>
      <c r="N95">
        <v>43</v>
      </c>
      <c r="O95" s="2">
        <v>0.33541666666666697</v>
      </c>
      <c r="P95" s="2">
        <v>0.34513888888888899</v>
      </c>
      <c r="Q95" s="2">
        <v>0.35</v>
      </c>
      <c r="R95">
        <v>43</v>
      </c>
      <c r="S95">
        <v>14</v>
      </c>
      <c r="T95" s="2">
        <v>0.35208333333333303</v>
      </c>
      <c r="U95" s="2">
        <v>0.375694444444444</v>
      </c>
      <c r="V95">
        <v>34</v>
      </c>
      <c r="W95" s="2">
        <v>0.37638888888888899</v>
      </c>
      <c r="X95" s="2">
        <v>0.389583333333333</v>
      </c>
      <c r="Y95">
        <v>19</v>
      </c>
    </row>
    <row r="96" spans="1:25" ht="15" customHeight="1" x14ac:dyDescent="0.2">
      <c r="A96" s="1">
        <v>46239</v>
      </c>
      <c r="B96" t="s">
        <v>26</v>
      </c>
      <c r="C96" t="s">
        <v>27</v>
      </c>
      <c r="D96" t="s">
        <v>34</v>
      </c>
      <c r="E96" t="s">
        <v>36</v>
      </c>
      <c r="F96" s="2">
        <v>0.26874999999999999</v>
      </c>
      <c r="G96" s="2">
        <v>0.54861111111111105</v>
      </c>
      <c r="H96">
        <v>403</v>
      </c>
      <c r="I96" s="3">
        <v>0.26041666666666702</v>
      </c>
      <c r="J96" s="2">
        <v>0.51041666666666696</v>
      </c>
      <c r="K96">
        <v>360</v>
      </c>
      <c r="L96" s="2">
        <v>0.26874999999999999</v>
      </c>
      <c r="M96" s="2">
        <v>0.531944444444444</v>
      </c>
      <c r="N96">
        <v>379</v>
      </c>
      <c r="O96" s="2">
        <v>0.34791666666666698</v>
      </c>
      <c r="P96" s="2">
        <v>0.52152777777777803</v>
      </c>
      <c r="Q96" s="2">
        <v>0.531944444444444</v>
      </c>
      <c r="R96">
        <v>379</v>
      </c>
      <c r="S96">
        <v>250</v>
      </c>
    </row>
    <row r="97" spans="1:25" ht="15" customHeight="1" x14ac:dyDescent="0.2">
      <c r="A97" s="1">
        <v>46239</v>
      </c>
      <c r="B97" t="s">
        <v>26</v>
      </c>
      <c r="C97" t="s">
        <v>27</v>
      </c>
      <c r="D97" t="s">
        <v>28</v>
      </c>
      <c r="E97" t="s">
        <v>29</v>
      </c>
      <c r="F97" s="2">
        <v>0.31805555555555598</v>
      </c>
      <c r="G97" s="2">
        <v>0.44027777777777799</v>
      </c>
      <c r="H97">
        <v>176</v>
      </c>
      <c r="I97" s="3">
        <v>0.3125</v>
      </c>
      <c r="J97" s="2">
        <v>0.44791666666666702</v>
      </c>
      <c r="K97">
        <v>195</v>
      </c>
      <c r="L97" s="2">
        <v>0.31805555555555598</v>
      </c>
      <c r="M97" s="2">
        <v>0.436805555555556</v>
      </c>
      <c r="N97">
        <v>171</v>
      </c>
      <c r="O97" s="2">
        <v>0.344444444444444</v>
      </c>
      <c r="P97" s="2">
        <v>0.43125000000000002</v>
      </c>
      <c r="Q97" s="2">
        <v>0.436805555555556</v>
      </c>
      <c r="R97">
        <v>171</v>
      </c>
      <c r="S97">
        <v>125</v>
      </c>
      <c r="T97" s="2">
        <v>0.438194444444444</v>
      </c>
      <c r="U97" s="2">
        <v>0.60624999999999996</v>
      </c>
      <c r="V97">
        <v>242</v>
      </c>
    </row>
    <row r="98" spans="1:25" ht="15" customHeight="1" x14ac:dyDescent="0.2">
      <c r="A98" s="1">
        <v>46239</v>
      </c>
      <c r="B98" t="s">
        <v>42</v>
      </c>
      <c r="C98" t="s">
        <v>43</v>
      </c>
      <c r="D98" t="s">
        <v>28</v>
      </c>
      <c r="E98" t="s">
        <v>35</v>
      </c>
      <c r="F98" s="2">
        <v>0.4375</v>
      </c>
      <c r="G98" s="2">
        <v>0.49097222222222198</v>
      </c>
      <c r="H98">
        <v>77</v>
      </c>
      <c r="I98" s="3">
        <v>0.42708333333333298</v>
      </c>
      <c r="J98" s="2">
        <v>0.47916666666666702</v>
      </c>
      <c r="K98">
        <v>75</v>
      </c>
      <c r="L98" s="2">
        <v>0.4375</v>
      </c>
      <c r="M98" s="2">
        <v>0.48888888888888898</v>
      </c>
      <c r="N98">
        <v>74</v>
      </c>
      <c r="O98" s="2">
        <v>0.46180555555555602</v>
      </c>
      <c r="P98" s="2">
        <v>0.48263888888888901</v>
      </c>
      <c r="Q98" s="2">
        <v>0.48888888888888898</v>
      </c>
      <c r="R98">
        <v>74</v>
      </c>
      <c r="S98">
        <v>30</v>
      </c>
      <c r="T98" s="2">
        <v>0.49083333333333301</v>
      </c>
      <c r="U98" s="2">
        <v>0.516354166666667</v>
      </c>
      <c r="V98">
        <v>37</v>
      </c>
      <c r="W98" s="2">
        <v>0.51636574074074104</v>
      </c>
      <c r="X98" s="2">
        <v>0.55899305555555601</v>
      </c>
      <c r="Y98">
        <v>61</v>
      </c>
    </row>
    <row r="99" spans="1:25" ht="15" customHeight="1" x14ac:dyDescent="0.2">
      <c r="A99" s="1">
        <v>46239</v>
      </c>
      <c r="B99" t="s">
        <v>42</v>
      </c>
      <c r="C99" t="s">
        <v>43</v>
      </c>
      <c r="D99" t="s">
        <v>28</v>
      </c>
      <c r="E99" t="s">
        <v>31</v>
      </c>
      <c r="F99" s="2">
        <v>0.3125</v>
      </c>
      <c r="G99" s="2">
        <v>0.34791666666666698</v>
      </c>
      <c r="H99">
        <v>51</v>
      </c>
      <c r="I99" s="3">
        <v>0.3125</v>
      </c>
      <c r="J99" s="2">
        <v>0.34375</v>
      </c>
      <c r="K99">
        <v>45</v>
      </c>
      <c r="L99" s="2">
        <v>0.3125</v>
      </c>
      <c r="M99" s="2">
        <v>0.34583333333333299</v>
      </c>
      <c r="N99">
        <v>48</v>
      </c>
      <c r="O99" s="2">
        <v>0.33194444444444399</v>
      </c>
      <c r="P99" s="2">
        <v>0.33680555555555602</v>
      </c>
      <c r="Q99" s="2">
        <v>0.34583333333333299</v>
      </c>
      <c r="R99">
        <v>48</v>
      </c>
      <c r="S99">
        <v>7</v>
      </c>
      <c r="T99" s="2">
        <v>0.346828703703704</v>
      </c>
      <c r="U99" s="2">
        <v>0.35642361111111098</v>
      </c>
      <c r="V99">
        <v>14</v>
      </c>
      <c r="W99" s="2">
        <v>0.35644675925925901</v>
      </c>
      <c r="X99" s="2">
        <v>0.40625</v>
      </c>
      <c r="Y99">
        <v>72</v>
      </c>
    </row>
    <row r="100" spans="1:25" ht="15" customHeight="1" x14ac:dyDescent="0.2">
      <c r="A100" s="1">
        <v>46239</v>
      </c>
      <c r="B100" t="s">
        <v>42</v>
      </c>
      <c r="C100" t="s">
        <v>43</v>
      </c>
      <c r="D100" t="s">
        <v>28</v>
      </c>
      <c r="E100" t="s">
        <v>31</v>
      </c>
      <c r="F100" s="2">
        <v>0.31597222222222199</v>
      </c>
      <c r="G100" s="2">
        <v>0.43333333333333302</v>
      </c>
      <c r="H100">
        <v>169</v>
      </c>
      <c r="I100" s="3">
        <v>0.3125</v>
      </c>
      <c r="J100" s="2">
        <v>0.4375</v>
      </c>
      <c r="K100">
        <v>180</v>
      </c>
      <c r="L100" s="2">
        <v>0.31597222222222199</v>
      </c>
      <c r="M100" s="2">
        <v>0.42777777777777798</v>
      </c>
      <c r="N100">
        <v>161</v>
      </c>
      <c r="O100" s="2">
        <v>0.33819444444444402</v>
      </c>
      <c r="P100" s="2">
        <v>0.421527777777778</v>
      </c>
      <c r="Q100" s="2">
        <v>0.42777777777777798</v>
      </c>
      <c r="R100">
        <v>161</v>
      </c>
      <c r="S100">
        <v>120</v>
      </c>
      <c r="T100" s="2">
        <v>0.42986111111111103</v>
      </c>
      <c r="U100" s="2">
        <v>0.46752314814814799</v>
      </c>
      <c r="V100">
        <v>54</v>
      </c>
      <c r="W100" s="2">
        <v>0.46756944444444398</v>
      </c>
      <c r="X100" s="2">
        <v>0.51245370370370402</v>
      </c>
      <c r="Y100">
        <v>64</v>
      </c>
    </row>
    <row r="101" spans="1:25" ht="15" customHeight="1" x14ac:dyDescent="0.2">
      <c r="A101" s="1">
        <v>46239</v>
      </c>
      <c r="B101" t="s">
        <v>42</v>
      </c>
      <c r="C101" t="s">
        <v>43</v>
      </c>
      <c r="D101" t="s">
        <v>28</v>
      </c>
      <c r="E101" t="s">
        <v>29</v>
      </c>
      <c r="F101" s="2">
        <v>0.32013888888888897</v>
      </c>
      <c r="G101" s="2">
        <v>0.37291666666666701</v>
      </c>
      <c r="H101">
        <v>76</v>
      </c>
      <c r="I101" s="3">
        <v>0.3125</v>
      </c>
      <c r="J101" s="2">
        <v>0.34375</v>
      </c>
      <c r="K101">
        <v>45</v>
      </c>
      <c r="L101" s="2">
        <v>0.32013888888888897</v>
      </c>
      <c r="M101" s="2">
        <v>0.36805555555555602</v>
      </c>
      <c r="N101">
        <v>69</v>
      </c>
      <c r="O101" s="2">
        <v>0.33263888888888898</v>
      </c>
      <c r="P101" s="2">
        <v>0.36319444444444399</v>
      </c>
      <c r="Q101" s="2">
        <v>0.36805555555555602</v>
      </c>
      <c r="R101">
        <v>69</v>
      </c>
      <c r="S101">
        <v>44</v>
      </c>
      <c r="T101" s="2">
        <v>0.36805555555555602</v>
      </c>
      <c r="U101" s="2">
        <v>0.47499999999999998</v>
      </c>
      <c r="V101">
        <v>154</v>
      </c>
      <c r="W101" s="2">
        <v>0.47569444444444398</v>
      </c>
      <c r="X101" s="2">
        <v>0.52546296296296302</v>
      </c>
      <c r="Y101">
        <v>71</v>
      </c>
    </row>
    <row r="102" spans="1:25" ht="15" customHeight="1" x14ac:dyDescent="0.2">
      <c r="A102" s="1">
        <v>46239</v>
      </c>
      <c r="B102" t="s">
        <v>42</v>
      </c>
      <c r="C102" t="s">
        <v>43</v>
      </c>
      <c r="D102" t="s">
        <v>28</v>
      </c>
      <c r="E102" t="s">
        <v>31</v>
      </c>
      <c r="F102" s="2">
        <v>0.390277777777778</v>
      </c>
      <c r="G102" s="2">
        <v>0.42986111111111103</v>
      </c>
      <c r="H102">
        <v>57</v>
      </c>
      <c r="I102" s="3">
        <v>0.36458333333333298</v>
      </c>
      <c r="J102" s="2">
        <v>0.41666666666666702</v>
      </c>
      <c r="K102">
        <v>75</v>
      </c>
      <c r="L102" s="2">
        <v>0.390277777777778</v>
      </c>
      <c r="M102" s="2">
        <v>0.42361111111111099</v>
      </c>
      <c r="N102">
        <v>48</v>
      </c>
      <c r="O102" s="2">
        <v>0.40138888888888902</v>
      </c>
      <c r="P102" s="2">
        <v>0.41805555555555601</v>
      </c>
      <c r="Q102" s="2">
        <v>0.42361111111111099</v>
      </c>
      <c r="R102">
        <v>48</v>
      </c>
      <c r="S102">
        <v>24</v>
      </c>
      <c r="T102" s="2">
        <v>0.42464120370370401</v>
      </c>
      <c r="U102" s="2">
        <v>0.468055555555556</v>
      </c>
      <c r="V102">
        <v>63</v>
      </c>
      <c r="W102" s="2">
        <v>0.46875</v>
      </c>
      <c r="X102" s="2">
        <v>0.61319444444444404</v>
      </c>
      <c r="Y102">
        <v>208</v>
      </c>
    </row>
    <row r="103" spans="1:25" ht="15" customHeight="1" x14ac:dyDescent="0.2">
      <c r="A103" s="1">
        <v>46239</v>
      </c>
      <c r="B103" t="s">
        <v>42</v>
      </c>
      <c r="C103" t="s">
        <v>43</v>
      </c>
      <c r="D103" t="s">
        <v>28</v>
      </c>
      <c r="E103" t="s">
        <v>29</v>
      </c>
      <c r="F103" s="2">
        <v>0.50624999999999998</v>
      </c>
      <c r="G103" s="2">
        <v>0.52986111111111101</v>
      </c>
      <c r="H103">
        <v>34</v>
      </c>
      <c r="I103" s="3">
        <v>0.5</v>
      </c>
      <c r="J103" s="2">
        <v>0.53125</v>
      </c>
      <c r="K103">
        <v>45</v>
      </c>
      <c r="L103" s="2">
        <v>0.50624999999999998</v>
      </c>
      <c r="M103" s="2">
        <v>0.52777777777777801</v>
      </c>
      <c r="N103">
        <v>31</v>
      </c>
      <c r="O103" s="2">
        <v>0.51875000000000004</v>
      </c>
      <c r="P103" s="2">
        <v>0.52291666666666703</v>
      </c>
      <c r="Q103" s="2">
        <v>0.52777777777777801</v>
      </c>
      <c r="R103">
        <v>31</v>
      </c>
      <c r="S103">
        <v>6</v>
      </c>
      <c r="T103" s="2">
        <v>0.52986111111111101</v>
      </c>
      <c r="U103" s="2">
        <v>0.56357638888888895</v>
      </c>
      <c r="V103">
        <v>48</v>
      </c>
      <c r="W103" s="2">
        <v>0.56361111111111095</v>
      </c>
      <c r="X103" s="2">
        <v>0.57887731481481497</v>
      </c>
      <c r="Y103">
        <v>22</v>
      </c>
    </row>
    <row r="104" spans="1:25" ht="15" customHeight="1" x14ac:dyDescent="0.2">
      <c r="A104" s="1">
        <v>46239</v>
      </c>
      <c r="B104" t="s">
        <v>26</v>
      </c>
      <c r="C104" t="s">
        <v>27</v>
      </c>
      <c r="D104" t="s">
        <v>34</v>
      </c>
      <c r="E104" t="s">
        <v>31</v>
      </c>
      <c r="F104" s="2">
        <v>0.53749999999999998</v>
      </c>
      <c r="G104" s="2">
        <v>0.60694444444444395</v>
      </c>
      <c r="H104">
        <v>100</v>
      </c>
      <c r="I104" s="3">
        <v>0.54166666666666696</v>
      </c>
      <c r="J104" s="2">
        <v>0.64583333333333304</v>
      </c>
      <c r="K104">
        <v>150</v>
      </c>
      <c r="L104" s="2">
        <v>0.53749999999999998</v>
      </c>
      <c r="M104" s="2">
        <v>0.60416666666666696</v>
      </c>
      <c r="N104">
        <v>96</v>
      </c>
      <c r="O104" s="2">
        <v>0.55347222222222203</v>
      </c>
      <c r="P104" s="2">
        <v>0.58819444444444402</v>
      </c>
      <c r="Q104" s="2">
        <v>0.60416666666666696</v>
      </c>
      <c r="R104">
        <v>96</v>
      </c>
      <c r="S104">
        <v>50</v>
      </c>
      <c r="T104" s="2">
        <v>0.60624999999999996</v>
      </c>
      <c r="U104" s="2">
        <v>0.67569444444444404</v>
      </c>
      <c r="V104">
        <v>100</v>
      </c>
    </row>
    <row r="105" spans="1:25" ht="15" customHeight="1" x14ac:dyDescent="0.2">
      <c r="A105" s="1">
        <v>46239</v>
      </c>
      <c r="B105" t="s">
        <v>42</v>
      </c>
      <c r="C105" t="s">
        <v>43</v>
      </c>
      <c r="D105" t="s">
        <v>28</v>
      </c>
      <c r="E105" t="s">
        <v>29</v>
      </c>
      <c r="F105" s="2">
        <v>0.47083333333333299</v>
      </c>
      <c r="G105" s="2">
        <v>0.530555555555556</v>
      </c>
      <c r="H105">
        <v>86</v>
      </c>
      <c r="I105" s="3">
        <v>0.46875</v>
      </c>
      <c r="J105" s="2">
        <v>0.53125</v>
      </c>
      <c r="K105">
        <v>90</v>
      </c>
      <c r="L105" s="2">
        <v>0.47083333333333299</v>
      </c>
      <c r="M105" s="2">
        <v>0.52569444444444402</v>
      </c>
      <c r="N105">
        <v>79</v>
      </c>
      <c r="O105" s="2">
        <v>0.48958333333333298</v>
      </c>
      <c r="P105" s="2">
        <v>0.52361111111111103</v>
      </c>
      <c r="Q105" s="2">
        <v>0.52569444444444402</v>
      </c>
      <c r="R105">
        <v>79</v>
      </c>
      <c r="S105">
        <v>49</v>
      </c>
      <c r="T105" s="2">
        <v>0.53047453703703695</v>
      </c>
      <c r="U105" s="2">
        <v>0.57013888888888897</v>
      </c>
      <c r="V105">
        <v>58</v>
      </c>
      <c r="W105" s="2">
        <v>0.57083333333333297</v>
      </c>
      <c r="X105" s="2">
        <v>0.60138888888888897</v>
      </c>
      <c r="Y105">
        <v>44</v>
      </c>
    </row>
    <row r="106" spans="1:25" ht="15" customHeight="1" x14ac:dyDescent="0.2">
      <c r="A106" s="1">
        <v>46239</v>
      </c>
      <c r="B106" t="s">
        <v>42</v>
      </c>
      <c r="C106" t="s">
        <v>43</v>
      </c>
      <c r="D106" t="s">
        <v>28</v>
      </c>
      <c r="E106" t="s">
        <v>29</v>
      </c>
      <c r="F106" s="2">
        <v>0.31736111111111098</v>
      </c>
      <c r="G106" s="2">
        <v>0.34861111111111098</v>
      </c>
      <c r="H106">
        <v>45</v>
      </c>
      <c r="I106" s="3">
        <v>0.3125</v>
      </c>
      <c r="J106" s="2">
        <v>0.34375</v>
      </c>
      <c r="K106">
        <v>45</v>
      </c>
      <c r="L106" s="2">
        <v>0.31736111111111098</v>
      </c>
      <c r="M106" s="2">
        <v>0.34375</v>
      </c>
      <c r="N106">
        <v>38</v>
      </c>
      <c r="O106" s="2">
        <v>0.329166666666667</v>
      </c>
      <c r="P106" s="2">
        <v>0.33750000000000002</v>
      </c>
      <c r="Q106" s="2">
        <v>0.34375</v>
      </c>
      <c r="R106">
        <v>38</v>
      </c>
      <c r="S106">
        <v>12</v>
      </c>
      <c r="T106" s="2">
        <v>0.34427083333333303</v>
      </c>
      <c r="U106" s="2">
        <v>0.375694444444444</v>
      </c>
      <c r="V106">
        <v>46</v>
      </c>
      <c r="W106" s="2">
        <v>0.37638888888888899</v>
      </c>
      <c r="X106" s="2">
        <v>0.45624999999999999</v>
      </c>
      <c r="Y106">
        <v>115</v>
      </c>
    </row>
    <row r="107" spans="1:25" ht="15" customHeight="1" x14ac:dyDescent="0.2">
      <c r="A107" s="1">
        <v>46239</v>
      </c>
      <c r="B107" t="s">
        <v>42</v>
      </c>
      <c r="C107" t="s">
        <v>43</v>
      </c>
      <c r="D107" t="s">
        <v>28</v>
      </c>
      <c r="E107" t="s">
        <v>35</v>
      </c>
      <c r="F107" s="2">
        <v>0.45555555555555599</v>
      </c>
      <c r="G107" s="2">
        <v>0.484722222222222</v>
      </c>
      <c r="H107">
        <v>42</v>
      </c>
      <c r="I107" s="3">
        <v>0.4375</v>
      </c>
      <c r="J107" s="2">
        <v>0.45833333333333298</v>
      </c>
      <c r="K107">
        <v>30</v>
      </c>
      <c r="L107" s="2">
        <v>0.45555555555555599</v>
      </c>
      <c r="M107" s="2">
        <v>0.47847222222222202</v>
      </c>
      <c r="N107">
        <v>33</v>
      </c>
      <c r="O107" s="2">
        <v>0.46180555555555602</v>
      </c>
      <c r="P107" s="2">
        <v>0.47291666666666698</v>
      </c>
      <c r="Q107" s="2">
        <v>0.47847222222222202</v>
      </c>
      <c r="R107">
        <v>33</v>
      </c>
      <c r="S107">
        <v>16</v>
      </c>
      <c r="T107" s="2">
        <v>0.48093750000000002</v>
      </c>
      <c r="U107" s="2">
        <v>0.51458333333333295</v>
      </c>
      <c r="V107">
        <v>49</v>
      </c>
      <c r="W107" s="2">
        <v>0.51527777777777795</v>
      </c>
      <c r="X107" s="2">
        <v>0.54236111111111096</v>
      </c>
      <c r="Y107">
        <v>39</v>
      </c>
    </row>
    <row r="108" spans="1:25" ht="15" customHeight="1" x14ac:dyDescent="0.2">
      <c r="A108" s="1">
        <v>46239</v>
      </c>
      <c r="B108" t="s">
        <v>42</v>
      </c>
      <c r="C108" t="s">
        <v>43</v>
      </c>
      <c r="D108" t="s">
        <v>28</v>
      </c>
      <c r="E108" t="s">
        <v>31</v>
      </c>
      <c r="F108" s="2">
        <v>0.36736111111111103</v>
      </c>
      <c r="G108" s="2">
        <v>0.40416666666666701</v>
      </c>
      <c r="H108">
        <v>53</v>
      </c>
      <c r="I108" s="3">
        <v>0.36458333333333298</v>
      </c>
      <c r="J108" s="2">
        <v>0.39583333333333298</v>
      </c>
      <c r="K108">
        <v>45</v>
      </c>
      <c r="L108" s="2">
        <v>0.36736111111111103</v>
      </c>
      <c r="M108" s="2">
        <v>0.39930555555555602</v>
      </c>
      <c r="N108">
        <v>46</v>
      </c>
      <c r="O108" s="2">
        <v>0.38680555555555601</v>
      </c>
      <c r="P108" s="2">
        <v>0.39583333333333298</v>
      </c>
      <c r="Q108" s="2">
        <v>0.39930555555555602</v>
      </c>
      <c r="R108">
        <v>46</v>
      </c>
      <c r="S108">
        <v>13</v>
      </c>
      <c r="T108" s="2">
        <v>0.39988425925925902</v>
      </c>
      <c r="U108" s="2">
        <v>0.42013888888888901</v>
      </c>
      <c r="V108">
        <v>30</v>
      </c>
      <c r="W108" s="2">
        <v>0.420833333333333</v>
      </c>
      <c r="X108" s="2">
        <v>0.48680555555555599</v>
      </c>
      <c r="Y108">
        <v>95</v>
      </c>
    </row>
    <row r="109" spans="1:25" ht="15" customHeight="1" x14ac:dyDescent="0.2">
      <c r="A109" s="1">
        <v>46239</v>
      </c>
      <c r="B109" t="s">
        <v>42</v>
      </c>
      <c r="C109" t="s">
        <v>43</v>
      </c>
      <c r="D109" t="s">
        <v>34</v>
      </c>
      <c r="E109" t="s">
        <v>31</v>
      </c>
      <c r="F109" s="2">
        <v>0.54652777777777795</v>
      </c>
      <c r="G109" s="2">
        <v>0.64652777777777803</v>
      </c>
      <c r="H109">
        <v>144</v>
      </c>
      <c r="I109" s="3">
        <v>0.46875</v>
      </c>
      <c r="J109" s="2">
        <v>0.57291666666666696</v>
      </c>
      <c r="K109">
        <v>150</v>
      </c>
      <c r="L109" s="2">
        <v>0.54652777777777795</v>
      </c>
      <c r="M109" s="2">
        <v>0.64097222222222205</v>
      </c>
      <c r="N109">
        <v>136</v>
      </c>
      <c r="O109" s="2">
        <v>0.56458333333333299</v>
      </c>
      <c r="P109" s="2">
        <v>0.63819444444444395</v>
      </c>
      <c r="Q109" s="2">
        <v>0.64097222222222205</v>
      </c>
      <c r="R109">
        <v>136</v>
      </c>
      <c r="S109">
        <v>106</v>
      </c>
      <c r="T109" s="2">
        <v>0.64444444444444404</v>
      </c>
      <c r="U109" s="2">
        <v>0.749305555555556</v>
      </c>
      <c r="V109">
        <v>151</v>
      </c>
      <c r="W109" s="2">
        <v>0.75</v>
      </c>
      <c r="X109" s="2">
        <v>0.81332175925925898</v>
      </c>
      <c r="Y109">
        <v>91</v>
      </c>
    </row>
    <row r="110" spans="1:25" ht="15" customHeight="1" x14ac:dyDescent="0.2">
      <c r="A110" s="1">
        <v>46239</v>
      </c>
      <c r="B110" t="s">
        <v>42</v>
      </c>
      <c r="C110" t="s">
        <v>43</v>
      </c>
      <c r="D110" t="s">
        <v>34</v>
      </c>
      <c r="E110" t="s">
        <v>35</v>
      </c>
      <c r="F110" s="2">
        <v>0.65972222222222199</v>
      </c>
      <c r="G110" s="2">
        <v>0.78333333333333299</v>
      </c>
      <c r="H110">
        <v>178</v>
      </c>
      <c r="I110" s="3">
        <v>0.66666666666666696</v>
      </c>
      <c r="J110" s="2">
        <v>0.75</v>
      </c>
      <c r="K110">
        <v>120</v>
      </c>
      <c r="L110" s="2">
        <v>0.65972222222222199</v>
      </c>
      <c r="M110" s="2">
        <v>0.77708333333333302</v>
      </c>
      <c r="N110">
        <v>169</v>
      </c>
      <c r="O110" s="2">
        <v>0.68611111111111101</v>
      </c>
      <c r="P110" s="2">
        <v>0.77222222222222203</v>
      </c>
      <c r="Q110" s="2">
        <v>0.77708333333333302</v>
      </c>
      <c r="R110">
        <v>169</v>
      </c>
      <c r="S110">
        <v>124</v>
      </c>
      <c r="T110" s="2">
        <v>0.77870370370370401</v>
      </c>
      <c r="U110" s="2">
        <v>0.79568287037037</v>
      </c>
      <c r="V110">
        <v>24</v>
      </c>
      <c r="W110" s="2">
        <v>0.79570601851851896</v>
      </c>
      <c r="X110" s="2">
        <v>0.82430555555555596</v>
      </c>
      <c r="Y110">
        <v>42</v>
      </c>
    </row>
    <row r="111" spans="1:25" ht="15" customHeight="1" x14ac:dyDescent="0.2">
      <c r="A111" s="1">
        <v>46239</v>
      </c>
      <c r="B111" t="s">
        <v>42</v>
      </c>
      <c r="C111" t="s">
        <v>43</v>
      </c>
      <c r="D111" t="s">
        <v>28</v>
      </c>
      <c r="E111" t="s">
        <v>31</v>
      </c>
      <c r="F111" s="2">
        <v>0.31111111111111101</v>
      </c>
      <c r="G111" s="2">
        <v>0.42708333333333298</v>
      </c>
      <c r="H111">
        <v>167</v>
      </c>
      <c r="I111" s="3">
        <v>0.3125</v>
      </c>
      <c r="J111" s="2">
        <v>0.375</v>
      </c>
      <c r="K111">
        <v>90</v>
      </c>
      <c r="L111" s="2">
        <v>0.31111111111111101</v>
      </c>
      <c r="M111" s="2">
        <v>0.42430555555555599</v>
      </c>
      <c r="N111">
        <v>163</v>
      </c>
      <c r="O111" s="2">
        <v>0.328472222222222</v>
      </c>
      <c r="P111" s="2">
        <v>0.422222222222222</v>
      </c>
      <c r="Q111" s="2">
        <v>0.42430555555555599</v>
      </c>
      <c r="R111">
        <v>163</v>
      </c>
      <c r="S111">
        <v>135</v>
      </c>
      <c r="T111" s="2">
        <v>0.42712962962963003</v>
      </c>
      <c r="U111" s="2">
        <v>0.44858796296296299</v>
      </c>
      <c r="V111">
        <v>30</v>
      </c>
      <c r="W111" s="2">
        <v>0.448622685185185</v>
      </c>
      <c r="X111" s="2">
        <v>0.49504629629629598</v>
      </c>
      <c r="Y111">
        <v>66</v>
      </c>
    </row>
    <row r="112" spans="1:25" ht="15" customHeight="1" x14ac:dyDescent="0.2">
      <c r="A112" s="1">
        <v>46239</v>
      </c>
      <c r="B112" t="s">
        <v>26</v>
      </c>
      <c r="C112" t="s">
        <v>27</v>
      </c>
      <c r="D112" t="s">
        <v>28</v>
      </c>
      <c r="E112" t="s">
        <v>36</v>
      </c>
      <c r="F112" s="2">
        <v>0.3125</v>
      </c>
      <c r="G112" s="2">
        <v>0.56041666666666701</v>
      </c>
      <c r="H112">
        <v>357</v>
      </c>
      <c r="I112" s="3">
        <v>0.3125</v>
      </c>
      <c r="J112" s="2">
        <v>0.47916666666666702</v>
      </c>
      <c r="K112">
        <v>240</v>
      </c>
      <c r="L112" s="2">
        <v>0.31736111111111098</v>
      </c>
      <c r="M112" s="2">
        <v>0.55347222222222203</v>
      </c>
      <c r="N112">
        <v>340</v>
      </c>
      <c r="O112" s="2">
        <v>0.390972222222222</v>
      </c>
      <c r="P112" s="2">
        <v>0.53749999999999998</v>
      </c>
      <c r="Q112" s="2">
        <v>0.55347222222222203</v>
      </c>
      <c r="R112">
        <v>340</v>
      </c>
      <c r="S112">
        <v>211</v>
      </c>
    </row>
    <row r="113" spans="1:25" ht="15" customHeight="1" x14ac:dyDescent="0.2">
      <c r="A113" s="1">
        <v>46239</v>
      </c>
      <c r="B113" t="s">
        <v>26</v>
      </c>
      <c r="C113" t="s">
        <v>27</v>
      </c>
      <c r="D113" t="s">
        <v>28</v>
      </c>
      <c r="E113" t="s">
        <v>31</v>
      </c>
      <c r="F113" s="2">
        <v>0.31527777777777799</v>
      </c>
      <c r="G113" s="2">
        <v>0.49166666666666697</v>
      </c>
      <c r="H113">
        <v>254</v>
      </c>
      <c r="I113" s="3">
        <v>0.3125</v>
      </c>
      <c r="J113" s="2">
        <v>0.47916666666666702</v>
      </c>
      <c r="K113">
        <v>240</v>
      </c>
      <c r="L113" s="2">
        <v>0.31527777777777799</v>
      </c>
      <c r="M113" s="2">
        <v>0.48819444444444399</v>
      </c>
      <c r="N113">
        <v>249</v>
      </c>
      <c r="O113" s="2">
        <v>0.34513888888888899</v>
      </c>
      <c r="P113" s="2">
        <v>0.483333333333333</v>
      </c>
      <c r="Q113" s="2">
        <v>0.48819444444444399</v>
      </c>
      <c r="R113">
        <v>249</v>
      </c>
      <c r="S113">
        <v>199</v>
      </c>
      <c r="T113" s="2">
        <v>0.48958333333333298</v>
      </c>
      <c r="U113" s="2">
        <v>0.53888888888888897</v>
      </c>
      <c r="V113">
        <v>71</v>
      </c>
    </row>
    <row r="114" spans="1:25" ht="15" customHeight="1" x14ac:dyDescent="0.2">
      <c r="A114" s="1">
        <v>46239</v>
      </c>
      <c r="B114" t="s">
        <v>42</v>
      </c>
      <c r="C114" t="s">
        <v>43</v>
      </c>
      <c r="D114" t="s">
        <v>28</v>
      </c>
      <c r="E114" t="s">
        <v>35</v>
      </c>
      <c r="F114" s="2">
        <v>0.51736111111111105</v>
      </c>
      <c r="G114" s="2">
        <v>0.60972222222222205</v>
      </c>
      <c r="H114">
        <v>133</v>
      </c>
      <c r="I114" s="3">
        <v>0.5</v>
      </c>
      <c r="J114" s="2">
        <v>0.58333333333333304</v>
      </c>
      <c r="K114">
        <v>120</v>
      </c>
      <c r="L114" s="2">
        <v>0.51736111111111105</v>
      </c>
      <c r="M114" s="2">
        <v>0.60624999999999996</v>
      </c>
      <c r="N114">
        <v>128</v>
      </c>
      <c r="O114" s="2">
        <v>0.53611111111111098</v>
      </c>
      <c r="P114" s="2">
        <v>0.60208333333333297</v>
      </c>
      <c r="Q114" s="2">
        <v>0.60624999999999996</v>
      </c>
      <c r="R114">
        <v>128</v>
      </c>
      <c r="S114">
        <v>95</v>
      </c>
      <c r="T114" s="2">
        <v>0.60824074074074097</v>
      </c>
      <c r="U114" s="2">
        <v>0.63611111111111096</v>
      </c>
      <c r="V114">
        <v>41</v>
      </c>
      <c r="W114" s="2">
        <v>0.63680555555555596</v>
      </c>
      <c r="X114" s="2">
        <v>0.69072916666666695</v>
      </c>
      <c r="Y114">
        <v>77</v>
      </c>
    </row>
    <row r="115" spans="1:25" ht="15" customHeight="1" x14ac:dyDescent="0.2">
      <c r="A115" s="1">
        <v>46239</v>
      </c>
      <c r="B115" t="s">
        <v>42</v>
      </c>
      <c r="C115" t="s">
        <v>43</v>
      </c>
      <c r="D115" t="s">
        <v>28</v>
      </c>
      <c r="E115" t="s">
        <v>31</v>
      </c>
      <c r="F115" s="2">
        <v>0.41805555555555601</v>
      </c>
      <c r="G115" s="2">
        <v>0.49027777777777798</v>
      </c>
      <c r="H115">
        <v>104</v>
      </c>
      <c r="I115" s="3">
        <v>0.41666666666666702</v>
      </c>
      <c r="J115" s="2">
        <v>0.46875</v>
      </c>
      <c r="K115">
        <v>75</v>
      </c>
      <c r="L115" s="2">
        <v>0.41805555555555601</v>
      </c>
      <c r="M115" s="2">
        <v>0.48611111111111099</v>
      </c>
      <c r="N115">
        <v>98</v>
      </c>
      <c r="O115" s="2">
        <v>0.43611111111111101</v>
      </c>
      <c r="P115" s="2">
        <v>0.48125000000000001</v>
      </c>
      <c r="Q115" s="2">
        <v>0.48611111111111099</v>
      </c>
      <c r="R115">
        <v>98</v>
      </c>
      <c r="S115">
        <v>65</v>
      </c>
      <c r="T115" s="2">
        <v>0.48680555555555599</v>
      </c>
      <c r="U115" s="2">
        <v>0.49629629629629601</v>
      </c>
      <c r="V115">
        <v>13</v>
      </c>
      <c r="W115" s="2">
        <v>0.53357638888888903</v>
      </c>
      <c r="X115" s="2">
        <v>0.54185185185185203</v>
      </c>
      <c r="Y115">
        <v>12</v>
      </c>
    </row>
    <row r="116" spans="1:25" ht="15" customHeight="1" x14ac:dyDescent="0.2">
      <c r="A116" s="1">
        <v>46239</v>
      </c>
      <c r="B116" t="s">
        <v>26</v>
      </c>
      <c r="C116" t="s">
        <v>27</v>
      </c>
      <c r="D116" t="s">
        <v>28</v>
      </c>
      <c r="E116" t="s">
        <v>29</v>
      </c>
      <c r="F116" s="2">
        <v>0.55555555555555602</v>
      </c>
      <c r="G116" s="2">
        <v>0.61597222222222203</v>
      </c>
      <c r="H116">
        <v>87</v>
      </c>
      <c r="I116" s="3">
        <v>0.55208333333333304</v>
      </c>
      <c r="J116" s="2">
        <v>0.625</v>
      </c>
      <c r="K116">
        <v>105</v>
      </c>
      <c r="L116" s="2">
        <v>0.56111111111111101</v>
      </c>
      <c r="M116" s="2">
        <v>0.61180555555555605</v>
      </c>
      <c r="N116">
        <v>73</v>
      </c>
      <c r="O116" s="2">
        <v>0.58194444444444404</v>
      </c>
      <c r="P116" s="2">
        <v>0.60347222222222197</v>
      </c>
      <c r="Q116" s="2">
        <v>0.61180555555555605</v>
      </c>
      <c r="R116">
        <v>73</v>
      </c>
      <c r="S116">
        <v>31</v>
      </c>
    </row>
    <row r="117" spans="1:25" ht="15" customHeight="1" x14ac:dyDescent="0.2">
      <c r="A117" s="1">
        <v>46239</v>
      </c>
      <c r="B117" t="s">
        <v>26</v>
      </c>
      <c r="C117" t="s">
        <v>27</v>
      </c>
      <c r="D117" t="s">
        <v>28</v>
      </c>
      <c r="E117" t="s">
        <v>31</v>
      </c>
      <c r="F117" s="2">
        <v>0.44444444444444398</v>
      </c>
      <c r="G117" s="2">
        <v>0.55416666666666703</v>
      </c>
      <c r="H117">
        <v>158</v>
      </c>
      <c r="I117" s="3">
        <v>0.42708333333333298</v>
      </c>
      <c r="J117" s="2">
        <v>0.48958333333333298</v>
      </c>
      <c r="K117">
        <v>90</v>
      </c>
      <c r="L117" s="2">
        <v>0.44444444444444398</v>
      </c>
      <c r="M117" s="2">
        <v>0.54861111111111105</v>
      </c>
      <c r="N117">
        <v>150</v>
      </c>
      <c r="O117" s="2">
        <v>0.46458333333333302</v>
      </c>
      <c r="P117" s="2">
        <v>0.54513888888888895</v>
      </c>
      <c r="Q117" s="2">
        <v>0.54861111111111105</v>
      </c>
      <c r="R117">
        <v>150</v>
      </c>
      <c r="S117">
        <v>116</v>
      </c>
      <c r="T117" s="2">
        <v>0.55054398148148198</v>
      </c>
      <c r="U117" s="2">
        <v>0.59983796296296299</v>
      </c>
      <c r="V117">
        <v>71</v>
      </c>
    </row>
    <row r="118" spans="1:25" ht="15" customHeight="1" x14ac:dyDescent="0.2">
      <c r="A118" s="1">
        <v>46239</v>
      </c>
      <c r="B118" t="s">
        <v>26</v>
      </c>
      <c r="C118" t="s">
        <v>27</v>
      </c>
      <c r="D118" t="s">
        <v>28</v>
      </c>
      <c r="E118" t="s">
        <v>31</v>
      </c>
      <c r="F118" s="2">
        <v>0.69027777777777799</v>
      </c>
      <c r="G118" s="2">
        <v>0.80069444444444404</v>
      </c>
      <c r="H118">
        <v>159</v>
      </c>
      <c r="I118" s="3">
        <v>0.64583333333333304</v>
      </c>
      <c r="J118" s="2">
        <v>0.74305555555555602</v>
      </c>
      <c r="K118">
        <v>170</v>
      </c>
      <c r="L118" s="2">
        <v>0.69027777777777799</v>
      </c>
      <c r="M118" s="2">
        <v>0.79722222222222205</v>
      </c>
      <c r="N118">
        <v>154</v>
      </c>
      <c r="O118" s="2">
        <v>0.718055555555556</v>
      </c>
      <c r="P118" s="2">
        <v>0.79166666666666696</v>
      </c>
      <c r="Q118" s="2">
        <v>0.79722222222222205</v>
      </c>
      <c r="R118">
        <v>154</v>
      </c>
      <c r="S118">
        <v>106</v>
      </c>
      <c r="T118" s="2">
        <v>0.79930555555555605</v>
      </c>
      <c r="U118" s="2">
        <v>0.86248842592592601</v>
      </c>
      <c r="V118">
        <v>90</v>
      </c>
    </row>
    <row r="119" spans="1:25" ht="15" customHeight="1" x14ac:dyDescent="0.2">
      <c r="A119" s="1">
        <v>46239</v>
      </c>
      <c r="B119" t="s">
        <v>26</v>
      </c>
      <c r="C119" t="s">
        <v>27</v>
      </c>
      <c r="D119" t="s">
        <v>28</v>
      </c>
      <c r="E119" t="s">
        <v>31</v>
      </c>
      <c r="F119" s="2">
        <v>0.63819444444444395</v>
      </c>
      <c r="G119" s="2">
        <v>0.72847222222222197</v>
      </c>
      <c r="H119">
        <v>130</v>
      </c>
      <c r="I119" s="3">
        <v>0.60416666666666696</v>
      </c>
      <c r="J119" s="2">
        <v>0.6875</v>
      </c>
      <c r="K119">
        <v>120</v>
      </c>
      <c r="L119" s="2">
        <v>0.63819444444444395</v>
      </c>
      <c r="M119" s="2">
        <v>0.72499999999999998</v>
      </c>
      <c r="N119">
        <v>125</v>
      </c>
      <c r="O119" s="2">
        <v>0.65763888888888899</v>
      </c>
      <c r="P119" s="2">
        <v>0.72291666666666698</v>
      </c>
      <c r="Q119" s="2">
        <v>0.72499999999999998</v>
      </c>
      <c r="R119">
        <v>125</v>
      </c>
      <c r="S119">
        <v>94</v>
      </c>
      <c r="T119" s="2">
        <v>0.72638888888888897</v>
      </c>
      <c r="U119" s="2">
        <v>0.77152777777777803</v>
      </c>
      <c r="V119">
        <v>65</v>
      </c>
    </row>
    <row r="120" spans="1:25" ht="15" customHeight="1" x14ac:dyDescent="0.2">
      <c r="A120" s="1">
        <v>46239</v>
      </c>
      <c r="B120" t="s">
        <v>26</v>
      </c>
      <c r="C120" t="s">
        <v>27</v>
      </c>
      <c r="D120" t="s">
        <v>28</v>
      </c>
      <c r="E120" t="s">
        <v>31</v>
      </c>
      <c r="F120" s="2">
        <v>0.74375000000000002</v>
      </c>
      <c r="G120" s="2">
        <v>0.87152777777777801</v>
      </c>
      <c r="H120">
        <v>184</v>
      </c>
      <c r="I120" s="3">
        <v>0.69791666666666696</v>
      </c>
      <c r="J120" s="2">
        <v>0.78125</v>
      </c>
      <c r="K120">
        <v>120</v>
      </c>
      <c r="L120" s="2">
        <v>0.74375000000000002</v>
      </c>
      <c r="M120" s="2">
        <v>0.86805555555555602</v>
      </c>
      <c r="N120">
        <v>179</v>
      </c>
      <c r="O120" s="2">
        <v>0.76666666666666705</v>
      </c>
      <c r="P120" s="2">
        <v>0.86527777777777803</v>
      </c>
      <c r="Q120" s="2">
        <v>0.86805555555555602</v>
      </c>
      <c r="R120">
        <v>179</v>
      </c>
      <c r="S120">
        <v>142</v>
      </c>
      <c r="T120" s="2">
        <v>0.87152777777777801</v>
      </c>
      <c r="U120" s="2">
        <v>0.90173611111111096</v>
      </c>
      <c r="V120">
        <v>43</v>
      </c>
    </row>
    <row r="121" spans="1:25" ht="15" customHeight="1" x14ac:dyDescent="0.2">
      <c r="A121" s="1">
        <v>46239</v>
      </c>
      <c r="B121" t="s">
        <v>26</v>
      </c>
      <c r="C121" t="s">
        <v>27</v>
      </c>
      <c r="D121" t="s">
        <v>28</v>
      </c>
      <c r="E121" t="s">
        <v>29</v>
      </c>
      <c r="F121" s="2">
        <v>0.66249999999999998</v>
      </c>
      <c r="G121" s="2">
        <v>0.72499999999999998</v>
      </c>
      <c r="H121">
        <v>90</v>
      </c>
      <c r="I121" s="3">
        <v>0.65625</v>
      </c>
      <c r="J121" s="2">
        <v>0.69791666666666696</v>
      </c>
      <c r="K121">
        <v>90</v>
      </c>
      <c r="L121" s="2">
        <v>0.66249999999999998</v>
      </c>
      <c r="M121" s="2">
        <v>0.72291666666666698</v>
      </c>
      <c r="N121">
        <v>87</v>
      </c>
      <c r="O121" s="2">
        <v>0.69097222222222199</v>
      </c>
      <c r="P121" s="2">
        <v>0.69722222222222197</v>
      </c>
      <c r="Q121" s="2">
        <v>0.72291666666666698</v>
      </c>
      <c r="R121">
        <v>87</v>
      </c>
      <c r="S121">
        <v>9</v>
      </c>
      <c r="T121" s="2">
        <v>0.72373842592592597</v>
      </c>
      <c r="U121" s="2">
        <v>0.74629629629629601</v>
      </c>
      <c r="V121">
        <v>32</v>
      </c>
    </row>
    <row r="122" spans="1:25" ht="15" customHeight="1" x14ac:dyDescent="0.2">
      <c r="A122" s="1">
        <v>46239</v>
      </c>
      <c r="B122" t="s">
        <v>26</v>
      </c>
      <c r="C122" t="s">
        <v>27</v>
      </c>
      <c r="D122" t="s">
        <v>28</v>
      </c>
      <c r="E122" t="s">
        <v>29</v>
      </c>
      <c r="F122" s="2">
        <v>0.65972222222222199</v>
      </c>
      <c r="G122" s="2">
        <v>0.75</v>
      </c>
      <c r="H122">
        <v>130</v>
      </c>
      <c r="I122" s="3">
        <v>0.66666666666666696</v>
      </c>
      <c r="J122" s="2">
        <v>0.70486111111111105</v>
      </c>
      <c r="K122">
        <v>55</v>
      </c>
      <c r="L122" s="2">
        <v>0.65972222222222199</v>
      </c>
      <c r="M122" s="2">
        <v>0.74444444444444402</v>
      </c>
      <c r="N122">
        <v>122</v>
      </c>
      <c r="O122" s="2">
        <v>0.66944444444444395</v>
      </c>
      <c r="P122" s="2">
        <v>0.74027777777777803</v>
      </c>
      <c r="Q122" s="2">
        <v>0.74444444444444402</v>
      </c>
      <c r="R122">
        <v>122</v>
      </c>
      <c r="S122">
        <v>102</v>
      </c>
      <c r="T122" s="2">
        <v>0.74517361111111102</v>
      </c>
      <c r="U122" s="2">
        <v>0.781944444444444</v>
      </c>
      <c r="V122">
        <v>53</v>
      </c>
    </row>
    <row r="123" spans="1:25" ht="15" customHeight="1" x14ac:dyDescent="0.2">
      <c r="A123" s="1">
        <v>46239</v>
      </c>
      <c r="B123" t="s">
        <v>26</v>
      </c>
      <c r="C123" t="s">
        <v>27</v>
      </c>
      <c r="D123" t="s">
        <v>28</v>
      </c>
      <c r="E123" t="s">
        <v>36</v>
      </c>
      <c r="F123" s="2">
        <v>0.593055555555556</v>
      </c>
      <c r="G123" s="2">
        <v>0.67083333333333295</v>
      </c>
      <c r="H123">
        <v>112</v>
      </c>
      <c r="I123" s="3">
        <v>0.58333333333333304</v>
      </c>
      <c r="J123" s="2">
        <v>0.67013888888888895</v>
      </c>
      <c r="K123">
        <v>155</v>
      </c>
      <c r="L123" s="2">
        <v>0.60763888888888895</v>
      </c>
      <c r="M123" s="2">
        <v>0.66180555555555598</v>
      </c>
      <c r="N123">
        <v>78</v>
      </c>
      <c r="O123" s="2">
        <v>0.62847222222222199</v>
      </c>
      <c r="P123" s="2">
        <v>0.65277777777777801</v>
      </c>
      <c r="Q123" s="2">
        <v>0.66180555555555598</v>
      </c>
      <c r="R123">
        <v>78</v>
      </c>
      <c r="S123">
        <v>35</v>
      </c>
    </row>
    <row r="124" spans="1:25" ht="15" customHeight="1" x14ac:dyDescent="0.2">
      <c r="A124" s="1">
        <v>46239</v>
      </c>
      <c r="B124" t="s">
        <v>26</v>
      </c>
      <c r="C124" t="s">
        <v>27</v>
      </c>
      <c r="D124" t="s">
        <v>28</v>
      </c>
      <c r="E124" t="s">
        <v>31</v>
      </c>
      <c r="F124" s="2">
        <v>0.78680555555555598</v>
      </c>
      <c r="G124" s="2">
        <v>0.83055555555555605</v>
      </c>
      <c r="H124">
        <v>63</v>
      </c>
      <c r="I124" s="3">
        <v>0.72916666666666696</v>
      </c>
      <c r="J124" s="2">
        <v>0.77430555555555602</v>
      </c>
      <c r="K124">
        <v>95</v>
      </c>
      <c r="L124" s="2">
        <v>0.78680555555555598</v>
      </c>
      <c r="M124" s="2">
        <v>0.82569444444444395</v>
      </c>
      <c r="N124">
        <v>56</v>
      </c>
      <c r="O124" s="2">
        <v>0.80069444444444404</v>
      </c>
      <c r="P124" s="2">
        <v>0.82499999999999996</v>
      </c>
      <c r="Q124" s="2">
        <v>0.82569444444444395</v>
      </c>
      <c r="R124">
        <v>56</v>
      </c>
      <c r="S124">
        <v>35</v>
      </c>
      <c r="T124" s="2">
        <v>0.82708333333333295</v>
      </c>
      <c r="U124" s="2">
        <v>0.85443287037036997</v>
      </c>
      <c r="V124">
        <v>39</v>
      </c>
    </row>
    <row r="125" spans="1:25" ht="15" customHeight="1" x14ac:dyDescent="0.2">
      <c r="A125" s="1">
        <v>46239</v>
      </c>
      <c r="B125" t="s">
        <v>42</v>
      </c>
      <c r="C125" t="s">
        <v>43</v>
      </c>
      <c r="D125" t="s">
        <v>34</v>
      </c>
      <c r="E125" t="s">
        <v>29</v>
      </c>
      <c r="F125" s="2">
        <v>0.3125</v>
      </c>
      <c r="G125" s="2">
        <v>0.51458333333333295</v>
      </c>
      <c r="H125">
        <v>291</v>
      </c>
      <c r="I125" s="3">
        <v>0.3125</v>
      </c>
      <c r="J125" s="2">
        <v>0.44791666666666702</v>
      </c>
      <c r="K125">
        <v>195</v>
      </c>
      <c r="L125" s="2">
        <v>0.3125</v>
      </c>
      <c r="M125" s="2">
        <v>0.50902777777777797</v>
      </c>
      <c r="N125">
        <v>283</v>
      </c>
      <c r="O125" s="2">
        <v>0.33055555555555599</v>
      </c>
      <c r="P125" s="2">
        <v>0.50138888888888899</v>
      </c>
      <c r="Q125" s="2">
        <v>0.50902777777777797</v>
      </c>
      <c r="R125">
        <v>283</v>
      </c>
      <c r="S125">
        <v>246</v>
      </c>
      <c r="T125" s="2">
        <v>0.51041666666666696</v>
      </c>
      <c r="U125" s="2">
        <v>0.57222222222222197</v>
      </c>
      <c r="V125">
        <v>89</v>
      </c>
      <c r="W125" s="2">
        <v>0.57291666666666696</v>
      </c>
      <c r="X125" s="2">
        <v>0.64583333333333304</v>
      </c>
      <c r="Y125">
        <v>105</v>
      </c>
    </row>
    <row r="126" spans="1:25" ht="15" customHeight="1" x14ac:dyDescent="0.2">
      <c r="A126" s="1">
        <v>46239</v>
      </c>
      <c r="B126" t="s">
        <v>26</v>
      </c>
      <c r="C126" t="s">
        <v>27</v>
      </c>
      <c r="D126" t="s">
        <v>28</v>
      </c>
      <c r="E126" t="s">
        <v>40</v>
      </c>
      <c r="F126" s="2">
        <v>0.85138888888888897</v>
      </c>
      <c r="G126" s="2">
        <v>0.91111111111111098</v>
      </c>
      <c r="H126">
        <v>86</v>
      </c>
      <c r="I126" s="3">
        <v>0.85416666666666696</v>
      </c>
      <c r="J126" s="2">
        <v>0.94097222222222199</v>
      </c>
      <c r="K126">
        <v>155</v>
      </c>
      <c r="L126" s="2">
        <v>0.85138888888888897</v>
      </c>
      <c r="M126" s="2">
        <v>0.90416666666666701</v>
      </c>
      <c r="N126">
        <v>76</v>
      </c>
      <c r="O126" s="2">
        <v>0.87847222222222199</v>
      </c>
      <c r="P126" s="2">
        <v>0.90208333333333302</v>
      </c>
      <c r="Q126" s="2">
        <v>0.90416666666666701</v>
      </c>
      <c r="R126">
        <v>76</v>
      </c>
      <c r="S126">
        <v>34</v>
      </c>
    </row>
    <row r="127" spans="1:25" ht="15" customHeight="1" x14ac:dyDescent="0.2">
      <c r="A127" s="1">
        <v>46239</v>
      </c>
      <c r="B127" t="s">
        <v>42</v>
      </c>
      <c r="C127" t="s">
        <v>43</v>
      </c>
      <c r="D127" t="s">
        <v>28</v>
      </c>
      <c r="E127" t="s">
        <v>31</v>
      </c>
      <c r="F127" s="2">
        <v>0.37083333333333302</v>
      </c>
      <c r="G127" s="2">
        <v>0.41180555555555598</v>
      </c>
      <c r="H127">
        <v>59</v>
      </c>
      <c r="I127" s="3">
        <v>0.36458333333333298</v>
      </c>
      <c r="J127" s="2">
        <v>0.40625</v>
      </c>
      <c r="K127">
        <v>60</v>
      </c>
      <c r="L127" s="2">
        <v>0.37083333333333302</v>
      </c>
      <c r="M127" s="2">
        <v>0.40833333333333299</v>
      </c>
      <c r="N127">
        <v>54</v>
      </c>
      <c r="O127" s="2">
        <v>0.38750000000000001</v>
      </c>
      <c r="P127" s="2">
        <v>0.39513888888888898</v>
      </c>
      <c r="Q127" s="2">
        <v>0.40833333333333299</v>
      </c>
      <c r="R127">
        <v>54</v>
      </c>
      <c r="S127">
        <v>11</v>
      </c>
      <c r="T127" s="2">
        <v>0.40998842592592599</v>
      </c>
      <c r="U127" s="2">
        <v>0.45902777777777798</v>
      </c>
      <c r="V127">
        <v>71</v>
      </c>
      <c r="W127" s="2">
        <v>0.45972222222222198</v>
      </c>
      <c r="X127" s="2">
        <v>0.47291666666666698</v>
      </c>
      <c r="Y127">
        <v>19</v>
      </c>
    </row>
    <row r="128" spans="1:25" ht="15" customHeight="1" x14ac:dyDescent="0.2">
      <c r="A128" s="1">
        <v>46239</v>
      </c>
      <c r="B128" t="s">
        <v>42</v>
      </c>
      <c r="C128" t="s">
        <v>43</v>
      </c>
      <c r="D128" t="s">
        <v>28</v>
      </c>
      <c r="E128" t="s">
        <v>29</v>
      </c>
      <c r="F128" s="2">
        <v>0.51875000000000004</v>
      </c>
      <c r="G128" s="2">
        <v>0.62291666666666701</v>
      </c>
      <c r="H128">
        <v>150</v>
      </c>
      <c r="I128" s="3">
        <v>0.52083333333333304</v>
      </c>
      <c r="J128" s="2">
        <v>0.63541666666666696</v>
      </c>
      <c r="K128">
        <v>165</v>
      </c>
      <c r="L128" s="2">
        <v>0.51875000000000004</v>
      </c>
      <c r="M128" s="2">
        <v>0.61805555555555602</v>
      </c>
      <c r="N128">
        <v>143</v>
      </c>
      <c r="O128" s="2">
        <v>0.54097222222222197</v>
      </c>
      <c r="P128" s="2">
        <v>0.61805555555555602</v>
      </c>
      <c r="Q128" s="2">
        <v>0.61805555555555602</v>
      </c>
      <c r="R128">
        <v>143</v>
      </c>
      <c r="S128">
        <v>111</v>
      </c>
      <c r="T128" s="2">
        <v>0.62062499999999998</v>
      </c>
      <c r="U128" s="2">
        <v>0.65347222222222201</v>
      </c>
      <c r="V128">
        <v>48</v>
      </c>
    </row>
    <row r="129" spans="1:25" ht="15" customHeight="1" x14ac:dyDescent="0.2">
      <c r="A129" s="1">
        <v>46240</v>
      </c>
      <c r="B129" t="s">
        <v>42</v>
      </c>
      <c r="C129" t="s">
        <v>43</v>
      </c>
      <c r="D129" t="s">
        <v>28</v>
      </c>
      <c r="E129" t="s">
        <v>31</v>
      </c>
      <c r="F129" s="2">
        <v>0.36111111111111099</v>
      </c>
      <c r="G129" s="2">
        <v>0.4</v>
      </c>
      <c r="H129">
        <v>56</v>
      </c>
      <c r="I129" s="3">
        <v>0.36458333333333298</v>
      </c>
      <c r="J129" s="2">
        <v>0.40625</v>
      </c>
      <c r="K129">
        <v>60</v>
      </c>
      <c r="L129" s="2">
        <v>0.36111111111111099</v>
      </c>
      <c r="M129" s="2">
        <v>0.39444444444444399</v>
      </c>
      <c r="N129">
        <v>48</v>
      </c>
      <c r="O129" s="2">
        <v>0.37777777777777799</v>
      </c>
      <c r="P129" s="2">
        <v>0.38750000000000001</v>
      </c>
      <c r="Q129" s="2">
        <v>0.39444444444444399</v>
      </c>
      <c r="R129">
        <v>48</v>
      </c>
      <c r="S129">
        <v>14</v>
      </c>
      <c r="T129" s="2">
        <v>0.394895833333333</v>
      </c>
      <c r="U129" s="2">
        <v>0.41774305555555602</v>
      </c>
      <c r="V129">
        <v>33</v>
      </c>
      <c r="W129" s="2">
        <v>0.41775462962963</v>
      </c>
      <c r="X129" s="2">
        <v>0.42072916666666699</v>
      </c>
      <c r="Y129">
        <v>4</v>
      </c>
    </row>
    <row r="130" spans="1:25" ht="15" customHeight="1" x14ac:dyDescent="0.2">
      <c r="A130" s="1">
        <v>46240</v>
      </c>
      <c r="B130" t="s">
        <v>42</v>
      </c>
      <c r="C130" t="s">
        <v>43</v>
      </c>
      <c r="D130" t="s">
        <v>28</v>
      </c>
      <c r="E130" t="s">
        <v>36</v>
      </c>
      <c r="F130" s="2">
        <v>0.36527777777777798</v>
      </c>
      <c r="G130" s="2">
        <v>0.40972222222222199</v>
      </c>
      <c r="H130">
        <v>64</v>
      </c>
      <c r="I130" s="3">
        <v>0.35416666666666702</v>
      </c>
      <c r="J130" s="2">
        <v>0.39583333333333298</v>
      </c>
      <c r="K130">
        <v>60</v>
      </c>
      <c r="L130" s="2">
        <v>0.36527777777777798</v>
      </c>
      <c r="M130" s="2">
        <v>0.40277777777777801</v>
      </c>
      <c r="N130">
        <v>54</v>
      </c>
      <c r="O130" s="2">
        <v>0.375694444444444</v>
      </c>
      <c r="P130" s="2">
        <v>0.39861111111111103</v>
      </c>
      <c r="Q130" s="2">
        <v>0.40277777777777801</v>
      </c>
      <c r="R130">
        <v>54</v>
      </c>
      <c r="S130">
        <v>33</v>
      </c>
      <c r="T130" s="2">
        <v>0.40625</v>
      </c>
      <c r="U130" s="2">
        <v>0.453391203703704</v>
      </c>
      <c r="V130">
        <v>67</v>
      </c>
      <c r="W130" s="2">
        <v>0.45341435185185203</v>
      </c>
      <c r="X130" s="2">
        <v>0.50006944444444401</v>
      </c>
      <c r="Y130">
        <v>68</v>
      </c>
    </row>
    <row r="131" spans="1:25" ht="15" customHeight="1" x14ac:dyDescent="0.2">
      <c r="A131" s="1">
        <v>46240</v>
      </c>
      <c r="B131" t="s">
        <v>42</v>
      </c>
      <c r="C131" t="s">
        <v>43</v>
      </c>
      <c r="D131" t="s">
        <v>28</v>
      </c>
      <c r="E131" t="s">
        <v>31</v>
      </c>
      <c r="F131" s="2">
        <v>0.43055555555555602</v>
      </c>
      <c r="G131" s="2">
        <v>0.469444444444444</v>
      </c>
      <c r="H131">
        <v>56</v>
      </c>
      <c r="I131" s="3">
        <v>0.41666666666666702</v>
      </c>
      <c r="J131" s="2">
        <v>0.45833333333333298</v>
      </c>
      <c r="K131">
        <v>60</v>
      </c>
      <c r="L131" s="2">
        <v>0.43055555555555602</v>
      </c>
      <c r="M131" s="2">
        <v>0.46250000000000002</v>
      </c>
      <c r="N131">
        <v>46</v>
      </c>
      <c r="O131" s="2">
        <v>0.44236111111111098</v>
      </c>
      <c r="P131" s="2">
        <v>0.45902777777777798</v>
      </c>
      <c r="Q131" s="2">
        <v>0.46250000000000002</v>
      </c>
      <c r="R131">
        <v>46</v>
      </c>
      <c r="S131">
        <v>24</v>
      </c>
      <c r="T131" s="2">
        <v>0.46542824074074102</v>
      </c>
      <c r="U131" s="2">
        <v>0.49771990740740701</v>
      </c>
      <c r="V131">
        <v>46</v>
      </c>
      <c r="W131" s="2">
        <v>0.497731481481481</v>
      </c>
      <c r="X131" s="2">
        <v>0.50924768518518504</v>
      </c>
      <c r="Y131">
        <v>17</v>
      </c>
    </row>
    <row r="132" spans="1:25" ht="15" customHeight="1" x14ac:dyDescent="0.2">
      <c r="A132" s="1">
        <v>46240</v>
      </c>
      <c r="B132" t="s">
        <v>42</v>
      </c>
      <c r="C132" t="s">
        <v>43</v>
      </c>
      <c r="D132" t="s">
        <v>34</v>
      </c>
      <c r="E132" t="s">
        <v>29</v>
      </c>
      <c r="F132" s="2">
        <v>0.45694444444444399</v>
      </c>
      <c r="G132" s="2">
        <v>0.58055555555555605</v>
      </c>
      <c r="H132">
        <v>178</v>
      </c>
      <c r="I132" s="3">
        <v>0.44791666666666702</v>
      </c>
      <c r="J132" s="2">
        <v>0.5625</v>
      </c>
      <c r="K132">
        <v>165</v>
      </c>
      <c r="L132" s="2">
        <v>0.45694444444444399</v>
      </c>
      <c r="M132" s="2">
        <v>0.57152777777777797</v>
      </c>
      <c r="N132">
        <v>165</v>
      </c>
      <c r="O132" s="2">
        <v>0.47638888888888897</v>
      </c>
      <c r="P132" s="2">
        <v>0.56458333333333299</v>
      </c>
      <c r="Q132" s="2">
        <v>0.57152777777777797</v>
      </c>
      <c r="R132">
        <v>165</v>
      </c>
      <c r="S132">
        <v>127</v>
      </c>
      <c r="T132" s="2">
        <v>0.57291666666666696</v>
      </c>
      <c r="U132" s="2">
        <v>0.60902777777777795</v>
      </c>
      <c r="V132">
        <v>52</v>
      </c>
    </row>
    <row r="133" spans="1:25" ht="15" customHeight="1" x14ac:dyDescent="0.2">
      <c r="A133" s="1">
        <v>46240</v>
      </c>
      <c r="B133" t="s">
        <v>26</v>
      </c>
      <c r="C133" t="s">
        <v>27</v>
      </c>
      <c r="D133" t="s">
        <v>28</v>
      </c>
      <c r="E133" t="s">
        <v>31</v>
      </c>
      <c r="F133" s="2">
        <v>0.64097222222222205</v>
      </c>
      <c r="G133" s="2">
        <v>0.72777777777777797</v>
      </c>
      <c r="H133">
        <v>125</v>
      </c>
      <c r="I133" s="3">
        <v>0.64583333333333304</v>
      </c>
      <c r="J133" s="2">
        <v>0.69791666666666696</v>
      </c>
      <c r="K133">
        <v>75</v>
      </c>
      <c r="L133" s="2">
        <v>0.64097222222222205</v>
      </c>
      <c r="M133" s="2">
        <v>0.72361111111111098</v>
      </c>
      <c r="N133">
        <v>119</v>
      </c>
      <c r="O133" s="2">
        <v>0.65972222222222199</v>
      </c>
      <c r="P133" s="2">
        <v>0.71527777777777801</v>
      </c>
      <c r="Q133" s="2">
        <v>0.72361111111111098</v>
      </c>
      <c r="R133">
        <v>119</v>
      </c>
      <c r="S133">
        <v>80</v>
      </c>
      <c r="T133" s="2">
        <v>0.72502314814814794</v>
      </c>
      <c r="U133" s="2">
        <v>0.83472222222222203</v>
      </c>
      <c r="V133">
        <v>158</v>
      </c>
    </row>
    <row r="134" spans="1:25" ht="15" customHeight="1" x14ac:dyDescent="0.2">
      <c r="A134" s="1">
        <v>46240</v>
      </c>
      <c r="B134" t="s">
        <v>26</v>
      </c>
      <c r="C134" t="s">
        <v>27</v>
      </c>
      <c r="D134" t="s">
        <v>28</v>
      </c>
      <c r="E134" t="s">
        <v>29</v>
      </c>
      <c r="F134" s="2">
        <v>0.31527777777777799</v>
      </c>
      <c r="G134" s="2">
        <v>0.36805555555555602</v>
      </c>
      <c r="H134">
        <v>76</v>
      </c>
      <c r="I134" s="3">
        <v>0.3125</v>
      </c>
      <c r="J134" s="2">
        <v>0.36458333333333298</v>
      </c>
      <c r="K134">
        <v>75</v>
      </c>
      <c r="L134" s="2">
        <v>0.31527777777777799</v>
      </c>
      <c r="M134" s="2">
        <v>0.36458333333333298</v>
      </c>
      <c r="N134">
        <v>71</v>
      </c>
      <c r="O134" s="2">
        <v>0.329166666666667</v>
      </c>
      <c r="P134" s="2">
        <v>0.359027777777778</v>
      </c>
      <c r="Q134" s="2">
        <v>0.36458333333333298</v>
      </c>
      <c r="R134">
        <v>71</v>
      </c>
      <c r="S134">
        <v>43</v>
      </c>
      <c r="T134" s="2">
        <v>0.36597222222222198</v>
      </c>
      <c r="U134" s="2">
        <v>0.49444444444444402</v>
      </c>
      <c r="V134">
        <v>185</v>
      </c>
    </row>
    <row r="135" spans="1:25" ht="15" customHeight="1" x14ac:dyDescent="0.2">
      <c r="A135" s="1">
        <v>46240</v>
      </c>
      <c r="B135" t="s">
        <v>42</v>
      </c>
      <c r="C135" t="s">
        <v>43</v>
      </c>
      <c r="D135" t="s">
        <v>28</v>
      </c>
      <c r="E135" t="s">
        <v>36</v>
      </c>
      <c r="F135" s="2">
        <v>0.49444444444444402</v>
      </c>
      <c r="G135" s="2">
        <v>0.53749999999999998</v>
      </c>
      <c r="H135">
        <v>62</v>
      </c>
      <c r="I135" s="3">
        <v>0.47916666666666702</v>
      </c>
      <c r="J135" s="2">
        <v>0.52083333333333304</v>
      </c>
      <c r="K135">
        <v>60</v>
      </c>
      <c r="L135" s="2">
        <v>0.49444444444444402</v>
      </c>
      <c r="M135" s="2">
        <v>0.530555555555556</v>
      </c>
      <c r="N135">
        <v>52</v>
      </c>
      <c r="O135" s="2">
        <v>0.50833333333333297</v>
      </c>
      <c r="P135" s="2">
        <v>0.52708333333333302</v>
      </c>
      <c r="Q135" s="2">
        <v>0.530555555555556</v>
      </c>
      <c r="R135">
        <v>52</v>
      </c>
      <c r="S135">
        <v>27</v>
      </c>
      <c r="T135" s="2">
        <v>0.53370370370370401</v>
      </c>
      <c r="U135" s="2">
        <v>0.58837962962962997</v>
      </c>
      <c r="V135">
        <v>79</v>
      </c>
    </row>
    <row r="136" spans="1:25" ht="15" customHeight="1" x14ac:dyDescent="0.2">
      <c r="A136" s="1">
        <v>46240</v>
      </c>
      <c r="B136" t="s">
        <v>42</v>
      </c>
      <c r="C136" t="s">
        <v>43</v>
      </c>
      <c r="D136" t="s">
        <v>28</v>
      </c>
      <c r="E136" t="s">
        <v>29</v>
      </c>
      <c r="F136" s="2">
        <v>0.61250000000000004</v>
      </c>
      <c r="G136" s="2">
        <v>0.63958333333333295</v>
      </c>
      <c r="H136">
        <v>39</v>
      </c>
      <c r="I136" s="3">
        <v>0.60416666666666696</v>
      </c>
      <c r="J136" s="2">
        <v>0.63541666666666696</v>
      </c>
      <c r="K136">
        <v>45</v>
      </c>
      <c r="L136" s="2">
        <v>0.61250000000000004</v>
      </c>
      <c r="M136" s="2">
        <v>0.63263888888888897</v>
      </c>
      <c r="N136">
        <v>29</v>
      </c>
      <c r="O136" s="2">
        <v>0.62291666666666701</v>
      </c>
      <c r="P136" s="2">
        <v>0.62847222222222199</v>
      </c>
      <c r="Q136" s="2">
        <v>0.63263888888888897</v>
      </c>
      <c r="R136">
        <v>29</v>
      </c>
      <c r="S136">
        <v>8</v>
      </c>
      <c r="T136" s="2">
        <v>0.63472222222222197</v>
      </c>
      <c r="U136" s="2">
        <v>0.64583333333333304</v>
      </c>
      <c r="V136">
        <v>16</v>
      </c>
      <c r="W136" s="2">
        <v>0.64652777777777803</v>
      </c>
      <c r="X136" s="2">
        <v>0.67430555555555605</v>
      </c>
      <c r="Y136">
        <v>40</v>
      </c>
    </row>
    <row r="137" spans="1:25" ht="15" customHeight="1" x14ac:dyDescent="0.2">
      <c r="A137" s="1">
        <v>46240</v>
      </c>
      <c r="B137" t="s">
        <v>42</v>
      </c>
      <c r="C137" t="s">
        <v>43</v>
      </c>
      <c r="D137" t="s">
        <v>28</v>
      </c>
      <c r="E137" t="s">
        <v>31</v>
      </c>
      <c r="F137" s="2">
        <v>0.56041666666666701</v>
      </c>
      <c r="G137" s="2">
        <v>0.59861111111111098</v>
      </c>
      <c r="H137">
        <v>55</v>
      </c>
      <c r="I137" s="3">
        <v>0.54166666666666696</v>
      </c>
      <c r="J137" s="2">
        <v>0.58333333333333304</v>
      </c>
      <c r="K137">
        <v>60</v>
      </c>
      <c r="L137" s="2">
        <v>0.56041666666666701</v>
      </c>
      <c r="M137" s="2">
        <v>0.59166666666666701</v>
      </c>
      <c r="N137">
        <v>45</v>
      </c>
      <c r="O137" s="2">
        <v>0.57083333333333297</v>
      </c>
      <c r="P137" s="2">
        <v>0.58819444444444402</v>
      </c>
      <c r="Q137" s="2">
        <v>0.59166666666666701</v>
      </c>
      <c r="R137">
        <v>45</v>
      </c>
      <c r="S137">
        <v>25</v>
      </c>
      <c r="T137" s="2">
        <v>0.59516203703703696</v>
      </c>
      <c r="U137" s="2">
        <v>0.61875000000000002</v>
      </c>
      <c r="V137">
        <v>34</v>
      </c>
      <c r="W137" s="2">
        <v>0.61944444444444402</v>
      </c>
      <c r="X137" s="2">
        <v>0.63055555555555598</v>
      </c>
      <c r="Y137">
        <v>16</v>
      </c>
    </row>
    <row r="138" spans="1:25" ht="15" customHeight="1" x14ac:dyDescent="0.2">
      <c r="A138" s="1">
        <v>46240</v>
      </c>
      <c r="B138" t="s">
        <v>42</v>
      </c>
      <c r="C138" t="s">
        <v>43</v>
      </c>
      <c r="D138" t="s">
        <v>34</v>
      </c>
      <c r="E138" t="s">
        <v>31</v>
      </c>
      <c r="F138" s="2">
        <v>0.31458333333333299</v>
      </c>
      <c r="G138" s="2">
        <v>0.420833333333333</v>
      </c>
      <c r="H138">
        <v>153</v>
      </c>
      <c r="I138" s="3">
        <v>0.3125</v>
      </c>
      <c r="J138" s="2">
        <v>0.41666666666666702</v>
      </c>
      <c r="K138">
        <v>150</v>
      </c>
      <c r="L138" s="2">
        <v>0.31458333333333299</v>
      </c>
      <c r="M138" s="2">
        <v>0.41388888888888897</v>
      </c>
      <c r="N138">
        <v>143</v>
      </c>
      <c r="O138" s="2">
        <v>0.33819444444444402</v>
      </c>
      <c r="P138" s="2">
        <v>0.41041666666666698</v>
      </c>
      <c r="Q138" s="2">
        <v>0.41388888888888897</v>
      </c>
      <c r="R138">
        <v>143</v>
      </c>
      <c r="S138">
        <v>104</v>
      </c>
      <c r="T138" s="2">
        <v>0.41812500000000002</v>
      </c>
      <c r="U138" s="2">
        <v>0.44814814814814802</v>
      </c>
      <c r="V138">
        <v>43</v>
      </c>
    </row>
    <row r="139" spans="1:25" ht="15" customHeight="1" x14ac:dyDescent="0.2">
      <c r="A139" s="1">
        <v>46240</v>
      </c>
      <c r="B139" t="s">
        <v>42</v>
      </c>
      <c r="C139" t="s">
        <v>43</v>
      </c>
      <c r="D139" t="s">
        <v>28</v>
      </c>
      <c r="E139" t="s">
        <v>31</v>
      </c>
      <c r="F139" s="2">
        <v>0.311805555555556</v>
      </c>
      <c r="G139" s="2">
        <v>0.43888888888888899</v>
      </c>
      <c r="H139">
        <v>183</v>
      </c>
      <c r="I139" s="3">
        <v>0.3125</v>
      </c>
      <c r="J139" s="2">
        <v>0.41666666666666702</v>
      </c>
      <c r="K139">
        <v>150</v>
      </c>
      <c r="L139" s="2">
        <v>0.311805555555556</v>
      </c>
      <c r="M139" s="2">
        <v>0.43402777777777801</v>
      </c>
      <c r="N139">
        <v>176</v>
      </c>
      <c r="O139" s="2">
        <v>0.33333333333333298</v>
      </c>
      <c r="P139" s="2">
        <v>0.42916666666666697</v>
      </c>
      <c r="Q139" s="2">
        <v>0.43402777777777801</v>
      </c>
      <c r="R139">
        <v>176</v>
      </c>
      <c r="S139">
        <v>138</v>
      </c>
      <c r="T139" s="2">
        <v>0.43444444444444402</v>
      </c>
      <c r="U139" s="2">
        <v>0.44861111111111102</v>
      </c>
      <c r="V139">
        <v>21</v>
      </c>
    </row>
    <row r="140" spans="1:25" ht="15" customHeight="1" x14ac:dyDescent="0.2">
      <c r="A140" s="1">
        <v>46240</v>
      </c>
      <c r="B140" t="s">
        <v>42</v>
      </c>
      <c r="C140" t="s">
        <v>43</v>
      </c>
      <c r="D140" t="s">
        <v>28</v>
      </c>
      <c r="E140" t="s">
        <v>31</v>
      </c>
      <c r="F140" s="2">
        <v>0.63333333333333297</v>
      </c>
      <c r="G140" s="2">
        <v>0.71250000000000002</v>
      </c>
      <c r="H140">
        <v>114</v>
      </c>
      <c r="I140" s="3">
        <v>0.5625</v>
      </c>
      <c r="J140" s="2">
        <v>0.64583333333333304</v>
      </c>
      <c r="K140">
        <v>120</v>
      </c>
      <c r="L140" s="2">
        <v>0.63333333333333297</v>
      </c>
      <c r="M140" s="2">
        <v>0.70972222222222203</v>
      </c>
      <c r="N140">
        <v>110</v>
      </c>
      <c r="O140" s="2">
        <v>0.66319444444444398</v>
      </c>
      <c r="P140" s="2">
        <v>0.70486111111111105</v>
      </c>
      <c r="Q140" s="2">
        <v>0.70972222222222203</v>
      </c>
      <c r="R140">
        <v>110</v>
      </c>
      <c r="S140">
        <v>60</v>
      </c>
      <c r="T140" s="2">
        <v>0.71157407407407403</v>
      </c>
      <c r="U140" s="2">
        <v>0.77908564814814796</v>
      </c>
      <c r="V140">
        <v>97</v>
      </c>
      <c r="W140" s="2">
        <v>0.77910879629629604</v>
      </c>
      <c r="X140" s="2">
        <v>0.85069444444444398</v>
      </c>
      <c r="Y140">
        <v>104</v>
      </c>
    </row>
    <row r="141" spans="1:25" ht="15" customHeight="1" x14ac:dyDescent="0.2">
      <c r="A141" s="1">
        <v>46240</v>
      </c>
      <c r="B141" t="s">
        <v>26</v>
      </c>
      <c r="C141" t="s">
        <v>27</v>
      </c>
      <c r="D141" t="s">
        <v>28</v>
      </c>
      <c r="E141" t="s">
        <v>31</v>
      </c>
      <c r="F141" s="2">
        <v>0.46736111111111101</v>
      </c>
      <c r="G141" s="2">
        <v>0.60138888888888897</v>
      </c>
      <c r="H141">
        <v>193</v>
      </c>
      <c r="I141" s="3">
        <v>0.4375</v>
      </c>
      <c r="J141" s="2">
        <v>0.54166666666666696</v>
      </c>
      <c r="K141">
        <v>150</v>
      </c>
      <c r="L141" s="2">
        <v>0.46736111111111101</v>
      </c>
      <c r="M141" s="2">
        <v>0.59722222222222199</v>
      </c>
      <c r="N141">
        <v>187</v>
      </c>
      <c r="O141" s="2">
        <v>0.49097222222222198</v>
      </c>
      <c r="P141" s="2">
        <v>0.59236111111111101</v>
      </c>
      <c r="Q141" s="2">
        <v>0.59722222222222199</v>
      </c>
      <c r="R141">
        <v>187</v>
      </c>
      <c r="S141">
        <v>146</v>
      </c>
      <c r="T141" s="2">
        <v>0.59791666666666698</v>
      </c>
      <c r="U141" s="2">
        <v>0.625694444444444</v>
      </c>
      <c r="V141">
        <v>40</v>
      </c>
    </row>
    <row r="142" spans="1:25" ht="15" customHeight="1" x14ac:dyDescent="0.2">
      <c r="A142" s="1">
        <v>46240</v>
      </c>
      <c r="B142" t="s">
        <v>42</v>
      </c>
      <c r="C142" t="s">
        <v>43</v>
      </c>
      <c r="D142" t="s">
        <v>28</v>
      </c>
      <c r="E142" t="s">
        <v>29</v>
      </c>
      <c r="F142" s="2">
        <v>0.61111111111111105</v>
      </c>
      <c r="G142" s="2">
        <v>0.72083333333333299</v>
      </c>
      <c r="H142">
        <v>158</v>
      </c>
      <c r="I142" s="3">
        <v>0.58333333333333304</v>
      </c>
      <c r="J142" s="2">
        <v>0.69791666666666696</v>
      </c>
      <c r="K142">
        <v>165</v>
      </c>
      <c r="L142" s="2">
        <v>0.61111111111111105</v>
      </c>
      <c r="M142" s="2">
        <v>0.71527777777777801</v>
      </c>
      <c r="N142">
        <v>150</v>
      </c>
      <c r="O142" s="2">
        <v>0.63541666666666696</v>
      </c>
      <c r="P142" s="2">
        <v>0.71041666666666703</v>
      </c>
      <c r="Q142" s="2">
        <v>0.71527777777777801</v>
      </c>
      <c r="R142">
        <v>150</v>
      </c>
      <c r="S142">
        <v>108</v>
      </c>
      <c r="T142" s="2">
        <v>0.71604166666666702</v>
      </c>
      <c r="U142" s="2">
        <v>0.73124999999999996</v>
      </c>
      <c r="V142">
        <v>22</v>
      </c>
    </row>
    <row r="143" spans="1:25" ht="15" customHeight="1" x14ac:dyDescent="0.2">
      <c r="A143" s="1">
        <v>46240</v>
      </c>
      <c r="B143" t="s">
        <v>42</v>
      </c>
      <c r="C143" t="s">
        <v>43</v>
      </c>
      <c r="D143" t="s">
        <v>28</v>
      </c>
      <c r="E143" t="s">
        <v>31</v>
      </c>
      <c r="F143" s="2">
        <v>0.311805555555556</v>
      </c>
      <c r="G143" s="2">
        <v>0.359722222222222</v>
      </c>
      <c r="H143">
        <v>69</v>
      </c>
      <c r="I143" s="3">
        <v>0.3125</v>
      </c>
      <c r="J143" s="2">
        <v>0.36458333333333298</v>
      </c>
      <c r="K143">
        <v>75</v>
      </c>
      <c r="L143" s="2">
        <v>0.311805555555556</v>
      </c>
      <c r="M143" s="2">
        <v>0.35625000000000001</v>
      </c>
      <c r="N143">
        <v>64</v>
      </c>
      <c r="O143" s="2">
        <v>0.32361111111111102</v>
      </c>
      <c r="P143" s="2">
        <v>0.35416666666666702</v>
      </c>
      <c r="Q143" s="2">
        <v>0.35625000000000001</v>
      </c>
      <c r="R143">
        <v>64</v>
      </c>
      <c r="S143">
        <v>44</v>
      </c>
      <c r="T143" s="2">
        <v>0.358333333333333</v>
      </c>
      <c r="U143" s="2">
        <v>0.375</v>
      </c>
      <c r="V143">
        <v>24</v>
      </c>
      <c r="W143" s="2">
        <v>0.375694444444444</v>
      </c>
      <c r="X143" s="2">
        <v>0.38541666666666702</v>
      </c>
      <c r="Y143">
        <v>14</v>
      </c>
    </row>
    <row r="144" spans="1:25" ht="15" customHeight="1" x14ac:dyDescent="0.2">
      <c r="A144" s="1">
        <v>46240</v>
      </c>
      <c r="B144" t="s">
        <v>26</v>
      </c>
      <c r="C144" t="s">
        <v>27</v>
      </c>
      <c r="D144" t="s">
        <v>34</v>
      </c>
      <c r="E144" t="s">
        <v>36</v>
      </c>
      <c r="F144" s="2">
        <v>0.26250000000000001</v>
      </c>
      <c r="G144" s="2">
        <v>0.62916666666666698</v>
      </c>
      <c r="H144">
        <v>528</v>
      </c>
      <c r="I144" s="3">
        <v>0.26041666666666702</v>
      </c>
      <c r="J144" s="2">
        <v>0.51041666666666696</v>
      </c>
      <c r="K144">
        <v>360</v>
      </c>
      <c r="L144" s="2">
        <v>0.26250000000000001</v>
      </c>
      <c r="M144" s="2">
        <v>0.62291666666666701</v>
      </c>
      <c r="N144">
        <v>519</v>
      </c>
      <c r="O144" s="2">
        <v>0.37013888888888902</v>
      </c>
      <c r="P144" s="2">
        <v>0.60208333333333297</v>
      </c>
      <c r="Q144" s="2">
        <v>0.62291666666666701</v>
      </c>
      <c r="R144">
        <v>519</v>
      </c>
      <c r="S144">
        <v>334</v>
      </c>
    </row>
    <row r="145" spans="1:25" ht="15" customHeight="1" x14ac:dyDescent="0.2">
      <c r="A145" s="1">
        <v>46240</v>
      </c>
      <c r="B145" t="s">
        <v>42</v>
      </c>
      <c r="C145" t="s">
        <v>43</v>
      </c>
      <c r="D145" t="s">
        <v>28</v>
      </c>
      <c r="E145" t="s">
        <v>36</v>
      </c>
      <c r="F145" s="2">
        <v>0.65625</v>
      </c>
      <c r="G145" s="2">
        <v>0.71736111111111101</v>
      </c>
      <c r="H145">
        <v>88</v>
      </c>
      <c r="I145" s="3">
        <v>0.65625</v>
      </c>
      <c r="J145" s="2">
        <v>0.69791666666666696</v>
      </c>
      <c r="K145">
        <v>60</v>
      </c>
      <c r="L145" s="2">
        <v>0.65625</v>
      </c>
      <c r="M145" s="2">
        <v>0.71041666666666703</v>
      </c>
      <c r="N145">
        <v>78</v>
      </c>
      <c r="O145" s="2">
        <v>0.66944444444444395</v>
      </c>
      <c r="P145" s="2">
        <v>0.70694444444444404</v>
      </c>
      <c r="Q145" s="2">
        <v>0.71041666666666703</v>
      </c>
      <c r="R145">
        <v>78</v>
      </c>
      <c r="S145">
        <v>54</v>
      </c>
      <c r="T145" s="2">
        <v>0.71614583333333304</v>
      </c>
      <c r="U145" s="2">
        <v>0.74305555555555602</v>
      </c>
      <c r="V145">
        <v>39</v>
      </c>
      <c r="W145" s="2">
        <v>0.74305555555555602</v>
      </c>
      <c r="X145" s="2">
        <v>0.76249999999999996</v>
      </c>
      <c r="Y145">
        <v>28</v>
      </c>
    </row>
    <row r="146" spans="1:25" ht="15" customHeight="1" x14ac:dyDescent="0.2">
      <c r="A146" s="1">
        <v>46240</v>
      </c>
      <c r="B146" t="s">
        <v>42</v>
      </c>
      <c r="C146" t="s">
        <v>43</v>
      </c>
      <c r="D146" t="s">
        <v>34</v>
      </c>
      <c r="E146" t="s">
        <v>29</v>
      </c>
      <c r="F146" s="2">
        <v>0.31041666666666701</v>
      </c>
      <c r="G146" s="2">
        <v>0.43194444444444402</v>
      </c>
      <c r="H146">
        <v>175</v>
      </c>
      <c r="I146" s="3">
        <v>0.3125</v>
      </c>
      <c r="J146" s="2">
        <v>0.42708333333333298</v>
      </c>
      <c r="K146">
        <v>165</v>
      </c>
      <c r="L146" s="2">
        <v>0.31041666666666701</v>
      </c>
      <c r="M146" s="2">
        <v>0.42499999999999999</v>
      </c>
      <c r="N146">
        <v>165</v>
      </c>
      <c r="O146" s="2">
        <v>0.33194444444444399</v>
      </c>
      <c r="P146" s="2">
        <v>0.422916666666667</v>
      </c>
      <c r="Q146" s="2">
        <v>0.42499999999999999</v>
      </c>
      <c r="R146">
        <v>165</v>
      </c>
      <c r="S146">
        <v>131</v>
      </c>
      <c r="T146" s="2">
        <v>0.42708333333333298</v>
      </c>
      <c r="U146" s="2">
        <v>0.47916666666666702</v>
      </c>
      <c r="V146">
        <v>75</v>
      </c>
    </row>
    <row r="147" spans="1:25" ht="15" customHeight="1" x14ac:dyDescent="0.2">
      <c r="A147" s="1">
        <v>46240</v>
      </c>
      <c r="B147" t="s">
        <v>42</v>
      </c>
      <c r="C147" t="s">
        <v>43</v>
      </c>
      <c r="D147" t="s">
        <v>28</v>
      </c>
      <c r="E147" t="s">
        <v>31</v>
      </c>
      <c r="F147" s="2">
        <v>0.38402777777777802</v>
      </c>
      <c r="G147" s="2">
        <v>0.42013888888888901</v>
      </c>
      <c r="H147">
        <v>52</v>
      </c>
      <c r="I147" s="3">
        <v>0.38541666666666702</v>
      </c>
      <c r="J147" s="2">
        <v>0.4375</v>
      </c>
      <c r="K147">
        <v>75</v>
      </c>
      <c r="L147" s="2">
        <v>0.38402777777777802</v>
      </c>
      <c r="M147" s="2">
        <v>0.41666666666666702</v>
      </c>
      <c r="N147">
        <v>47</v>
      </c>
      <c r="O147" s="2">
        <v>0.39305555555555599</v>
      </c>
      <c r="P147" s="2">
        <v>0.41041666666666698</v>
      </c>
      <c r="Q147" s="2">
        <v>0.41666666666666702</v>
      </c>
      <c r="R147">
        <v>47</v>
      </c>
      <c r="S147">
        <v>25</v>
      </c>
      <c r="T147" s="2">
        <v>0.42336805555555601</v>
      </c>
      <c r="U147" s="2">
        <v>0.46875</v>
      </c>
      <c r="V147">
        <v>66</v>
      </c>
      <c r="W147" s="2">
        <v>0.469444444444444</v>
      </c>
      <c r="X147" s="2">
        <v>0.47916666666666702</v>
      </c>
      <c r="Y147">
        <v>14</v>
      </c>
    </row>
    <row r="148" spans="1:25" ht="15" customHeight="1" x14ac:dyDescent="0.2">
      <c r="A148" s="1">
        <v>46240</v>
      </c>
      <c r="B148" t="s">
        <v>42</v>
      </c>
      <c r="C148" t="s">
        <v>43</v>
      </c>
      <c r="D148" t="s">
        <v>28</v>
      </c>
      <c r="E148" t="s">
        <v>31</v>
      </c>
      <c r="F148" s="2">
        <v>0.45624999999999999</v>
      </c>
      <c r="G148" s="2">
        <v>0.52152777777777803</v>
      </c>
      <c r="H148">
        <v>94</v>
      </c>
      <c r="I148" s="3">
        <v>0.46875</v>
      </c>
      <c r="J148" s="2">
        <v>0.53125</v>
      </c>
      <c r="K148">
        <v>90</v>
      </c>
      <c r="L148" s="2">
        <v>0.45624999999999999</v>
      </c>
      <c r="M148" s="2">
        <v>0.51805555555555605</v>
      </c>
      <c r="N148">
        <v>89</v>
      </c>
      <c r="O148" s="2">
        <v>0.47013888888888899</v>
      </c>
      <c r="P148" s="2">
        <v>0.51666666666666705</v>
      </c>
      <c r="Q148" s="2">
        <v>0.51805555555555605</v>
      </c>
      <c r="R148">
        <v>89</v>
      </c>
      <c r="S148">
        <v>67</v>
      </c>
      <c r="T148" s="2">
        <v>0.51944444444444404</v>
      </c>
      <c r="U148" s="2">
        <v>0.53554398148148197</v>
      </c>
      <c r="V148">
        <v>23</v>
      </c>
      <c r="W148" s="2">
        <v>0.53555555555555601</v>
      </c>
      <c r="X148" s="2">
        <v>0.57083333333333297</v>
      </c>
      <c r="Y148">
        <v>51</v>
      </c>
    </row>
    <row r="149" spans="1:25" ht="15" customHeight="1" x14ac:dyDescent="0.2">
      <c r="A149" s="1">
        <v>46240</v>
      </c>
      <c r="B149" t="s">
        <v>42</v>
      </c>
      <c r="C149" t="s">
        <v>43</v>
      </c>
      <c r="D149" t="s">
        <v>28</v>
      </c>
      <c r="E149" t="s">
        <v>31</v>
      </c>
      <c r="F149" s="2">
        <v>0.38333333333333303</v>
      </c>
      <c r="G149" s="2">
        <v>0.43333333333333302</v>
      </c>
      <c r="H149">
        <v>72</v>
      </c>
      <c r="I149" s="3">
        <v>0.38541666666666702</v>
      </c>
      <c r="J149" s="2">
        <v>0.44791666666666702</v>
      </c>
      <c r="K149">
        <v>90</v>
      </c>
      <c r="L149" s="2">
        <v>0.38333333333333303</v>
      </c>
      <c r="M149" s="2">
        <v>0.42986111111111103</v>
      </c>
      <c r="N149">
        <v>67</v>
      </c>
      <c r="O149" s="2">
        <v>0.39652777777777798</v>
      </c>
      <c r="P149" s="2">
        <v>0.42847222222222198</v>
      </c>
      <c r="Q149" s="2">
        <v>0.42986111111111103</v>
      </c>
      <c r="R149">
        <v>67</v>
      </c>
      <c r="S149">
        <v>46</v>
      </c>
      <c r="T149" s="2">
        <v>0.43141203703703701</v>
      </c>
      <c r="U149" s="2">
        <v>0.44791666666666702</v>
      </c>
      <c r="V149">
        <v>24</v>
      </c>
      <c r="W149" s="2">
        <v>0.44861111111111102</v>
      </c>
      <c r="X149" s="2">
        <v>0.49097222222222198</v>
      </c>
      <c r="Y149">
        <v>61</v>
      </c>
    </row>
    <row r="150" spans="1:25" ht="15" customHeight="1" x14ac:dyDescent="0.2">
      <c r="A150" s="1">
        <v>46240</v>
      </c>
      <c r="B150" t="s">
        <v>42</v>
      </c>
      <c r="C150" t="s">
        <v>43</v>
      </c>
      <c r="D150" t="s">
        <v>28</v>
      </c>
      <c r="E150" t="s">
        <v>31</v>
      </c>
      <c r="F150" s="2">
        <v>0.54791666666666705</v>
      </c>
      <c r="G150" s="2">
        <v>0.59236111111111101</v>
      </c>
      <c r="H150">
        <v>64</v>
      </c>
      <c r="I150" s="3">
        <v>0.55208333333333304</v>
      </c>
      <c r="J150" s="2">
        <v>0.61458333333333304</v>
      </c>
      <c r="K150">
        <v>90</v>
      </c>
      <c r="L150" s="2">
        <v>0.54791666666666705</v>
      </c>
      <c r="M150" s="2">
        <v>0.58958333333333302</v>
      </c>
      <c r="N150">
        <v>60</v>
      </c>
      <c r="O150" s="2">
        <v>0.55902777777777801</v>
      </c>
      <c r="P150" s="2">
        <v>0.58819444444444402</v>
      </c>
      <c r="Q150" s="2">
        <v>0.58958333333333302</v>
      </c>
      <c r="R150">
        <v>60</v>
      </c>
      <c r="S150">
        <v>42</v>
      </c>
      <c r="T150" s="2">
        <v>0.59166666666666701</v>
      </c>
      <c r="U150" s="2">
        <v>0.616689814814815</v>
      </c>
      <c r="V150">
        <v>36</v>
      </c>
      <c r="W150" s="2">
        <v>0.61671296296296296</v>
      </c>
      <c r="X150" s="2">
        <v>0.64010416666666703</v>
      </c>
      <c r="Y150">
        <v>33</v>
      </c>
    </row>
    <row r="151" spans="1:25" ht="15" customHeight="1" x14ac:dyDescent="0.2">
      <c r="A151" s="1">
        <v>46240</v>
      </c>
      <c r="B151" t="s">
        <v>42</v>
      </c>
      <c r="C151" t="s">
        <v>43</v>
      </c>
      <c r="D151" t="s">
        <v>28</v>
      </c>
      <c r="E151" t="s">
        <v>31</v>
      </c>
      <c r="F151" s="2">
        <v>0.71666666666666701</v>
      </c>
      <c r="G151" s="2">
        <v>0.74305555555555602</v>
      </c>
      <c r="H151">
        <v>38</v>
      </c>
      <c r="I151" s="3">
        <v>0.70833333333333304</v>
      </c>
      <c r="J151" s="2">
        <v>0.72916666666666696</v>
      </c>
      <c r="K151">
        <v>30</v>
      </c>
      <c r="L151" s="2">
        <v>0.71597222222222201</v>
      </c>
      <c r="M151" s="2">
        <v>0.73958333333333304</v>
      </c>
      <c r="N151">
        <v>34</v>
      </c>
      <c r="O151" s="2">
        <v>0.72638888888888897</v>
      </c>
      <c r="P151" s="2">
        <v>0.73472222222222205</v>
      </c>
      <c r="Q151" s="2">
        <v>0.73958333333333304</v>
      </c>
      <c r="R151">
        <v>34</v>
      </c>
      <c r="S151">
        <v>12</v>
      </c>
      <c r="T151" s="2">
        <v>0.74365740740740705</v>
      </c>
      <c r="U151" s="2">
        <v>0.75694444444444398</v>
      </c>
      <c r="V151">
        <v>20</v>
      </c>
      <c r="W151" s="2">
        <v>0.75763888888888897</v>
      </c>
      <c r="X151" s="2">
        <v>0.76736111111111105</v>
      </c>
      <c r="Y151">
        <v>14</v>
      </c>
    </row>
    <row r="152" spans="1:25" ht="15" customHeight="1" x14ac:dyDescent="0.2">
      <c r="A152" s="1">
        <v>46240</v>
      </c>
      <c r="B152" t="s">
        <v>42</v>
      </c>
      <c r="C152" t="s">
        <v>43</v>
      </c>
      <c r="D152" t="s">
        <v>34</v>
      </c>
      <c r="E152" t="s">
        <v>29</v>
      </c>
      <c r="F152" s="2">
        <v>0.45902777777777798</v>
      </c>
      <c r="G152" s="2">
        <v>0.60902777777777795</v>
      </c>
      <c r="H152">
        <v>216</v>
      </c>
      <c r="I152" s="3">
        <v>0.4375</v>
      </c>
      <c r="J152" s="2">
        <v>0.5625</v>
      </c>
      <c r="K152">
        <v>180</v>
      </c>
      <c r="L152" s="2">
        <v>0.45902777777777798</v>
      </c>
      <c r="M152" s="2">
        <v>0.60208333333333297</v>
      </c>
      <c r="N152">
        <v>206</v>
      </c>
      <c r="O152" s="2">
        <v>0.49097222222222198</v>
      </c>
      <c r="P152" s="2">
        <v>0.59722222222222199</v>
      </c>
      <c r="Q152" s="2">
        <v>0.60208333333333297</v>
      </c>
      <c r="R152">
        <v>206</v>
      </c>
      <c r="S152">
        <v>153</v>
      </c>
      <c r="T152" s="2">
        <v>0.60565972222222197</v>
      </c>
      <c r="U152" s="2">
        <v>0.63333333333333297</v>
      </c>
      <c r="V152">
        <v>40</v>
      </c>
    </row>
    <row r="153" spans="1:25" ht="15" customHeight="1" x14ac:dyDescent="0.2">
      <c r="A153" s="1">
        <v>46240</v>
      </c>
      <c r="B153" t="s">
        <v>42</v>
      </c>
      <c r="C153" t="s">
        <v>43</v>
      </c>
      <c r="D153" t="s">
        <v>28</v>
      </c>
      <c r="E153" t="s">
        <v>35</v>
      </c>
      <c r="F153" s="2">
        <v>0.31527777777777799</v>
      </c>
      <c r="G153" s="2">
        <v>0.48888888888888898</v>
      </c>
      <c r="H153">
        <v>250</v>
      </c>
      <c r="I153" s="3">
        <v>0.3125</v>
      </c>
      <c r="J153" s="2">
        <v>0.41666666666666702</v>
      </c>
      <c r="K153">
        <v>150</v>
      </c>
      <c r="L153" s="2">
        <v>0.31527777777777799</v>
      </c>
      <c r="M153" s="2">
        <v>0.48263888888888901</v>
      </c>
      <c r="N153">
        <v>241</v>
      </c>
      <c r="O153" s="2">
        <v>0.34027777777777801</v>
      </c>
      <c r="P153" s="2">
        <v>0.47847222222222202</v>
      </c>
      <c r="Q153" s="2">
        <v>0.48263888888888901</v>
      </c>
      <c r="R153">
        <v>241</v>
      </c>
      <c r="S153">
        <v>199</v>
      </c>
      <c r="T153" s="2">
        <v>0.48528935185185201</v>
      </c>
      <c r="U153" s="2">
        <v>0.51759259259259305</v>
      </c>
      <c r="V153">
        <v>47</v>
      </c>
      <c r="W153" s="2">
        <v>0.52083333333333304</v>
      </c>
      <c r="X153" s="2">
        <v>0.55833333333333302</v>
      </c>
      <c r="Y153">
        <v>54</v>
      </c>
    </row>
    <row r="154" spans="1:25" ht="15" customHeight="1" x14ac:dyDescent="0.2">
      <c r="A154" s="1">
        <v>46240</v>
      </c>
      <c r="B154" t="s">
        <v>42</v>
      </c>
      <c r="C154" t="s">
        <v>43</v>
      </c>
      <c r="D154" t="s">
        <v>28</v>
      </c>
      <c r="E154" t="s">
        <v>29</v>
      </c>
      <c r="F154" s="2">
        <v>0.52986111111111101</v>
      </c>
      <c r="G154" s="2">
        <v>0.62638888888888899</v>
      </c>
      <c r="H154">
        <v>139</v>
      </c>
      <c r="I154" s="3">
        <v>0.4375</v>
      </c>
      <c r="J154" s="2">
        <v>0.53125</v>
      </c>
      <c r="K154">
        <v>135</v>
      </c>
      <c r="L154" s="2">
        <v>0.52986111111111101</v>
      </c>
      <c r="M154" s="2">
        <v>0.62013888888888902</v>
      </c>
      <c r="N154">
        <v>130</v>
      </c>
      <c r="O154" s="2">
        <v>0.55416666666666703</v>
      </c>
      <c r="P154" s="2">
        <v>0.61597222222222203</v>
      </c>
      <c r="Q154" s="2">
        <v>0.62013888888888902</v>
      </c>
      <c r="R154">
        <v>130</v>
      </c>
      <c r="S154">
        <v>89</v>
      </c>
      <c r="T154" s="2">
        <v>0.62152777777777801</v>
      </c>
      <c r="U154" s="2">
        <v>0.64474537037037005</v>
      </c>
      <c r="V154">
        <v>33</v>
      </c>
    </row>
    <row r="155" spans="1:25" ht="15" customHeight="1" x14ac:dyDescent="0.2">
      <c r="A155" s="1">
        <v>46240</v>
      </c>
      <c r="B155" t="s">
        <v>26</v>
      </c>
      <c r="C155" t="s">
        <v>27</v>
      </c>
      <c r="D155" t="s">
        <v>28</v>
      </c>
      <c r="E155" t="s">
        <v>29</v>
      </c>
      <c r="F155" s="2">
        <v>0.62638888888888899</v>
      </c>
      <c r="G155" s="2">
        <v>0.80347222222222203</v>
      </c>
      <c r="H155">
        <v>255</v>
      </c>
      <c r="I155" s="3">
        <v>0.58333333333333304</v>
      </c>
      <c r="J155" s="2">
        <v>0.75</v>
      </c>
      <c r="K155">
        <v>240</v>
      </c>
      <c r="L155" s="2">
        <v>0.62638888888888899</v>
      </c>
      <c r="M155" s="2">
        <v>0.79652777777777795</v>
      </c>
      <c r="N155">
        <v>245</v>
      </c>
      <c r="O155" s="2">
        <v>0.66736111111111096</v>
      </c>
      <c r="P155" s="2">
        <v>0.79027777777777797</v>
      </c>
      <c r="Q155" s="2">
        <v>0.79652777777777795</v>
      </c>
      <c r="R155">
        <v>245</v>
      </c>
      <c r="S155">
        <v>177</v>
      </c>
      <c r="T155" s="2">
        <v>0.79861111111111105</v>
      </c>
      <c r="U155" s="2">
        <v>0.88194444444444398</v>
      </c>
      <c r="V155">
        <v>120</v>
      </c>
    </row>
    <row r="156" spans="1:25" ht="15" customHeight="1" x14ac:dyDescent="0.2">
      <c r="A156" s="1">
        <v>46240</v>
      </c>
      <c r="B156" t="s">
        <v>42</v>
      </c>
      <c r="C156" t="s">
        <v>43</v>
      </c>
      <c r="D156" t="s">
        <v>28</v>
      </c>
      <c r="E156" t="s">
        <v>29</v>
      </c>
      <c r="F156" s="2">
        <v>0.64861111111111103</v>
      </c>
      <c r="G156" s="2">
        <v>0.719444444444444</v>
      </c>
      <c r="H156">
        <v>102</v>
      </c>
      <c r="I156" s="3">
        <v>0.55208333333333304</v>
      </c>
      <c r="J156" s="2">
        <v>0.63541666666666696</v>
      </c>
      <c r="K156">
        <v>120</v>
      </c>
      <c r="L156" s="2">
        <v>0.64861111111111103</v>
      </c>
      <c r="M156" s="2">
        <v>0.71319444444444402</v>
      </c>
      <c r="N156">
        <v>93</v>
      </c>
      <c r="O156" s="2">
        <v>0.66666666666666696</v>
      </c>
      <c r="P156" s="2">
        <v>0.70069444444444395</v>
      </c>
      <c r="Q156" s="2">
        <v>0.71319444444444402</v>
      </c>
      <c r="R156">
        <v>93</v>
      </c>
      <c r="S156">
        <v>49</v>
      </c>
      <c r="T156" s="2">
        <v>0.71527777777777801</v>
      </c>
      <c r="U156" s="2">
        <v>0.77430555555555602</v>
      </c>
      <c r="V156">
        <v>85</v>
      </c>
      <c r="W156" s="2">
        <v>0.77500000000000002</v>
      </c>
      <c r="X156" s="2">
        <v>0.77638888888888902</v>
      </c>
      <c r="Y156">
        <v>2</v>
      </c>
    </row>
    <row r="157" spans="1:25" ht="15" customHeight="1" x14ac:dyDescent="0.2">
      <c r="A157" s="1">
        <v>46240</v>
      </c>
      <c r="B157" t="s">
        <v>26</v>
      </c>
      <c r="C157" t="s">
        <v>27</v>
      </c>
      <c r="D157" t="s">
        <v>28</v>
      </c>
      <c r="E157" t="s">
        <v>29</v>
      </c>
      <c r="F157" s="2">
        <v>0.44930555555555601</v>
      </c>
      <c r="G157" s="2">
        <v>0.485416666666667</v>
      </c>
      <c r="H157">
        <v>52</v>
      </c>
      <c r="I157" s="3">
        <v>0.45833333333333298</v>
      </c>
      <c r="J157" s="2">
        <v>0.5</v>
      </c>
      <c r="K157">
        <v>60</v>
      </c>
      <c r="L157" s="2">
        <v>0.44930555555555601</v>
      </c>
      <c r="M157" s="2">
        <v>0.48055555555555601</v>
      </c>
      <c r="N157">
        <v>45</v>
      </c>
      <c r="O157" s="2">
        <v>0.46319444444444402</v>
      </c>
      <c r="P157" s="2">
        <v>0.47638888888888897</v>
      </c>
      <c r="Q157" s="2">
        <v>0.48055555555555601</v>
      </c>
      <c r="R157">
        <v>45</v>
      </c>
      <c r="S157">
        <v>19</v>
      </c>
      <c r="T157" s="2">
        <v>0.48612268518518498</v>
      </c>
      <c r="U157" s="2">
        <v>0.54166666666666696</v>
      </c>
      <c r="V157">
        <v>80</v>
      </c>
    </row>
    <row r="158" spans="1:25" ht="15" customHeight="1" x14ac:dyDescent="0.2">
      <c r="A158" s="1">
        <v>46240</v>
      </c>
      <c r="B158" t="s">
        <v>26</v>
      </c>
      <c r="C158" t="s">
        <v>27</v>
      </c>
      <c r="D158" t="s">
        <v>28</v>
      </c>
      <c r="E158" t="s">
        <v>35</v>
      </c>
      <c r="F158" s="2">
        <v>0.31527777777777799</v>
      </c>
      <c r="G158" s="2">
        <v>0.53472222222222199</v>
      </c>
      <c r="H158">
        <v>316</v>
      </c>
      <c r="I158" s="3">
        <v>0.3125</v>
      </c>
      <c r="J158" s="2">
        <v>0.45833333333333298</v>
      </c>
      <c r="K158">
        <v>210</v>
      </c>
      <c r="L158" s="2">
        <v>0.31527777777777799</v>
      </c>
      <c r="M158" s="2">
        <v>0.52986111111111101</v>
      </c>
      <c r="N158">
        <v>309</v>
      </c>
      <c r="O158" s="2">
        <v>0.344444444444444</v>
      </c>
      <c r="P158" s="2">
        <v>0.52291666666666703</v>
      </c>
      <c r="Q158" s="2">
        <v>0.52986111111111101</v>
      </c>
      <c r="R158">
        <v>309</v>
      </c>
      <c r="S158">
        <v>257</v>
      </c>
      <c r="T158" s="2">
        <v>0.53130787037036997</v>
      </c>
      <c r="U158" s="2">
        <v>0.594444444444444</v>
      </c>
      <c r="V158">
        <v>91</v>
      </c>
    </row>
    <row r="159" spans="1:25" ht="15" customHeight="1" x14ac:dyDescent="0.2">
      <c r="A159" s="1">
        <v>46240</v>
      </c>
      <c r="B159" t="s">
        <v>26</v>
      </c>
      <c r="C159" t="s">
        <v>27</v>
      </c>
      <c r="D159" t="s">
        <v>28</v>
      </c>
      <c r="E159" t="s">
        <v>31</v>
      </c>
      <c r="F159" s="2">
        <v>0.42569444444444399</v>
      </c>
      <c r="G159" s="2">
        <v>0.49861111111111101</v>
      </c>
      <c r="H159">
        <v>105</v>
      </c>
      <c r="I159" s="3">
        <v>0.41666666666666702</v>
      </c>
      <c r="J159" s="2">
        <v>0.5</v>
      </c>
      <c r="K159">
        <v>120</v>
      </c>
      <c r="L159" s="2">
        <v>0.42499999999999999</v>
      </c>
      <c r="M159" s="2">
        <v>0.49236111111111103</v>
      </c>
      <c r="N159">
        <v>97</v>
      </c>
      <c r="O159" s="2">
        <v>0.45069444444444401</v>
      </c>
      <c r="P159" s="2">
        <v>0.48749999999999999</v>
      </c>
      <c r="Q159" s="2">
        <v>0.49236111111111103</v>
      </c>
      <c r="R159">
        <v>97</v>
      </c>
      <c r="S159">
        <v>53</v>
      </c>
      <c r="T159" s="2">
        <v>0.49375000000000002</v>
      </c>
      <c r="U159" s="2">
        <v>0.52083333333333304</v>
      </c>
      <c r="V159">
        <v>39</v>
      </c>
    </row>
    <row r="160" spans="1:25" ht="15" customHeight="1" x14ac:dyDescent="0.2">
      <c r="A160" s="1">
        <v>46240</v>
      </c>
      <c r="B160" t="s">
        <v>26</v>
      </c>
      <c r="C160" t="s">
        <v>27</v>
      </c>
      <c r="D160" t="s">
        <v>28</v>
      </c>
      <c r="E160" t="s">
        <v>35</v>
      </c>
      <c r="F160" s="2">
        <v>0.54861111111111105</v>
      </c>
      <c r="G160" s="2">
        <v>0.58750000000000002</v>
      </c>
      <c r="H160">
        <v>56</v>
      </c>
      <c r="I160" s="3">
        <v>0.5</v>
      </c>
      <c r="J160" s="2">
        <v>0.54166666666666696</v>
      </c>
      <c r="K160">
        <v>60</v>
      </c>
      <c r="L160" s="2">
        <v>0.54861111111111105</v>
      </c>
      <c r="M160" s="2">
        <v>0.58402777777777803</v>
      </c>
      <c r="N160">
        <v>51</v>
      </c>
      <c r="O160" s="2">
        <v>0.563194444444444</v>
      </c>
      <c r="P160" s="2">
        <v>0.58125000000000004</v>
      </c>
      <c r="Q160" s="2">
        <v>0.58402777777777803</v>
      </c>
      <c r="R160">
        <v>51</v>
      </c>
      <c r="S160">
        <v>26</v>
      </c>
      <c r="T160" s="2">
        <v>0.58525462962963004</v>
      </c>
      <c r="U160" s="2">
        <v>0.64803240740740697</v>
      </c>
      <c r="V160">
        <v>91</v>
      </c>
    </row>
    <row r="161" spans="1:25" ht="15" customHeight="1" x14ac:dyDescent="0.2">
      <c r="A161" s="1">
        <v>46240</v>
      </c>
      <c r="B161" t="s">
        <v>26</v>
      </c>
      <c r="C161" t="s">
        <v>27</v>
      </c>
      <c r="D161" t="s">
        <v>34</v>
      </c>
      <c r="E161" t="s">
        <v>29</v>
      </c>
      <c r="F161" s="2">
        <v>0.59722222222222199</v>
      </c>
      <c r="G161" s="2">
        <v>0.66180555555555598</v>
      </c>
      <c r="H161">
        <v>93</v>
      </c>
      <c r="I161" s="3">
        <v>0.58333333333333304</v>
      </c>
      <c r="J161" s="2">
        <v>0.66666666666666696</v>
      </c>
      <c r="K161">
        <v>120</v>
      </c>
      <c r="L161" s="2">
        <v>0.59722222222222199</v>
      </c>
      <c r="M161" s="2">
        <v>0.65833333333333299</v>
      </c>
      <c r="N161">
        <v>88</v>
      </c>
      <c r="O161" s="2">
        <v>0.61388888888888904</v>
      </c>
      <c r="P161" s="2">
        <v>0.65347222222222201</v>
      </c>
      <c r="Q161" s="2">
        <v>0.65833333333333299</v>
      </c>
      <c r="R161">
        <v>88</v>
      </c>
      <c r="S161">
        <v>57</v>
      </c>
      <c r="T161" s="2">
        <v>0.65896990740740702</v>
      </c>
      <c r="U161" s="2">
        <v>0.688194444444444</v>
      </c>
      <c r="V161">
        <v>43</v>
      </c>
    </row>
    <row r="162" spans="1:25" ht="15" customHeight="1" x14ac:dyDescent="0.2">
      <c r="A162" s="1">
        <v>46240</v>
      </c>
      <c r="B162" t="s">
        <v>26</v>
      </c>
      <c r="C162" t="s">
        <v>27</v>
      </c>
      <c r="D162" t="s">
        <v>28</v>
      </c>
      <c r="E162" t="s">
        <v>29</v>
      </c>
      <c r="F162" s="2">
        <v>0.50208333333333299</v>
      </c>
      <c r="G162" s="2">
        <v>0.55416666666666703</v>
      </c>
      <c r="H162">
        <v>75</v>
      </c>
      <c r="I162" s="3">
        <v>0.5</v>
      </c>
      <c r="J162" s="2">
        <v>0.53472222222222199</v>
      </c>
      <c r="K162">
        <v>80</v>
      </c>
      <c r="L162" s="2">
        <v>0.50624999999999998</v>
      </c>
      <c r="M162" s="2">
        <v>0.54652777777777795</v>
      </c>
      <c r="N162">
        <v>58</v>
      </c>
      <c r="O162" s="2">
        <v>0.52916666666666701</v>
      </c>
      <c r="P162" s="2">
        <v>0.54097222222222197</v>
      </c>
      <c r="Q162" s="2">
        <v>0.54652777777777795</v>
      </c>
      <c r="R162">
        <v>58</v>
      </c>
      <c r="S162">
        <v>17</v>
      </c>
    </row>
    <row r="163" spans="1:25" ht="15" customHeight="1" x14ac:dyDescent="0.2">
      <c r="A163" s="1">
        <v>46240</v>
      </c>
      <c r="B163" t="s">
        <v>26</v>
      </c>
      <c r="C163" t="s">
        <v>27</v>
      </c>
      <c r="D163" t="s">
        <v>28</v>
      </c>
      <c r="E163" t="s">
        <v>29</v>
      </c>
      <c r="F163" s="2">
        <v>0.71250000000000002</v>
      </c>
      <c r="G163" s="2">
        <v>0.76041666666666696</v>
      </c>
      <c r="H163">
        <v>69</v>
      </c>
      <c r="I163" s="3">
        <v>0.71875</v>
      </c>
      <c r="J163" s="2">
        <v>0.76388888888888895</v>
      </c>
      <c r="K163">
        <v>95</v>
      </c>
      <c r="L163" s="2">
        <v>0.71250000000000002</v>
      </c>
      <c r="M163" s="2">
        <v>0.75486111111111098</v>
      </c>
      <c r="N163">
        <v>61</v>
      </c>
      <c r="O163" s="2">
        <v>0.72499999999999998</v>
      </c>
      <c r="P163" s="2">
        <v>0.75</v>
      </c>
      <c r="Q163" s="2">
        <v>0.75486111111111098</v>
      </c>
      <c r="R163">
        <v>61</v>
      </c>
      <c r="S163">
        <v>36</v>
      </c>
      <c r="T163" s="2">
        <v>0.75694444444444398</v>
      </c>
      <c r="U163" s="2">
        <v>0.77569444444444402</v>
      </c>
      <c r="V163">
        <v>27</v>
      </c>
    </row>
    <row r="164" spans="1:25" ht="15" customHeight="1" x14ac:dyDescent="0.2">
      <c r="A164" s="1">
        <v>46240</v>
      </c>
      <c r="B164" t="s">
        <v>26</v>
      </c>
      <c r="C164" t="s">
        <v>27</v>
      </c>
      <c r="D164" t="s">
        <v>28</v>
      </c>
      <c r="E164" t="s">
        <v>31</v>
      </c>
      <c r="F164" s="2">
        <v>0.74791666666666701</v>
      </c>
      <c r="G164" s="2">
        <v>0.80694444444444402</v>
      </c>
      <c r="H164">
        <v>85</v>
      </c>
      <c r="I164" s="3">
        <v>0.74305555555555602</v>
      </c>
      <c r="J164" s="2">
        <v>0.80208333333333304</v>
      </c>
      <c r="K164">
        <v>115</v>
      </c>
      <c r="L164" s="2">
        <v>0.74791666666666701</v>
      </c>
      <c r="M164" s="2">
        <v>0.80208333333333304</v>
      </c>
      <c r="N164">
        <v>78</v>
      </c>
      <c r="O164" s="2">
        <v>0.77013888888888904</v>
      </c>
      <c r="P164" s="2">
        <v>0.8</v>
      </c>
      <c r="Q164" s="2">
        <v>0.80208333333333304</v>
      </c>
      <c r="R164">
        <v>78</v>
      </c>
      <c r="S164">
        <v>43</v>
      </c>
      <c r="T164" s="2">
        <v>0.80543981481481497</v>
      </c>
      <c r="U164" s="2">
        <v>0.84373842592592596</v>
      </c>
      <c r="V164">
        <v>55</v>
      </c>
    </row>
    <row r="165" spans="1:25" ht="15" customHeight="1" x14ac:dyDescent="0.2">
      <c r="A165" s="1">
        <v>46240</v>
      </c>
      <c r="B165" t="s">
        <v>26</v>
      </c>
      <c r="C165" t="s">
        <v>27</v>
      </c>
      <c r="D165" t="s">
        <v>28</v>
      </c>
      <c r="E165" t="s">
        <v>36</v>
      </c>
      <c r="F165" s="2">
        <v>0.83819444444444402</v>
      </c>
      <c r="I165" s="3">
        <v>0.85416666666666696</v>
      </c>
      <c r="J165" s="2">
        <v>0.88888888888888895</v>
      </c>
      <c r="K165">
        <v>50</v>
      </c>
      <c r="L165" s="2">
        <v>0.83819444444444402</v>
      </c>
      <c r="M165" s="2">
        <v>0.88263888888888897</v>
      </c>
      <c r="N165">
        <v>64</v>
      </c>
      <c r="O165" s="2">
        <v>0.85972222222222205</v>
      </c>
      <c r="P165" s="2">
        <v>0.88194444444444398</v>
      </c>
      <c r="Q165" s="2">
        <v>0.88263888888888897</v>
      </c>
      <c r="R165">
        <v>64</v>
      </c>
      <c r="S165">
        <v>32</v>
      </c>
    </row>
    <row r="166" spans="1:25" ht="15" customHeight="1" x14ac:dyDescent="0.2">
      <c r="A166" s="1">
        <v>46240</v>
      </c>
      <c r="B166" t="s">
        <v>42</v>
      </c>
      <c r="C166" t="s">
        <v>43</v>
      </c>
      <c r="D166" t="s">
        <v>28</v>
      </c>
      <c r="E166" t="s">
        <v>29</v>
      </c>
      <c r="F166" s="2">
        <v>0.30833333333333302</v>
      </c>
      <c r="G166" s="2">
        <v>0.35555555555555601</v>
      </c>
      <c r="H166">
        <v>68</v>
      </c>
      <c r="I166" s="3">
        <v>0.3125</v>
      </c>
      <c r="J166" s="2">
        <v>0.34375</v>
      </c>
      <c r="K166">
        <v>45</v>
      </c>
      <c r="L166" s="2">
        <v>0.30833333333333302</v>
      </c>
      <c r="M166" s="2">
        <v>0.33611111111111103</v>
      </c>
      <c r="N166">
        <v>40</v>
      </c>
      <c r="O166" s="2">
        <v>0.32430555555555601</v>
      </c>
      <c r="P166" s="2">
        <v>0.33333333333333298</v>
      </c>
      <c r="Q166" s="2">
        <v>0.33611111111111103</v>
      </c>
      <c r="R166">
        <v>40</v>
      </c>
      <c r="S166">
        <v>13</v>
      </c>
      <c r="T166" s="2">
        <v>0.34133101851851799</v>
      </c>
      <c r="U166" s="2">
        <v>0.4375</v>
      </c>
      <c r="V166">
        <v>139</v>
      </c>
    </row>
    <row r="167" spans="1:25" ht="15" customHeight="1" x14ac:dyDescent="0.2">
      <c r="A167" s="1">
        <v>46240</v>
      </c>
      <c r="B167" t="s">
        <v>42</v>
      </c>
      <c r="C167" t="s">
        <v>43</v>
      </c>
      <c r="D167" t="s">
        <v>28</v>
      </c>
      <c r="E167" t="s">
        <v>31</v>
      </c>
      <c r="F167" s="2">
        <v>0.41944444444444401</v>
      </c>
      <c r="G167" s="2">
        <v>0.49444444444444402</v>
      </c>
      <c r="H167">
        <v>108</v>
      </c>
      <c r="I167" s="3">
        <v>0.42708333333333298</v>
      </c>
      <c r="J167" s="2">
        <v>0.48958333333333298</v>
      </c>
      <c r="K167">
        <v>90</v>
      </c>
      <c r="L167" s="2">
        <v>0.41944444444444401</v>
      </c>
      <c r="M167" s="2">
        <v>0.49027777777777798</v>
      </c>
      <c r="N167">
        <v>102</v>
      </c>
      <c r="O167" s="2">
        <v>0.45069444444444401</v>
      </c>
      <c r="P167" s="2">
        <v>0.48680555555555599</v>
      </c>
      <c r="Q167" s="2">
        <v>0.49027777777777798</v>
      </c>
      <c r="R167">
        <v>102</v>
      </c>
      <c r="S167">
        <v>52</v>
      </c>
      <c r="T167" s="2">
        <v>0.49604166666666699</v>
      </c>
      <c r="U167" s="2">
        <v>0.55208333333333304</v>
      </c>
      <c r="V167">
        <v>81</v>
      </c>
    </row>
    <row r="168" spans="1:25" ht="15" customHeight="1" x14ac:dyDescent="0.2">
      <c r="A168" s="1">
        <v>46240</v>
      </c>
      <c r="B168" t="s">
        <v>42</v>
      </c>
      <c r="C168" t="s">
        <v>43</v>
      </c>
      <c r="D168" t="s">
        <v>28</v>
      </c>
      <c r="E168" t="s">
        <v>31</v>
      </c>
      <c r="F168" s="2">
        <v>0.51458333333333295</v>
      </c>
      <c r="G168" s="2">
        <v>0.56458333333333299</v>
      </c>
      <c r="H168">
        <v>72</v>
      </c>
      <c r="I168" s="3">
        <v>0.51041666666666696</v>
      </c>
      <c r="J168" s="2">
        <v>0.55208333333333304</v>
      </c>
      <c r="K168">
        <v>60</v>
      </c>
      <c r="L168" s="2">
        <v>0.51458333333333295</v>
      </c>
      <c r="M168" s="2">
        <v>0.55972222222222201</v>
      </c>
      <c r="N168">
        <v>65</v>
      </c>
      <c r="O168" s="2">
        <v>0.53333333333333299</v>
      </c>
      <c r="P168" s="2">
        <v>0.55625000000000002</v>
      </c>
      <c r="Q168" s="2">
        <v>0.55972222222222201</v>
      </c>
      <c r="R168">
        <v>65</v>
      </c>
      <c r="S168">
        <v>33</v>
      </c>
      <c r="T168" s="2">
        <v>0.561805555555556</v>
      </c>
      <c r="U168" s="2">
        <v>0.594444444444444</v>
      </c>
      <c r="V168">
        <v>47</v>
      </c>
      <c r="W168" s="2">
        <v>0.59513888888888899</v>
      </c>
      <c r="X168" s="2">
        <v>0.60277777777777797</v>
      </c>
      <c r="Y168">
        <v>11</v>
      </c>
    </row>
    <row r="169" spans="1:25" ht="15" customHeight="1" x14ac:dyDescent="0.2">
      <c r="A169" s="1">
        <v>46240</v>
      </c>
      <c r="B169" t="s">
        <v>42</v>
      </c>
      <c r="C169" t="s">
        <v>43</v>
      </c>
      <c r="D169" t="s">
        <v>28</v>
      </c>
      <c r="E169" t="s">
        <v>31</v>
      </c>
      <c r="F169" s="2">
        <v>0.31874999999999998</v>
      </c>
      <c r="G169" s="2">
        <v>0.33958333333333302</v>
      </c>
      <c r="H169">
        <v>30</v>
      </c>
      <c r="I169" s="3">
        <v>0.3125</v>
      </c>
      <c r="J169" s="2">
        <v>0.33333333333333298</v>
      </c>
      <c r="K169">
        <v>30</v>
      </c>
      <c r="L169" s="2">
        <v>0.31874999999999998</v>
      </c>
      <c r="M169" s="2">
        <v>0.33680555555555602</v>
      </c>
      <c r="N169">
        <v>26</v>
      </c>
      <c r="O169" s="2">
        <v>0.32986111111111099</v>
      </c>
      <c r="P169" s="2">
        <v>0.33402777777777798</v>
      </c>
      <c r="Q169" s="2">
        <v>0.33680555555555602</v>
      </c>
      <c r="R169">
        <v>26</v>
      </c>
      <c r="S169">
        <v>6</v>
      </c>
      <c r="T169" s="2">
        <v>0.34027777777777801</v>
      </c>
      <c r="U169" s="2">
        <v>0.35798611111111101</v>
      </c>
      <c r="V169">
        <v>25</v>
      </c>
      <c r="W169" s="2">
        <v>0.35800925925925903</v>
      </c>
      <c r="X169" s="2">
        <v>0.39350694444444401</v>
      </c>
      <c r="Y169">
        <v>51</v>
      </c>
    </row>
    <row r="170" spans="1:25" ht="15" customHeight="1" x14ac:dyDescent="0.2">
      <c r="A170" s="1">
        <v>46240</v>
      </c>
      <c r="B170" t="s">
        <v>42</v>
      </c>
      <c r="C170" t="s">
        <v>43</v>
      </c>
      <c r="D170" t="s">
        <v>28</v>
      </c>
      <c r="E170" t="s">
        <v>29</v>
      </c>
      <c r="F170" s="2">
        <v>0.57916666666666705</v>
      </c>
      <c r="G170" s="2">
        <v>0.625694444444444</v>
      </c>
      <c r="H170">
        <v>67</v>
      </c>
      <c r="I170" s="3">
        <v>0.57291666666666696</v>
      </c>
      <c r="J170" s="2">
        <v>0.61458333333333304</v>
      </c>
      <c r="K170">
        <v>60</v>
      </c>
      <c r="L170" s="2">
        <v>0.57916666666666705</v>
      </c>
      <c r="M170" s="2">
        <v>0.62222222222222201</v>
      </c>
      <c r="N170">
        <v>62</v>
      </c>
      <c r="O170" s="2">
        <v>0.59861111111111098</v>
      </c>
      <c r="P170" s="2">
        <v>0.61944444444444402</v>
      </c>
      <c r="Q170" s="2">
        <v>0.62222222222222201</v>
      </c>
      <c r="R170">
        <v>62</v>
      </c>
      <c r="S170">
        <v>30</v>
      </c>
      <c r="T170" s="2">
        <v>0.625</v>
      </c>
      <c r="U170" s="2">
        <v>0.69861111111111096</v>
      </c>
      <c r="V170">
        <v>106</v>
      </c>
      <c r="W170" s="2">
        <v>0.69930555555555596</v>
      </c>
      <c r="X170" s="2">
        <v>0.72083333333333299</v>
      </c>
      <c r="Y170">
        <v>31</v>
      </c>
    </row>
    <row r="171" spans="1:25" ht="15" customHeight="1" x14ac:dyDescent="0.2">
      <c r="A171" s="1">
        <v>46241</v>
      </c>
      <c r="B171" t="s">
        <v>26</v>
      </c>
      <c r="C171" t="s">
        <v>27</v>
      </c>
      <c r="D171" t="s">
        <v>28</v>
      </c>
      <c r="E171" t="s">
        <v>31</v>
      </c>
      <c r="F171" s="2">
        <v>0.44236111111111098</v>
      </c>
      <c r="G171" s="2">
        <v>0.56458333333333299</v>
      </c>
      <c r="H171">
        <v>176</v>
      </c>
      <c r="I171" s="3">
        <v>0.42708333333333298</v>
      </c>
      <c r="J171" s="2">
        <v>0.55208333333333304</v>
      </c>
      <c r="K171">
        <v>180</v>
      </c>
      <c r="L171" s="2">
        <v>0.44236111111111098</v>
      </c>
      <c r="M171" s="2">
        <v>0.56111111111111101</v>
      </c>
      <c r="N171">
        <v>171</v>
      </c>
      <c r="O171" s="2">
        <v>0.46319444444444402</v>
      </c>
      <c r="P171" s="2">
        <v>0.55763888888888902</v>
      </c>
      <c r="Q171" s="2">
        <v>0.56111111111111101</v>
      </c>
      <c r="R171">
        <v>171</v>
      </c>
      <c r="S171">
        <v>136</v>
      </c>
      <c r="T171" s="2">
        <v>0.56274305555555604</v>
      </c>
      <c r="U171" s="2">
        <v>0.63533564814814802</v>
      </c>
      <c r="V171">
        <v>104</v>
      </c>
    </row>
    <row r="172" spans="1:25" ht="15" customHeight="1" x14ac:dyDescent="0.2">
      <c r="A172" s="1">
        <v>46241</v>
      </c>
      <c r="B172" t="s">
        <v>42</v>
      </c>
      <c r="C172" t="s">
        <v>43</v>
      </c>
      <c r="D172" t="s">
        <v>28</v>
      </c>
      <c r="E172" t="s">
        <v>29</v>
      </c>
      <c r="F172" s="2">
        <v>0.57847222222222205</v>
      </c>
      <c r="G172" s="2">
        <v>0.60624999999999996</v>
      </c>
      <c r="H172">
        <v>40</v>
      </c>
      <c r="I172" s="3">
        <v>0.59027777777777801</v>
      </c>
      <c r="J172" s="2">
        <v>0.62152777777777801</v>
      </c>
      <c r="K172">
        <v>45</v>
      </c>
      <c r="L172" s="2">
        <v>0.57847222222222205</v>
      </c>
      <c r="M172" s="2">
        <v>0.60277777777777797</v>
      </c>
      <c r="N172">
        <v>35</v>
      </c>
      <c r="O172" s="2">
        <v>0.59097222222222201</v>
      </c>
      <c r="P172" s="2">
        <v>0.60069444444444398</v>
      </c>
      <c r="Q172" s="2">
        <v>0.60277777777777797</v>
      </c>
      <c r="R172">
        <v>35</v>
      </c>
      <c r="S172">
        <v>14</v>
      </c>
      <c r="T172" s="2">
        <v>0.60486111111111096</v>
      </c>
      <c r="U172" s="2">
        <v>0.625</v>
      </c>
      <c r="V172">
        <v>29</v>
      </c>
    </row>
    <row r="173" spans="1:25" ht="15" customHeight="1" x14ac:dyDescent="0.2">
      <c r="A173" s="1">
        <v>46241</v>
      </c>
      <c r="B173" t="s">
        <v>42</v>
      </c>
      <c r="C173" t="s">
        <v>43</v>
      </c>
      <c r="D173" t="s">
        <v>28</v>
      </c>
      <c r="E173" t="s">
        <v>29</v>
      </c>
      <c r="F173" s="2">
        <v>0.31805555555555598</v>
      </c>
      <c r="G173" s="2">
        <v>0.35625000000000001</v>
      </c>
      <c r="H173">
        <v>55</v>
      </c>
      <c r="I173" s="3">
        <v>0.3125</v>
      </c>
      <c r="J173" s="2">
        <v>0.35416666666666702</v>
      </c>
      <c r="K173">
        <v>60</v>
      </c>
      <c r="L173" s="2">
        <v>0.31805555555555598</v>
      </c>
      <c r="M173" s="2">
        <v>0.35277777777777802</v>
      </c>
      <c r="N173">
        <v>50</v>
      </c>
      <c r="O173" s="2">
        <v>0.33263888888888898</v>
      </c>
      <c r="P173" s="2">
        <v>0.34861111111111098</v>
      </c>
      <c r="Q173" s="2">
        <v>0.35277777777777802</v>
      </c>
      <c r="R173">
        <v>50</v>
      </c>
      <c r="S173">
        <v>23</v>
      </c>
      <c r="T173" s="2">
        <v>0.35555555555555601</v>
      </c>
      <c r="U173" s="2">
        <v>0.375694444444444</v>
      </c>
      <c r="V173">
        <v>29</v>
      </c>
      <c r="W173" s="2">
        <v>0.375694444444444</v>
      </c>
      <c r="X173" s="2">
        <v>0.40972222222222199</v>
      </c>
      <c r="Y173">
        <v>49</v>
      </c>
    </row>
    <row r="174" spans="1:25" ht="15" customHeight="1" x14ac:dyDescent="0.2">
      <c r="A174" s="1">
        <v>46241</v>
      </c>
      <c r="B174" t="s">
        <v>42</v>
      </c>
      <c r="C174" t="s">
        <v>43</v>
      </c>
      <c r="D174" t="s">
        <v>28</v>
      </c>
      <c r="E174" t="s">
        <v>31</v>
      </c>
      <c r="F174" s="2">
        <v>0.50763888888888897</v>
      </c>
      <c r="G174" s="2">
        <v>0.55069444444444404</v>
      </c>
      <c r="H174">
        <v>62</v>
      </c>
      <c r="I174" s="3">
        <v>0.51041666666666696</v>
      </c>
      <c r="J174" s="2">
        <v>0.54166666666666696</v>
      </c>
      <c r="K174">
        <v>45</v>
      </c>
      <c r="L174" s="2">
        <v>0.50763888888888897</v>
      </c>
      <c r="M174" s="2">
        <v>0.54861111111111105</v>
      </c>
      <c r="N174">
        <v>59</v>
      </c>
      <c r="O174" s="2">
        <v>0.51736111111111105</v>
      </c>
      <c r="P174" s="2">
        <v>0.54097222222222197</v>
      </c>
      <c r="Q174" s="2">
        <v>0.54861111111111105</v>
      </c>
      <c r="R174">
        <v>59</v>
      </c>
      <c r="S174">
        <v>34</v>
      </c>
      <c r="T174" s="2">
        <v>0.55000000000000004</v>
      </c>
      <c r="U174" s="2">
        <v>0.58402777777777803</v>
      </c>
      <c r="V174">
        <v>49</v>
      </c>
      <c r="W174" s="2">
        <v>0.58402777777777803</v>
      </c>
      <c r="X174" s="2">
        <v>0.60763888888888895</v>
      </c>
      <c r="Y174">
        <v>34</v>
      </c>
    </row>
    <row r="175" spans="1:25" ht="15" customHeight="1" x14ac:dyDescent="0.2">
      <c r="A175" s="1">
        <v>46241</v>
      </c>
      <c r="B175" t="s">
        <v>42</v>
      </c>
      <c r="C175" t="s">
        <v>43</v>
      </c>
      <c r="D175" t="s">
        <v>28</v>
      </c>
      <c r="E175" t="s">
        <v>29</v>
      </c>
      <c r="F175" s="2">
        <v>0.31458333333333299</v>
      </c>
      <c r="G175" s="2">
        <v>0.359027777777778</v>
      </c>
      <c r="H175">
        <v>64</v>
      </c>
      <c r="I175" s="3">
        <v>0.3125</v>
      </c>
      <c r="J175" s="2">
        <v>0.35416666666666702</v>
      </c>
      <c r="K175">
        <v>60</v>
      </c>
      <c r="L175" s="2">
        <v>0.31458333333333299</v>
      </c>
      <c r="M175" s="2">
        <v>0.35625000000000001</v>
      </c>
      <c r="N175">
        <v>60</v>
      </c>
      <c r="O175" s="2">
        <v>0.32569444444444401</v>
      </c>
      <c r="P175" s="2">
        <v>0.35416666666666702</v>
      </c>
      <c r="Q175" s="2">
        <v>0.35625000000000001</v>
      </c>
      <c r="R175">
        <v>60</v>
      </c>
      <c r="S175">
        <v>41</v>
      </c>
      <c r="T175" s="2">
        <v>0.36075231481481501</v>
      </c>
      <c r="U175" s="2">
        <v>0.40972222222222199</v>
      </c>
      <c r="V175">
        <v>71</v>
      </c>
      <c r="W175" s="2">
        <v>0.41041666666666698</v>
      </c>
      <c r="X175" s="2">
        <v>0.42013888888888901</v>
      </c>
      <c r="Y175">
        <v>14</v>
      </c>
    </row>
    <row r="176" spans="1:25" ht="15" customHeight="1" x14ac:dyDescent="0.2">
      <c r="A176" s="1">
        <v>46241</v>
      </c>
      <c r="B176" t="s">
        <v>42</v>
      </c>
      <c r="C176" t="s">
        <v>43</v>
      </c>
      <c r="D176" t="s">
        <v>34</v>
      </c>
      <c r="E176" t="s">
        <v>35</v>
      </c>
      <c r="F176" s="2">
        <v>0.43888888888888899</v>
      </c>
      <c r="G176" s="2">
        <v>0.54097222222222197</v>
      </c>
      <c r="H176">
        <v>147</v>
      </c>
      <c r="I176" s="3">
        <v>0.42708333333333298</v>
      </c>
      <c r="J176" s="2">
        <v>0.51041666666666696</v>
      </c>
      <c r="K176">
        <v>120</v>
      </c>
      <c r="L176" s="2">
        <v>0.43888888888888899</v>
      </c>
      <c r="M176" s="2">
        <v>0.53611111111111098</v>
      </c>
      <c r="N176">
        <v>140</v>
      </c>
      <c r="O176" s="2">
        <v>0.45624999999999999</v>
      </c>
      <c r="P176" s="2">
        <v>0.53333333333333299</v>
      </c>
      <c r="Q176" s="2">
        <v>0.53611111111111098</v>
      </c>
      <c r="R176">
        <v>140</v>
      </c>
      <c r="S176">
        <v>111</v>
      </c>
      <c r="T176" s="2">
        <v>0.541678240740741</v>
      </c>
      <c r="U176" s="2">
        <v>0.58333333333333304</v>
      </c>
      <c r="V176">
        <v>60</v>
      </c>
      <c r="W176" s="2">
        <v>0.58402777777777803</v>
      </c>
      <c r="X176" s="2">
        <v>0.72569444444444398</v>
      </c>
      <c r="Y176">
        <v>204</v>
      </c>
    </row>
    <row r="177" spans="1:25" ht="15" customHeight="1" x14ac:dyDescent="0.2">
      <c r="A177" s="1">
        <v>46241</v>
      </c>
      <c r="B177" t="s">
        <v>42</v>
      </c>
      <c r="C177" t="s">
        <v>43</v>
      </c>
      <c r="D177" t="s">
        <v>28</v>
      </c>
      <c r="E177" t="s">
        <v>31</v>
      </c>
      <c r="F177" s="2">
        <v>0.31041666666666701</v>
      </c>
      <c r="G177" s="2">
        <v>0.343055555555556</v>
      </c>
      <c r="H177">
        <v>47</v>
      </c>
      <c r="I177" s="3">
        <v>0.3125</v>
      </c>
      <c r="J177" s="2">
        <v>0.34375</v>
      </c>
      <c r="K177">
        <v>45</v>
      </c>
      <c r="L177" s="2">
        <v>0.31041666666666701</v>
      </c>
      <c r="M177" s="2">
        <v>0.33819444444444402</v>
      </c>
      <c r="N177">
        <v>40</v>
      </c>
      <c r="O177" s="2">
        <v>0.32638888888888901</v>
      </c>
      <c r="P177" s="2">
        <v>0.33263888888888898</v>
      </c>
      <c r="Q177" s="2">
        <v>0.33819444444444402</v>
      </c>
      <c r="R177">
        <v>40</v>
      </c>
      <c r="S177">
        <v>9</v>
      </c>
      <c r="T177" s="2">
        <v>0.34097222222222201</v>
      </c>
      <c r="U177" s="2">
        <v>0.375</v>
      </c>
      <c r="V177">
        <v>49</v>
      </c>
      <c r="W177" s="2">
        <v>0.375694444444444</v>
      </c>
      <c r="X177" s="2">
        <v>0.40815972222222202</v>
      </c>
      <c r="Y177">
        <v>46</v>
      </c>
    </row>
    <row r="178" spans="1:25" ht="15" customHeight="1" x14ac:dyDescent="0.2">
      <c r="A178" s="1">
        <v>46241</v>
      </c>
      <c r="B178" t="s">
        <v>42</v>
      </c>
      <c r="C178" t="s">
        <v>43</v>
      </c>
      <c r="D178" t="s">
        <v>28</v>
      </c>
      <c r="E178" t="s">
        <v>31</v>
      </c>
      <c r="F178" s="2">
        <v>0.31388888888888899</v>
      </c>
      <c r="G178" s="2">
        <v>0.35416666666666702</v>
      </c>
      <c r="H178">
        <v>58</v>
      </c>
      <c r="I178" s="3">
        <v>0.3125</v>
      </c>
      <c r="J178" s="2">
        <v>0.35416666666666702</v>
      </c>
      <c r="K178">
        <v>60</v>
      </c>
      <c r="L178" s="2">
        <v>0.31388888888888899</v>
      </c>
      <c r="M178" s="2">
        <v>0.35208333333333303</v>
      </c>
      <c r="N178">
        <v>55</v>
      </c>
      <c r="O178" s="2">
        <v>0.327777777777778</v>
      </c>
      <c r="P178" s="2">
        <v>0.34791666666666698</v>
      </c>
      <c r="Q178" s="2">
        <v>0.35208333333333303</v>
      </c>
      <c r="R178">
        <v>55</v>
      </c>
      <c r="S178">
        <v>29</v>
      </c>
      <c r="T178" s="2">
        <v>0.35423611111111097</v>
      </c>
      <c r="U178" s="2">
        <v>0.42847222222222198</v>
      </c>
      <c r="V178">
        <v>107</v>
      </c>
      <c r="W178" s="2">
        <v>0.42916666666666697</v>
      </c>
      <c r="X178" s="2">
        <v>0.52569444444444402</v>
      </c>
      <c r="Y178">
        <v>139</v>
      </c>
    </row>
    <row r="179" spans="1:25" ht="15" customHeight="1" x14ac:dyDescent="0.2">
      <c r="A179" s="1">
        <v>46241</v>
      </c>
      <c r="B179" t="s">
        <v>26</v>
      </c>
      <c r="C179" t="s">
        <v>27</v>
      </c>
      <c r="D179" t="s">
        <v>28</v>
      </c>
      <c r="E179" t="s">
        <v>29</v>
      </c>
      <c r="F179" s="2">
        <v>0.38055555555555598</v>
      </c>
      <c r="G179" s="2">
        <v>0.47361111111111098</v>
      </c>
      <c r="H179">
        <v>134</v>
      </c>
      <c r="I179" s="3">
        <v>0.375</v>
      </c>
      <c r="J179" s="2">
        <v>0.44791666666666702</v>
      </c>
      <c r="K179">
        <v>105</v>
      </c>
      <c r="L179" s="2">
        <v>0.38055555555555598</v>
      </c>
      <c r="M179" s="2">
        <v>0.47152777777777799</v>
      </c>
      <c r="N179">
        <v>131</v>
      </c>
      <c r="O179" s="2">
        <v>0.40208333333333302</v>
      </c>
      <c r="P179" s="2">
        <v>0.468055555555556</v>
      </c>
      <c r="Q179" s="2">
        <v>0.47152777777777799</v>
      </c>
      <c r="R179">
        <v>131</v>
      </c>
      <c r="S179">
        <v>95</v>
      </c>
      <c r="T179" s="2">
        <v>0.47222222222222199</v>
      </c>
      <c r="U179" s="2">
        <v>0.51736111111111105</v>
      </c>
      <c r="V179">
        <v>65</v>
      </c>
    </row>
    <row r="180" spans="1:25" ht="15" customHeight="1" x14ac:dyDescent="0.2">
      <c r="A180" s="1">
        <v>46241</v>
      </c>
      <c r="B180" t="s">
        <v>42</v>
      </c>
      <c r="C180" t="s">
        <v>43</v>
      </c>
      <c r="D180" t="s">
        <v>28</v>
      </c>
      <c r="E180" t="s">
        <v>29</v>
      </c>
      <c r="F180" s="2">
        <v>0.50277777777777799</v>
      </c>
      <c r="G180" s="2">
        <v>0.53541666666666698</v>
      </c>
      <c r="H180">
        <v>47</v>
      </c>
      <c r="I180" s="3">
        <v>0.46875</v>
      </c>
      <c r="J180" s="2">
        <v>0.48958333333333298</v>
      </c>
      <c r="K180">
        <v>30</v>
      </c>
      <c r="L180" s="2">
        <v>0.50277777777777799</v>
      </c>
      <c r="M180" s="2">
        <v>0.52916666666666701</v>
      </c>
      <c r="N180">
        <v>38</v>
      </c>
      <c r="O180" s="2">
        <v>0.51527777777777795</v>
      </c>
      <c r="P180" s="2">
        <v>0.52430555555555602</v>
      </c>
      <c r="Q180" s="2">
        <v>0.52916666666666701</v>
      </c>
      <c r="R180">
        <v>38</v>
      </c>
      <c r="S180">
        <v>13</v>
      </c>
      <c r="T180" s="2">
        <v>0.53125</v>
      </c>
      <c r="U180" s="2">
        <v>0.57291666666666696</v>
      </c>
      <c r="V180">
        <v>60</v>
      </c>
      <c r="W180" s="2">
        <v>0.57361111111111096</v>
      </c>
      <c r="X180" s="2">
        <v>0.59177083333333302</v>
      </c>
      <c r="Y180">
        <v>26</v>
      </c>
    </row>
    <row r="181" spans="1:25" ht="15" customHeight="1" x14ac:dyDescent="0.2">
      <c r="A181" s="1">
        <v>46241</v>
      </c>
      <c r="B181" t="s">
        <v>42</v>
      </c>
      <c r="C181" t="s">
        <v>43</v>
      </c>
      <c r="D181" t="s">
        <v>28</v>
      </c>
      <c r="E181" t="s">
        <v>31</v>
      </c>
      <c r="F181" s="2">
        <v>0.55972222222222201</v>
      </c>
      <c r="G181" s="2">
        <v>0.593055555555556</v>
      </c>
      <c r="H181">
        <v>48</v>
      </c>
      <c r="I181" s="3">
        <v>0.51041666666666696</v>
      </c>
      <c r="J181" s="2">
        <v>0.5625</v>
      </c>
      <c r="K181">
        <v>75</v>
      </c>
      <c r="L181" s="2">
        <v>0.55972222222222201</v>
      </c>
      <c r="M181" s="2">
        <v>0.59166666666666701</v>
      </c>
      <c r="N181">
        <v>46</v>
      </c>
      <c r="O181" s="2">
        <v>0.57222222222222197</v>
      </c>
      <c r="P181" s="2">
        <v>0.58680555555555602</v>
      </c>
      <c r="Q181" s="2">
        <v>0.59166666666666701</v>
      </c>
      <c r="R181">
        <v>46</v>
      </c>
      <c r="S181">
        <v>21</v>
      </c>
      <c r="T181" s="2">
        <v>0.59459490740740695</v>
      </c>
      <c r="U181" s="2">
        <v>0.60416666666666696</v>
      </c>
      <c r="V181">
        <v>14</v>
      </c>
      <c r="W181" s="2">
        <v>0.60486111111111096</v>
      </c>
      <c r="X181" s="2">
        <v>0.66041666666666698</v>
      </c>
      <c r="Y181">
        <v>80</v>
      </c>
    </row>
    <row r="182" spans="1:25" ht="15" customHeight="1" x14ac:dyDescent="0.2">
      <c r="A182" s="1">
        <v>46241</v>
      </c>
      <c r="B182" t="s">
        <v>42</v>
      </c>
      <c r="C182" t="s">
        <v>43</v>
      </c>
      <c r="D182" t="s">
        <v>28</v>
      </c>
      <c r="E182" t="s">
        <v>29</v>
      </c>
      <c r="F182" s="2">
        <v>0.37777777777777799</v>
      </c>
      <c r="G182" s="2">
        <v>0.41875000000000001</v>
      </c>
      <c r="H182">
        <v>59</v>
      </c>
      <c r="I182" s="3">
        <v>0.375</v>
      </c>
      <c r="J182" s="2">
        <v>0.41666666666666702</v>
      </c>
      <c r="K182">
        <v>60</v>
      </c>
      <c r="L182" s="2">
        <v>0.37777777777777799</v>
      </c>
      <c r="M182" s="2">
        <v>0.41597222222222202</v>
      </c>
      <c r="N182">
        <v>55</v>
      </c>
      <c r="O182" s="2">
        <v>0.38888888888888901</v>
      </c>
      <c r="P182" s="2">
        <v>0.41180555555555598</v>
      </c>
      <c r="Q182" s="2">
        <v>0.41597222222222202</v>
      </c>
      <c r="R182">
        <v>55</v>
      </c>
      <c r="S182">
        <v>33</v>
      </c>
      <c r="T182" s="2">
        <v>0.41968749999999999</v>
      </c>
      <c r="U182" s="2">
        <v>0.45833333333333298</v>
      </c>
      <c r="V182">
        <v>56</v>
      </c>
      <c r="W182" s="2">
        <v>0.45902777777777798</v>
      </c>
      <c r="X182" s="2">
        <v>0.48611111111111099</v>
      </c>
      <c r="Y182">
        <v>39</v>
      </c>
    </row>
    <row r="183" spans="1:25" ht="15" customHeight="1" x14ac:dyDescent="0.2">
      <c r="A183" s="1">
        <v>46241</v>
      </c>
      <c r="B183" t="s">
        <v>42</v>
      </c>
      <c r="C183" t="s">
        <v>43</v>
      </c>
      <c r="D183" t="s">
        <v>28</v>
      </c>
      <c r="E183" t="s">
        <v>31</v>
      </c>
      <c r="F183" s="2">
        <v>0.44027777777777799</v>
      </c>
      <c r="G183" s="2">
        <v>0.49513888888888902</v>
      </c>
      <c r="H183">
        <v>79</v>
      </c>
      <c r="I183" s="3">
        <v>0.4375</v>
      </c>
      <c r="J183" s="2">
        <v>0.48958333333333298</v>
      </c>
      <c r="K183">
        <v>75</v>
      </c>
      <c r="L183" s="2">
        <v>0.44027777777777799</v>
      </c>
      <c r="M183" s="2">
        <v>0.48819444444444399</v>
      </c>
      <c r="N183">
        <v>69</v>
      </c>
      <c r="O183" s="2">
        <v>0.45069444444444401</v>
      </c>
      <c r="P183" s="2">
        <v>0.484027777777778</v>
      </c>
      <c r="Q183" s="2">
        <v>0.48819444444444399</v>
      </c>
      <c r="R183">
        <v>69</v>
      </c>
      <c r="S183">
        <v>48</v>
      </c>
      <c r="T183" s="2">
        <v>0.49135416666666698</v>
      </c>
      <c r="U183" s="2">
        <v>0.55208333333333304</v>
      </c>
      <c r="V183">
        <v>88</v>
      </c>
      <c r="W183" s="2">
        <v>0.55277777777777803</v>
      </c>
      <c r="X183" s="2">
        <v>0.57638888888888895</v>
      </c>
      <c r="Y183">
        <v>34</v>
      </c>
    </row>
    <row r="184" spans="1:25" ht="15" customHeight="1" x14ac:dyDescent="0.2">
      <c r="A184" s="1">
        <v>46241</v>
      </c>
      <c r="B184" t="s">
        <v>26</v>
      </c>
      <c r="C184" t="s">
        <v>27</v>
      </c>
      <c r="D184" t="s">
        <v>28</v>
      </c>
      <c r="E184" t="s">
        <v>29</v>
      </c>
      <c r="F184" s="2">
        <v>0.31666666666666698</v>
      </c>
      <c r="G184" s="2">
        <v>0.41597222222222202</v>
      </c>
      <c r="H184">
        <v>143</v>
      </c>
      <c r="I184" s="3">
        <v>0.3125</v>
      </c>
      <c r="J184" s="2">
        <v>0.41666666666666702</v>
      </c>
      <c r="K184">
        <v>150</v>
      </c>
      <c r="L184" s="2">
        <v>0.31666666666666698</v>
      </c>
      <c r="M184" s="2">
        <v>0.41180555555555598</v>
      </c>
      <c r="N184">
        <v>137</v>
      </c>
      <c r="O184" s="2">
        <v>0.34375</v>
      </c>
      <c r="P184" s="2">
        <v>0.40416666666666701</v>
      </c>
      <c r="Q184" s="2">
        <v>0.41180555555555598</v>
      </c>
      <c r="R184">
        <v>137</v>
      </c>
      <c r="S184">
        <v>87</v>
      </c>
      <c r="T184" s="2">
        <v>0.41469907407407403</v>
      </c>
      <c r="U184" s="2">
        <v>0.44791666666666702</v>
      </c>
      <c r="V184">
        <v>48</v>
      </c>
    </row>
    <row r="185" spans="1:25" ht="15" customHeight="1" x14ac:dyDescent="0.2">
      <c r="A185" s="1">
        <v>46241</v>
      </c>
      <c r="B185" t="s">
        <v>42</v>
      </c>
      <c r="C185" t="s">
        <v>43</v>
      </c>
      <c r="D185" t="s">
        <v>28</v>
      </c>
      <c r="E185" t="s">
        <v>31</v>
      </c>
      <c r="F185" s="2">
        <v>0.31458333333333299</v>
      </c>
      <c r="G185" s="2">
        <v>0.360416666666667</v>
      </c>
      <c r="H185">
        <v>66</v>
      </c>
      <c r="I185" s="3">
        <v>0.3125</v>
      </c>
      <c r="J185" s="2">
        <v>0.375</v>
      </c>
      <c r="K185">
        <v>90</v>
      </c>
      <c r="L185" s="2">
        <v>0.31458333333333299</v>
      </c>
      <c r="M185" s="2">
        <v>0.35694444444444401</v>
      </c>
      <c r="N185">
        <v>61</v>
      </c>
      <c r="O185" s="2">
        <v>0.327777777777778</v>
      </c>
      <c r="P185" s="2">
        <v>0.35138888888888897</v>
      </c>
      <c r="Q185" s="2">
        <v>0.35694444444444401</v>
      </c>
      <c r="R185">
        <v>61</v>
      </c>
      <c r="S185">
        <v>34</v>
      </c>
      <c r="T185" s="2">
        <v>0.358333333333333</v>
      </c>
      <c r="U185" s="2">
        <v>0.432152777777778</v>
      </c>
      <c r="V185">
        <v>106</v>
      </c>
      <c r="W185" s="2">
        <v>0.43231481481481498</v>
      </c>
      <c r="X185" s="2">
        <v>0.44097222222222199</v>
      </c>
      <c r="Y185">
        <v>13</v>
      </c>
    </row>
    <row r="186" spans="1:25" ht="15" customHeight="1" x14ac:dyDescent="0.2">
      <c r="A186" s="1">
        <v>46241</v>
      </c>
      <c r="B186" t="s">
        <v>42</v>
      </c>
      <c r="C186" t="s">
        <v>43</v>
      </c>
      <c r="D186" t="s">
        <v>28</v>
      </c>
      <c r="E186" t="s">
        <v>31</v>
      </c>
      <c r="F186" s="2">
        <v>0.44097222222222199</v>
      </c>
      <c r="G186" s="2">
        <v>0.50972222222222197</v>
      </c>
      <c r="H186">
        <v>99</v>
      </c>
      <c r="I186" s="3">
        <v>0.4375</v>
      </c>
      <c r="J186" s="2">
        <v>0.52083333333333304</v>
      </c>
      <c r="K186">
        <v>120</v>
      </c>
      <c r="L186" s="2">
        <v>0.44097222222222199</v>
      </c>
      <c r="M186" s="2">
        <v>0.50555555555555598</v>
      </c>
      <c r="N186">
        <v>93</v>
      </c>
      <c r="O186" s="2">
        <v>0.45763888888888898</v>
      </c>
      <c r="P186" s="2">
        <v>0.50208333333333299</v>
      </c>
      <c r="Q186" s="2">
        <v>0.50555555555555598</v>
      </c>
      <c r="R186">
        <v>93</v>
      </c>
      <c r="S186">
        <v>64</v>
      </c>
      <c r="T186" s="2">
        <v>0.50694444444444398</v>
      </c>
      <c r="U186" s="2">
        <v>0.594444444444444</v>
      </c>
      <c r="V186">
        <v>126</v>
      </c>
      <c r="W186" s="2">
        <v>0.61458333333333304</v>
      </c>
      <c r="X186" s="2">
        <v>0.65486111111111101</v>
      </c>
      <c r="Y186">
        <v>58</v>
      </c>
    </row>
    <row r="187" spans="1:25" ht="15" customHeight="1" x14ac:dyDescent="0.2">
      <c r="A187" s="1">
        <v>46241</v>
      </c>
      <c r="B187" t="s">
        <v>26</v>
      </c>
      <c r="C187" t="s">
        <v>27</v>
      </c>
      <c r="D187" t="s">
        <v>28</v>
      </c>
      <c r="E187" t="s">
        <v>29</v>
      </c>
      <c r="F187" s="2">
        <v>0.561805555555556</v>
      </c>
      <c r="G187" s="2">
        <v>0.71180555555555602</v>
      </c>
      <c r="H187">
        <v>216</v>
      </c>
      <c r="I187" s="3">
        <v>0.54166666666666696</v>
      </c>
      <c r="J187" s="2">
        <v>0.63541666666666696</v>
      </c>
      <c r="K187">
        <v>135</v>
      </c>
      <c r="L187" s="2">
        <v>0.561805555555556</v>
      </c>
      <c r="M187" s="2">
        <v>0.70763888888888904</v>
      </c>
      <c r="N187">
        <v>210</v>
      </c>
      <c r="O187" s="2">
        <v>0.58750000000000002</v>
      </c>
      <c r="P187" s="2">
        <v>0.7</v>
      </c>
      <c r="Q187" s="2">
        <v>0.70763888888888904</v>
      </c>
      <c r="R187">
        <v>210</v>
      </c>
      <c r="S187">
        <v>162</v>
      </c>
      <c r="T187" s="2">
        <v>0.70940972222222198</v>
      </c>
      <c r="U187" s="2">
        <v>0.72986111111111096</v>
      </c>
      <c r="V187">
        <v>30</v>
      </c>
    </row>
    <row r="188" spans="1:25" ht="15" customHeight="1" x14ac:dyDescent="0.2">
      <c r="A188" s="1">
        <v>46241</v>
      </c>
      <c r="B188" t="s">
        <v>42</v>
      </c>
      <c r="C188" t="s">
        <v>43</v>
      </c>
      <c r="D188" t="s">
        <v>28</v>
      </c>
      <c r="E188" t="s">
        <v>29</v>
      </c>
      <c r="F188" s="2">
        <v>0.36805555555555602</v>
      </c>
      <c r="G188" s="2">
        <v>0.42847222222222198</v>
      </c>
      <c r="H188">
        <v>87</v>
      </c>
      <c r="I188" s="3">
        <v>0.36458333333333298</v>
      </c>
      <c r="J188" s="2">
        <v>0.42708333333333298</v>
      </c>
      <c r="K188">
        <v>90</v>
      </c>
      <c r="L188" s="2">
        <v>0.36805555555555602</v>
      </c>
      <c r="M188" s="2">
        <v>0.42499999999999999</v>
      </c>
      <c r="N188">
        <v>82</v>
      </c>
      <c r="O188" s="2">
        <v>0.38333333333333303</v>
      </c>
      <c r="P188" s="2">
        <v>0.422222222222222</v>
      </c>
      <c r="Q188" s="2">
        <v>0.42499999999999999</v>
      </c>
      <c r="R188">
        <v>82</v>
      </c>
      <c r="S188">
        <v>56</v>
      </c>
      <c r="T188" s="2">
        <v>0.42708333333333298</v>
      </c>
      <c r="U188" s="2">
        <v>0.44166666666666698</v>
      </c>
      <c r="V188">
        <v>21</v>
      </c>
      <c r="W188" s="2">
        <v>0.44166666666666698</v>
      </c>
      <c r="X188" s="2">
        <v>0.46527777777777801</v>
      </c>
      <c r="Y188">
        <v>34</v>
      </c>
    </row>
    <row r="189" spans="1:25" ht="15" customHeight="1" x14ac:dyDescent="0.2">
      <c r="A189" s="1">
        <v>46241</v>
      </c>
      <c r="B189" t="s">
        <v>42</v>
      </c>
      <c r="C189" t="s">
        <v>43</v>
      </c>
      <c r="D189" t="s">
        <v>28</v>
      </c>
      <c r="E189" t="s">
        <v>29</v>
      </c>
      <c r="F189" s="2">
        <v>0.37638888888888899</v>
      </c>
      <c r="G189" s="2">
        <v>0.42986111111111103</v>
      </c>
      <c r="H189">
        <v>77</v>
      </c>
      <c r="I189" s="3">
        <v>0.375</v>
      </c>
      <c r="J189" s="2">
        <v>0.41666666666666702</v>
      </c>
      <c r="K189">
        <v>60</v>
      </c>
      <c r="L189" s="2">
        <v>0.37638888888888899</v>
      </c>
      <c r="M189" s="2">
        <v>0.42638888888888898</v>
      </c>
      <c r="N189">
        <v>72</v>
      </c>
      <c r="O189" s="2">
        <v>0.40833333333333299</v>
      </c>
      <c r="P189" s="2">
        <v>0.420833333333333</v>
      </c>
      <c r="Q189" s="2">
        <v>0.42638888888888898</v>
      </c>
      <c r="R189">
        <v>72</v>
      </c>
      <c r="S189">
        <v>18</v>
      </c>
      <c r="T189" s="2">
        <v>0.43043981481481502</v>
      </c>
      <c r="U189" s="2">
        <v>0.47222222222222199</v>
      </c>
      <c r="V189">
        <v>61</v>
      </c>
      <c r="W189" s="2">
        <v>0.47291666666666698</v>
      </c>
      <c r="X189" s="2">
        <v>0.47569444444444398</v>
      </c>
      <c r="Y189">
        <v>4</v>
      </c>
    </row>
    <row r="190" spans="1:25" ht="15" customHeight="1" x14ac:dyDescent="0.2">
      <c r="A190" s="1">
        <v>46241</v>
      </c>
      <c r="B190" t="s">
        <v>42</v>
      </c>
      <c r="C190" t="s">
        <v>43</v>
      </c>
      <c r="D190" t="s">
        <v>28</v>
      </c>
      <c r="E190" t="s">
        <v>29</v>
      </c>
      <c r="F190" s="2">
        <v>0.45138888888888901</v>
      </c>
      <c r="G190" s="2">
        <v>0.51875000000000004</v>
      </c>
      <c r="H190">
        <v>97</v>
      </c>
      <c r="I190" s="3">
        <v>0.44791666666666702</v>
      </c>
      <c r="J190" s="2">
        <v>0.51041666666666696</v>
      </c>
      <c r="K190">
        <v>90</v>
      </c>
      <c r="L190" s="2">
        <v>0.45138888888888901</v>
      </c>
      <c r="M190" s="2">
        <v>0.51458333333333295</v>
      </c>
      <c r="N190">
        <v>91</v>
      </c>
      <c r="O190" s="2">
        <v>0.46458333333333302</v>
      </c>
      <c r="P190" s="2">
        <v>0.50902777777777797</v>
      </c>
      <c r="Q190" s="2">
        <v>0.51458333333333295</v>
      </c>
      <c r="R190">
        <v>91</v>
      </c>
      <c r="S190">
        <v>64</v>
      </c>
      <c r="T190" s="2">
        <v>0.51622685185185202</v>
      </c>
      <c r="U190" s="2">
        <v>0.563194444444444</v>
      </c>
      <c r="V190">
        <v>68</v>
      </c>
      <c r="W190" s="2">
        <v>0.56388888888888899</v>
      </c>
      <c r="X190" s="2">
        <v>0.59027777777777801</v>
      </c>
      <c r="Y190">
        <v>38</v>
      </c>
    </row>
    <row r="191" spans="1:25" ht="15" customHeight="1" x14ac:dyDescent="0.2">
      <c r="A191" s="1">
        <v>46241</v>
      </c>
      <c r="B191" t="s">
        <v>42</v>
      </c>
      <c r="C191" t="s">
        <v>43</v>
      </c>
      <c r="D191" t="s">
        <v>28</v>
      </c>
      <c r="E191" t="s">
        <v>31</v>
      </c>
      <c r="F191" s="2">
        <v>0.56527777777777799</v>
      </c>
      <c r="G191" s="2">
        <v>0.59166666666666701</v>
      </c>
      <c r="H191">
        <v>38</v>
      </c>
      <c r="I191" s="3">
        <v>0.5625</v>
      </c>
      <c r="J191" s="2">
        <v>0.59375</v>
      </c>
      <c r="K191">
        <v>45</v>
      </c>
      <c r="L191" s="2">
        <v>0.56527777777777799</v>
      </c>
      <c r="M191" s="2">
        <v>0.58750000000000002</v>
      </c>
      <c r="N191">
        <v>32</v>
      </c>
      <c r="O191" s="2">
        <v>0.57638888888888895</v>
      </c>
      <c r="P191" s="2">
        <v>0.58333333333333304</v>
      </c>
      <c r="Q191" s="2">
        <v>0.58750000000000002</v>
      </c>
      <c r="R191">
        <v>32</v>
      </c>
      <c r="S191">
        <v>10</v>
      </c>
      <c r="T191" s="2">
        <v>0.58888888888888902</v>
      </c>
      <c r="U191" s="2">
        <v>0.61388888888888904</v>
      </c>
      <c r="V191">
        <v>36</v>
      </c>
      <c r="W191" s="2">
        <v>0.61458333333333304</v>
      </c>
      <c r="X191" s="2">
        <v>0.64791666666666703</v>
      </c>
      <c r="Y191">
        <v>48</v>
      </c>
    </row>
    <row r="192" spans="1:25" ht="15" customHeight="1" x14ac:dyDescent="0.2">
      <c r="A192" s="1">
        <v>46241</v>
      </c>
      <c r="B192" t="s">
        <v>26</v>
      </c>
      <c r="C192" t="s">
        <v>27</v>
      </c>
      <c r="D192" t="s">
        <v>28</v>
      </c>
      <c r="E192" t="s">
        <v>29</v>
      </c>
      <c r="F192" s="2">
        <v>0.31388888888888899</v>
      </c>
      <c r="G192" s="2">
        <v>0.40347222222222201</v>
      </c>
      <c r="H192">
        <v>129</v>
      </c>
      <c r="I192" s="3">
        <v>0.3125</v>
      </c>
      <c r="J192" s="2">
        <v>0.375</v>
      </c>
      <c r="K192">
        <v>90</v>
      </c>
      <c r="L192" s="2">
        <v>0.31388888888888899</v>
      </c>
      <c r="M192" s="2">
        <v>0.4</v>
      </c>
      <c r="N192">
        <v>124</v>
      </c>
      <c r="O192" s="2">
        <v>0.33472222222222198</v>
      </c>
      <c r="P192" s="2">
        <v>0.39513888888888898</v>
      </c>
      <c r="Q192" s="2">
        <v>0.4</v>
      </c>
      <c r="R192">
        <v>124</v>
      </c>
      <c r="S192">
        <v>87</v>
      </c>
      <c r="T192" s="2">
        <v>0.40158564814814801</v>
      </c>
      <c r="U192" s="2">
        <v>0.46597222222222201</v>
      </c>
      <c r="V192">
        <v>93</v>
      </c>
    </row>
    <row r="193" spans="1:25" ht="15" customHeight="1" x14ac:dyDescent="0.2">
      <c r="A193" s="1">
        <v>46241</v>
      </c>
      <c r="B193" t="s">
        <v>26</v>
      </c>
      <c r="C193" t="s">
        <v>27</v>
      </c>
      <c r="D193" t="s">
        <v>28</v>
      </c>
      <c r="E193" t="s">
        <v>31</v>
      </c>
      <c r="F193" s="2">
        <v>0.61388888888888904</v>
      </c>
      <c r="G193" s="2">
        <v>0.65138888888888902</v>
      </c>
      <c r="H193">
        <v>54</v>
      </c>
      <c r="I193" s="3">
        <v>0.58333333333333304</v>
      </c>
      <c r="J193" s="2">
        <v>0.63541666666666696</v>
      </c>
      <c r="K193">
        <v>75</v>
      </c>
      <c r="L193" s="2">
        <v>0.61388888888888904</v>
      </c>
      <c r="M193" s="2">
        <v>0.65138888888888902</v>
      </c>
      <c r="N193">
        <v>54</v>
      </c>
      <c r="O193" s="2">
        <v>0.625</v>
      </c>
      <c r="P193" s="2">
        <v>0.64583333333333304</v>
      </c>
      <c r="Q193" s="2">
        <v>0.65138888888888902</v>
      </c>
      <c r="R193">
        <v>54</v>
      </c>
      <c r="S193">
        <v>30</v>
      </c>
      <c r="T193" s="2">
        <v>0.65324074074074101</v>
      </c>
      <c r="U193" s="2">
        <v>0.67291666666666705</v>
      </c>
      <c r="V193">
        <v>29</v>
      </c>
    </row>
    <row r="194" spans="1:25" ht="15" customHeight="1" x14ac:dyDescent="0.2">
      <c r="A194" s="1">
        <v>46241</v>
      </c>
      <c r="B194" t="s">
        <v>26</v>
      </c>
      <c r="C194" t="s">
        <v>27</v>
      </c>
      <c r="D194" t="s">
        <v>28</v>
      </c>
      <c r="E194" t="s">
        <v>31</v>
      </c>
      <c r="F194" s="2">
        <v>0.31597222222222199</v>
      </c>
      <c r="G194" s="2">
        <v>0.43402777777777801</v>
      </c>
      <c r="H194">
        <v>170</v>
      </c>
      <c r="I194" s="3">
        <v>0.3125</v>
      </c>
      <c r="J194" s="2">
        <v>0.39583333333333298</v>
      </c>
      <c r="K194">
        <v>150</v>
      </c>
      <c r="L194" s="2">
        <v>0.31597222222222199</v>
      </c>
      <c r="M194" s="2">
        <v>0.42916666666666697</v>
      </c>
      <c r="N194">
        <v>163</v>
      </c>
      <c r="O194" s="2">
        <v>0.34166666666666701</v>
      </c>
      <c r="P194" s="2">
        <v>0.42708333333333298</v>
      </c>
      <c r="Q194" s="2">
        <v>0.42916666666666697</v>
      </c>
      <c r="R194">
        <v>163</v>
      </c>
      <c r="S194">
        <v>123</v>
      </c>
      <c r="T194" s="2">
        <v>0.43062499999999998</v>
      </c>
      <c r="U194" s="2">
        <v>0.483333333333333</v>
      </c>
      <c r="V194">
        <v>76</v>
      </c>
    </row>
    <row r="195" spans="1:25" ht="15" customHeight="1" x14ac:dyDescent="0.2">
      <c r="A195" s="1">
        <v>46241</v>
      </c>
      <c r="B195" t="s">
        <v>26</v>
      </c>
      <c r="C195" t="s">
        <v>27</v>
      </c>
      <c r="D195" t="s">
        <v>28</v>
      </c>
      <c r="E195" t="s">
        <v>36</v>
      </c>
      <c r="F195" s="2">
        <v>0.46319444444444402</v>
      </c>
      <c r="G195" s="2">
        <v>0.55416666666666703</v>
      </c>
      <c r="H195">
        <v>131</v>
      </c>
      <c r="I195" s="3">
        <v>0.4375</v>
      </c>
      <c r="J195" s="2">
        <v>0.5625</v>
      </c>
      <c r="K195">
        <v>180</v>
      </c>
      <c r="L195" s="2">
        <v>0.468055555555556</v>
      </c>
      <c r="M195" s="2">
        <v>0.54791666666666705</v>
      </c>
      <c r="N195">
        <v>115</v>
      </c>
      <c r="O195" s="2">
        <v>0.49444444444444402</v>
      </c>
      <c r="P195" s="2">
        <v>0.53958333333333297</v>
      </c>
      <c r="Q195" s="2">
        <v>0.54791666666666705</v>
      </c>
      <c r="R195">
        <v>115</v>
      </c>
      <c r="S195">
        <v>65</v>
      </c>
    </row>
    <row r="196" spans="1:25" ht="15" customHeight="1" x14ac:dyDescent="0.2">
      <c r="A196" s="1">
        <v>46241</v>
      </c>
      <c r="B196" t="s">
        <v>26</v>
      </c>
      <c r="C196" t="s">
        <v>27</v>
      </c>
      <c r="D196" t="s">
        <v>28</v>
      </c>
      <c r="E196" t="s">
        <v>31</v>
      </c>
      <c r="F196" s="2">
        <v>0.59375</v>
      </c>
      <c r="G196" s="2">
        <v>0.64513888888888904</v>
      </c>
      <c r="H196">
        <v>74</v>
      </c>
      <c r="I196" s="3">
        <v>0.58333333333333304</v>
      </c>
      <c r="J196" s="2">
        <v>0.625</v>
      </c>
      <c r="K196">
        <v>60</v>
      </c>
      <c r="L196" s="2">
        <v>0.59375</v>
      </c>
      <c r="M196" s="2">
        <v>0.64027777777777795</v>
      </c>
      <c r="N196">
        <v>67</v>
      </c>
      <c r="O196" s="2">
        <v>0.61527777777777803</v>
      </c>
      <c r="P196" s="2">
        <v>0.63749999999999996</v>
      </c>
      <c r="Q196" s="2">
        <v>0.64027777777777795</v>
      </c>
      <c r="R196">
        <v>67</v>
      </c>
      <c r="S196">
        <v>32</v>
      </c>
      <c r="T196" s="2">
        <v>0.64236111111111105</v>
      </c>
      <c r="U196" s="2">
        <v>0.70833333333333304</v>
      </c>
      <c r="V196">
        <v>95</v>
      </c>
    </row>
    <row r="197" spans="1:25" ht="15" customHeight="1" x14ac:dyDescent="0.2">
      <c r="A197" s="1">
        <v>46241</v>
      </c>
      <c r="B197" t="s">
        <v>26</v>
      </c>
      <c r="C197" t="s">
        <v>27</v>
      </c>
      <c r="D197" t="s">
        <v>34</v>
      </c>
      <c r="E197" t="s">
        <v>29</v>
      </c>
      <c r="F197" s="2">
        <v>0.30902777777777801</v>
      </c>
      <c r="G197" s="2">
        <v>0.43888888888888899</v>
      </c>
      <c r="H197">
        <v>187</v>
      </c>
      <c r="I197" s="3">
        <v>0.3125</v>
      </c>
      <c r="J197" s="2">
        <v>0.41666666666666702</v>
      </c>
      <c r="K197">
        <v>150</v>
      </c>
      <c r="L197" s="2">
        <v>0.30902777777777801</v>
      </c>
      <c r="M197" s="2">
        <v>0.43333333333333302</v>
      </c>
      <c r="N197">
        <v>179</v>
      </c>
      <c r="O197" s="2">
        <v>0.34097222222222201</v>
      </c>
      <c r="P197" s="2">
        <v>0.41458333333333303</v>
      </c>
      <c r="Q197" s="2">
        <v>0.43333333333333302</v>
      </c>
      <c r="R197">
        <v>179</v>
      </c>
      <c r="S197">
        <v>106</v>
      </c>
      <c r="T197" s="2">
        <v>0.43495370370370401</v>
      </c>
      <c r="U197" s="2">
        <v>0.49652777777777801</v>
      </c>
      <c r="V197">
        <v>89</v>
      </c>
    </row>
    <row r="198" spans="1:25" ht="15" customHeight="1" x14ac:dyDescent="0.2">
      <c r="A198" s="1">
        <v>46241</v>
      </c>
      <c r="B198" t="s">
        <v>26</v>
      </c>
      <c r="C198" t="s">
        <v>27</v>
      </c>
      <c r="D198" t="s">
        <v>28</v>
      </c>
      <c r="E198" t="s">
        <v>31</v>
      </c>
      <c r="F198" s="2">
        <v>0.62986111111111098</v>
      </c>
      <c r="G198" s="2">
        <v>0.66041666666666698</v>
      </c>
      <c r="H198">
        <v>44</v>
      </c>
      <c r="I198" s="3">
        <v>0.625</v>
      </c>
      <c r="J198" s="2">
        <v>0.67361111111111105</v>
      </c>
      <c r="K198">
        <v>70</v>
      </c>
      <c r="L198" s="2">
        <v>0.62986111111111098</v>
      </c>
      <c r="M198" s="2">
        <v>0.656944444444444</v>
      </c>
      <c r="N198">
        <v>39</v>
      </c>
      <c r="O198" s="2">
        <v>0.64236111111111105</v>
      </c>
      <c r="P198" s="2">
        <v>0.65208333333333302</v>
      </c>
      <c r="Q198" s="2">
        <v>0.656944444444444</v>
      </c>
      <c r="R198">
        <v>39</v>
      </c>
      <c r="S198">
        <v>14</v>
      </c>
      <c r="T198" s="2">
        <v>0.65928240740740696</v>
      </c>
      <c r="U198" s="2">
        <v>0.67708333333333304</v>
      </c>
      <c r="V198">
        <v>26</v>
      </c>
    </row>
    <row r="199" spans="1:25" ht="15" customHeight="1" x14ac:dyDescent="0.2">
      <c r="A199" s="1">
        <v>46241</v>
      </c>
      <c r="B199" t="s">
        <v>26</v>
      </c>
      <c r="C199" t="s">
        <v>27</v>
      </c>
      <c r="D199" t="s">
        <v>28</v>
      </c>
      <c r="E199" t="s">
        <v>31</v>
      </c>
      <c r="F199" s="2">
        <v>0.67361111111111105</v>
      </c>
      <c r="G199" s="2">
        <v>0.69930555555555596</v>
      </c>
      <c r="H199">
        <v>37</v>
      </c>
      <c r="I199" s="3">
        <v>0.6875</v>
      </c>
      <c r="J199" s="2">
        <v>0.73611111111111105</v>
      </c>
      <c r="K199">
        <v>70</v>
      </c>
      <c r="L199" s="2">
        <v>0.67361111111111105</v>
      </c>
      <c r="M199" s="2">
        <v>0.69583333333333297</v>
      </c>
      <c r="N199">
        <v>32</v>
      </c>
      <c r="O199" s="2">
        <v>0.68263888888888902</v>
      </c>
      <c r="P199" s="2">
        <v>0.69236111111111098</v>
      </c>
      <c r="Q199" s="2">
        <v>0.69583333333333297</v>
      </c>
      <c r="R199">
        <v>32</v>
      </c>
      <c r="S199">
        <v>14</v>
      </c>
      <c r="T199" s="2">
        <v>0.69739583333333299</v>
      </c>
      <c r="U199" s="2">
        <v>0.73888888888888904</v>
      </c>
      <c r="V199">
        <v>60</v>
      </c>
    </row>
    <row r="200" spans="1:25" ht="15" customHeight="1" x14ac:dyDescent="0.2">
      <c r="A200" s="1">
        <v>46241</v>
      </c>
      <c r="B200" t="s">
        <v>42</v>
      </c>
      <c r="C200" t="s">
        <v>43</v>
      </c>
      <c r="D200" t="s">
        <v>28</v>
      </c>
      <c r="E200" t="s">
        <v>29</v>
      </c>
      <c r="F200" s="2">
        <v>0.71041666666666703</v>
      </c>
      <c r="G200" s="2">
        <v>0.74236111111111103</v>
      </c>
      <c r="H200">
        <v>46</v>
      </c>
      <c r="I200" s="3">
        <v>0.75694444444444398</v>
      </c>
      <c r="J200" s="2">
        <v>0.78819444444444398</v>
      </c>
      <c r="K200">
        <v>45</v>
      </c>
      <c r="L200" s="2">
        <v>0.71041666666666703</v>
      </c>
      <c r="M200" s="2">
        <v>0.73819444444444404</v>
      </c>
      <c r="N200">
        <v>40</v>
      </c>
      <c r="O200" s="2">
        <v>0.73055555555555596</v>
      </c>
      <c r="P200" s="2">
        <v>0.73472222222222205</v>
      </c>
      <c r="Q200" s="2">
        <v>0.73819444444444404</v>
      </c>
      <c r="R200">
        <v>40</v>
      </c>
      <c r="S200">
        <v>6</v>
      </c>
      <c r="T200" s="2">
        <v>0.73958333333333304</v>
      </c>
      <c r="U200" s="2">
        <v>0.75</v>
      </c>
      <c r="V200">
        <v>15</v>
      </c>
    </row>
    <row r="201" spans="1:25" ht="15" customHeight="1" x14ac:dyDescent="0.2">
      <c r="A201" s="1">
        <v>46241</v>
      </c>
      <c r="B201" t="s">
        <v>26</v>
      </c>
      <c r="C201" t="s">
        <v>27</v>
      </c>
      <c r="D201" t="s">
        <v>28</v>
      </c>
      <c r="E201" t="s">
        <v>31</v>
      </c>
      <c r="F201" s="2">
        <v>0.46041666666666697</v>
      </c>
      <c r="G201" s="2">
        <v>0.54930555555555605</v>
      </c>
      <c r="H201">
        <v>128</v>
      </c>
      <c r="I201" s="3">
        <v>0.4375</v>
      </c>
      <c r="J201" s="2">
        <v>0.52083333333333304</v>
      </c>
      <c r="K201">
        <v>120</v>
      </c>
      <c r="L201" s="2">
        <v>0.46041666666666697</v>
      </c>
      <c r="M201" s="2">
        <v>0.54444444444444395</v>
      </c>
      <c r="N201">
        <v>121</v>
      </c>
      <c r="O201" s="2">
        <v>0.47986111111111102</v>
      </c>
      <c r="P201" s="2">
        <v>0.53888888888888897</v>
      </c>
      <c r="Q201" s="2">
        <v>0.54444444444444395</v>
      </c>
      <c r="R201">
        <v>121</v>
      </c>
      <c r="S201">
        <v>85</v>
      </c>
      <c r="T201" s="2">
        <v>0.54620370370370397</v>
      </c>
      <c r="U201" s="2">
        <v>0.58402777777777803</v>
      </c>
      <c r="V201">
        <v>55</v>
      </c>
    </row>
    <row r="202" spans="1:25" ht="15" customHeight="1" x14ac:dyDescent="0.2">
      <c r="A202" s="1">
        <v>46241</v>
      </c>
      <c r="B202" t="s">
        <v>42</v>
      </c>
      <c r="C202" t="s">
        <v>43</v>
      </c>
      <c r="D202" t="s">
        <v>28</v>
      </c>
      <c r="E202" t="s">
        <v>31</v>
      </c>
      <c r="F202" s="2">
        <v>0.46875</v>
      </c>
      <c r="G202" s="2">
        <v>0.52291666666666703</v>
      </c>
      <c r="H202">
        <v>78</v>
      </c>
      <c r="I202" s="3">
        <v>0.45833333333333298</v>
      </c>
      <c r="J202" s="2">
        <v>0.52083333333333304</v>
      </c>
      <c r="K202">
        <v>90</v>
      </c>
      <c r="L202" s="2">
        <v>0.46527777777777801</v>
      </c>
      <c r="M202" s="2">
        <v>0.51944444444444404</v>
      </c>
      <c r="N202">
        <v>78</v>
      </c>
      <c r="O202" s="2">
        <v>0.48680555555555599</v>
      </c>
      <c r="P202" s="2">
        <v>0.51319444444444395</v>
      </c>
      <c r="Q202" s="2">
        <v>0.51944444444444404</v>
      </c>
      <c r="R202">
        <v>78</v>
      </c>
      <c r="S202">
        <v>38</v>
      </c>
      <c r="T202" s="2">
        <v>0.520821759259259</v>
      </c>
      <c r="U202" s="2">
        <v>0.58055555555555605</v>
      </c>
      <c r="V202">
        <v>87</v>
      </c>
    </row>
    <row r="203" spans="1:25" ht="15" customHeight="1" x14ac:dyDescent="0.2">
      <c r="A203" s="1">
        <v>46241</v>
      </c>
      <c r="B203" t="s">
        <v>26</v>
      </c>
      <c r="C203" t="s">
        <v>27</v>
      </c>
      <c r="D203" t="s">
        <v>28</v>
      </c>
      <c r="E203" t="s">
        <v>29</v>
      </c>
      <c r="F203" s="2">
        <v>0.54374999999999996</v>
      </c>
      <c r="G203" s="2">
        <v>0.61944444444444402</v>
      </c>
      <c r="H203">
        <v>109</v>
      </c>
      <c r="I203" s="3">
        <v>0.54166666666666696</v>
      </c>
      <c r="J203" s="2">
        <v>0.60416666666666696</v>
      </c>
      <c r="K203">
        <v>90</v>
      </c>
      <c r="L203" s="2">
        <v>0.54374999999999996</v>
      </c>
      <c r="M203" s="2">
        <v>0.61666666666666703</v>
      </c>
      <c r="N203">
        <v>105</v>
      </c>
      <c r="O203" s="2">
        <v>0.56527777777777799</v>
      </c>
      <c r="P203" s="2">
        <v>0.60833333333333295</v>
      </c>
      <c r="Q203" s="2">
        <v>0.61666666666666703</v>
      </c>
      <c r="R203">
        <v>105</v>
      </c>
      <c r="S203">
        <v>62</v>
      </c>
      <c r="T203" s="2">
        <v>0.61763888888888896</v>
      </c>
      <c r="U203" s="2">
        <v>0.64652777777777803</v>
      </c>
      <c r="V203">
        <v>42</v>
      </c>
    </row>
    <row r="204" spans="1:25" ht="15" customHeight="1" x14ac:dyDescent="0.2">
      <c r="A204" s="1">
        <v>46241</v>
      </c>
      <c r="B204" t="s">
        <v>26</v>
      </c>
      <c r="C204" t="s">
        <v>27</v>
      </c>
      <c r="D204" t="s">
        <v>28</v>
      </c>
      <c r="E204" t="s">
        <v>29</v>
      </c>
      <c r="F204" s="2">
        <v>0.74236111111111103</v>
      </c>
      <c r="G204" s="2">
        <v>0.79444444444444395</v>
      </c>
      <c r="H204">
        <v>75</v>
      </c>
      <c r="I204" s="3">
        <v>0.71875</v>
      </c>
      <c r="J204" s="2">
        <v>0.75347222222222199</v>
      </c>
      <c r="K204">
        <v>80</v>
      </c>
      <c r="L204" s="2">
        <v>0.74236111111111103</v>
      </c>
      <c r="M204" s="2">
        <v>0.78819444444444398</v>
      </c>
      <c r="N204">
        <v>66</v>
      </c>
      <c r="O204" s="2">
        <v>0.75833333333333297</v>
      </c>
      <c r="P204" s="2">
        <v>0.78402777777777799</v>
      </c>
      <c r="Q204" s="2">
        <v>0.78819444444444398</v>
      </c>
      <c r="R204">
        <v>66</v>
      </c>
      <c r="S204">
        <v>37</v>
      </c>
      <c r="T204" s="2">
        <v>0.78958333333333297</v>
      </c>
      <c r="U204" s="2">
        <v>0.843055555555556</v>
      </c>
      <c r="V204">
        <v>77</v>
      </c>
    </row>
    <row r="205" spans="1:25" ht="15" customHeight="1" x14ac:dyDescent="0.2">
      <c r="A205" s="1">
        <v>46241</v>
      </c>
      <c r="B205" t="s">
        <v>26</v>
      </c>
      <c r="C205" t="s">
        <v>27</v>
      </c>
      <c r="D205" t="s">
        <v>28</v>
      </c>
      <c r="E205" t="s">
        <v>29</v>
      </c>
      <c r="F205" s="2">
        <v>0.84722222222222199</v>
      </c>
      <c r="G205" s="2">
        <v>0.91736111111111096</v>
      </c>
      <c r="H205">
        <v>101</v>
      </c>
      <c r="I205" s="3">
        <v>0.83333333333333304</v>
      </c>
      <c r="J205" s="2">
        <v>0.88194444444444398</v>
      </c>
      <c r="K205">
        <v>100</v>
      </c>
      <c r="L205" s="2">
        <v>0.84722222222222199</v>
      </c>
      <c r="M205" s="2">
        <v>0.91111111111111098</v>
      </c>
      <c r="N205">
        <v>92</v>
      </c>
      <c r="O205" s="2">
        <v>0.86666666666666703</v>
      </c>
      <c r="P205" s="2">
        <v>0.90763888888888899</v>
      </c>
      <c r="Q205" s="2">
        <v>0.91111111111111098</v>
      </c>
      <c r="R205">
        <v>92</v>
      </c>
      <c r="S205">
        <v>59</v>
      </c>
      <c r="T205" s="2">
        <v>0.91366898148148101</v>
      </c>
      <c r="U205" s="2">
        <v>0.97663194444444401</v>
      </c>
      <c r="V205">
        <v>91</v>
      </c>
    </row>
    <row r="206" spans="1:25" ht="15" customHeight="1" x14ac:dyDescent="0.2">
      <c r="A206" s="1">
        <v>46241</v>
      </c>
      <c r="B206" t="s">
        <v>42</v>
      </c>
      <c r="C206" t="s">
        <v>43</v>
      </c>
      <c r="D206" t="s">
        <v>34</v>
      </c>
      <c r="E206" t="s">
        <v>29</v>
      </c>
      <c r="F206" s="2">
        <v>0.37986111111111098</v>
      </c>
      <c r="G206" s="2">
        <v>0.46388888888888902</v>
      </c>
      <c r="H206">
        <v>121</v>
      </c>
      <c r="I206" s="3">
        <v>0.39583333333333298</v>
      </c>
      <c r="J206" s="2">
        <v>0.5</v>
      </c>
      <c r="K206">
        <v>150</v>
      </c>
      <c r="L206" s="2">
        <v>0.37986111111111098</v>
      </c>
      <c r="M206" s="2">
        <v>0.46041666666666697</v>
      </c>
      <c r="N206">
        <v>116</v>
      </c>
      <c r="O206" s="2">
        <v>0.40069444444444402</v>
      </c>
      <c r="P206" s="2">
        <v>0.45763888888888898</v>
      </c>
      <c r="Q206" s="2">
        <v>0.46041666666666697</v>
      </c>
      <c r="R206">
        <v>116</v>
      </c>
      <c r="S206">
        <v>82</v>
      </c>
      <c r="T206" s="2">
        <v>0.46388888888888902</v>
      </c>
      <c r="U206" s="2">
        <v>0.47986111111111102</v>
      </c>
      <c r="V206">
        <v>23</v>
      </c>
      <c r="W206" s="2">
        <v>0.47986111111111102</v>
      </c>
      <c r="X206" s="2">
        <v>0.53472222222222199</v>
      </c>
      <c r="Y206">
        <v>79</v>
      </c>
    </row>
    <row r="207" spans="1:25" ht="15" customHeight="1" x14ac:dyDescent="0.2">
      <c r="A207" s="1">
        <v>46241</v>
      </c>
      <c r="B207" t="s">
        <v>42</v>
      </c>
      <c r="C207" t="s">
        <v>43</v>
      </c>
      <c r="D207" t="s">
        <v>28</v>
      </c>
      <c r="E207" t="s">
        <v>31</v>
      </c>
      <c r="F207" s="2">
        <v>0.561805555555556</v>
      </c>
      <c r="G207" s="2">
        <v>0.62291666666666701</v>
      </c>
      <c r="H207">
        <v>88</v>
      </c>
      <c r="I207" s="3">
        <v>0.60416666666666696</v>
      </c>
      <c r="J207" s="2">
        <v>0.66666666666666696</v>
      </c>
      <c r="K207">
        <v>90</v>
      </c>
      <c r="L207" s="2">
        <v>0.5625</v>
      </c>
      <c r="M207" s="2">
        <v>0.61597222222222203</v>
      </c>
      <c r="N207">
        <v>77</v>
      </c>
      <c r="O207" s="2">
        <v>0.57430555555555596</v>
      </c>
      <c r="P207" s="2">
        <v>0.61111111111111105</v>
      </c>
      <c r="Q207" s="2">
        <v>0.61597222222222203</v>
      </c>
      <c r="R207">
        <v>77</v>
      </c>
      <c r="S207">
        <v>53</v>
      </c>
      <c r="T207" s="2">
        <v>0.62013888888888902</v>
      </c>
      <c r="U207" s="2">
        <v>0.64583333333333304</v>
      </c>
      <c r="V207">
        <v>37</v>
      </c>
      <c r="W207" s="2">
        <v>0.64652777777777803</v>
      </c>
      <c r="X207" s="2">
        <v>0.66666666666666696</v>
      </c>
      <c r="Y207">
        <v>29</v>
      </c>
    </row>
    <row r="208" spans="1:25" ht="15" customHeight="1" x14ac:dyDescent="0.2">
      <c r="A208" s="1">
        <v>46241</v>
      </c>
      <c r="B208" t="s">
        <v>42</v>
      </c>
      <c r="C208" t="s">
        <v>43</v>
      </c>
      <c r="D208" t="s">
        <v>28</v>
      </c>
      <c r="E208" t="s">
        <v>31</v>
      </c>
      <c r="F208" s="2">
        <v>0.48680555555555599</v>
      </c>
      <c r="G208" s="2">
        <v>0.54583333333333295</v>
      </c>
      <c r="H208">
        <v>85</v>
      </c>
      <c r="I208" s="3">
        <v>0.52083333333333304</v>
      </c>
      <c r="J208" s="2">
        <v>0.58333333333333304</v>
      </c>
      <c r="K208">
        <v>90</v>
      </c>
      <c r="L208" s="2">
        <v>0.48680555555555599</v>
      </c>
      <c r="M208" s="2">
        <v>0.53888888888888897</v>
      </c>
      <c r="N208">
        <v>75</v>
      </c>
      <c r="O208" s="2">
        <v>0.50763888888888897</v>
      </c>
      <c r="P208" s="2">
        <v>0.53680555555555598</v>
      </c>
      <c r="Q208" s="2">
        <v>0.53888888888888897</v>
      </c>
      <c r="R208">
        <v>75</v>
      </c>
      <c r="S208">
        <v>42</v>
      </c>
      <c r="T208" s="2">
        <v>0.54166666666666696</v>
      </c>
      <c r="U208" s="2">
        <v>0.625694444444444</v>
      </c>
      <c r="V208">
        <v>121</v>
      </c>
      <c r="W208" s="2">
        <v>0.62638888888888899</v>
      </c>
      <c r="X208" s="2">
        <v>0.64236111111111105</v>
      </c>
      <c r="Y208">
        <v>23</v>
      </c>
    </row>
    <row r="209" spans="1:22" ht="15" customHeight="1" x14ac:dyDescent="0.2">
      <c r="A209" s="1">
        <v>46241</v>
      </c>
      <c r="B209" t="s">
        <v>26</v>
      </c>
      <c r="C209" t="s">
        <v>27</v>
      </c>
      <c r="D209" t="s">
        <v>34</v>
      </c>
      <c r="E209" t="s">
        <v>36</v>
      </c>
      <c r="F209" s="2">
        <v>0.30972222222222201</v>
      </c>
      <c r="G209" s="2">
        <v>0.41111111111111098</v>
      </c>
      <c r="H209">
        <v>146</v>
      </c>
      <c r="I209" s="3">
        <v>0.3125</v>
      </c>
      <c r="J209" s="2">
        <v>0.40625</v>
      </c>
      <c r="K209">
        <v>135</v>
      </c>
      <c r="L209" s="2">
        <v>0.30972222222222201</v>
      </c>
      <c r="M209" s="2">
        <v>0.40763888888888899</v>
      </c>
      <c r="N209">
        <v>141</v>
      </c>
      <c r="O209" s="2">
        <v>0.33055555555555599</v>
      </c>
      <c r="P209" s="2">
        <v>0.405555555555556</v>
      </c>
      <c r="Q209" s="2">
        <v>0.40763888888888899</v>
      </c>
      <c r="R209">
        <v>141</v>
      </c>
      <c r="S209">
        <v>108</v>
      </c>
      <c r="T209" s="2">
        <v>0.40972222222222199</v>
      </c>
      <c r="U209" s="2">
        <v>0.42013888888888901</v>
      </c>
      <c r="V209">
        <v>15</v>
      </c>
    </row>
    <row r="210" spans="1:22" ht="15" customHeight="1" x14ac:dyDescent="0.2">
      <c r="A210" s="1">
        <v>46242</v>
      </c>
      <c r="B210" t="s">
        <v>26</v>
      </c>
      <c r="C210" t="s">
        <v>27</v>
      </c>
      <c r="D210" t="s">
        <v>28</v>
      </c>
      <c r="E210" t="s">
        <v>36</v>
      </c>
      <c r="F210" s="2">
        <v>0.44930555555555601</v>
      </c>
      <c r="G210" s="2">
        <v>0.50486111111111098</v>
      </c>
      <c r="H210">
        <v>80</v>
      </c>
      <c r="I210" s="3">
        <v>0.3125</v>
      </c>
      <c r="J210" s="2">
        <v>0.40625</v>
      </c>
      <c r="K210">
        <v>135</v>
      </c>
      <c r="L210" s="2">
        <v>0.454166666666667</v>
      </c>
      <c r="M210" s="2">
        <v>0.5</v>
      </c>
      <c r="N210">
        <v>66</v>
      </c>
      <c r="O210" s="2">
        <v>0.47569444444444398</v>
      </c>
      <c r="P210" s="2">
        <v>0.49652777777777801</v>
      </c>
      <c r="Q210" s="2">
        <v>0.5</v>
      </c>
      <c r="R210">
        <v>66</v>
      </c>
      <c r="S210">
        <v>30</v>
      </c>
    </row>
    <row r="211" spans="1:22" ht="15" customHeight="1" x14ac:dyDescent="0.2">
      <c r="A211" s="1">
        <v>46242</v>
      </c>
      <c r="B211" t="s">
        <v>26</v>
      </c>
      <c r="C211" t="s">
        <v>27</v>
      </c>
      <c r="D211" t="s">
        <v>34</v>
      </c>
      <c r="E211" t="s">
        <v>29</v>
      </c>
      <c r="F211" s="2">
        <v>0.47777777777777802</v>
      </c>
      <c r="G211" s="2">
        <v>0.56388888888888899</v>
      </c>
      <c r="H211">
        <v>124</v>
      </c>
      <c r="I211" s="3">
        <v>0.40972222222222199</v>
      </c>
      <c r="J211" s="2">
        <v>0.49652777777777801</v>
      </c>
      <c r="K211">
        <v>125</v>
      </c>
      <c r="L211" s="2">
        <v>0.47777777777777802</v>
      </c>
      <c r="M211" s="2">
        <v>0.56388888888888899</v>
      </c>
      <c r="N211">
        <v>124</v>
      </c>
      <c r="O211" s="2">
        <v>0.5</v>
      </c>
      <c r="P211" s="2">
        <v>0.55763888888888902</v>
      </c>
      <c r="Q211" s="2">
        <v>0.56388888888888899</v>
      </c>
      <c r="R211">
        <v>124</v>
      </c>
      <c r="S211">
        <v>83</v>
      </c>
      <c r="T211" s="2">
        <v>0.56502314814814802</v>
      </c>
      <c r="U211" s="2">
        <v>0.58151620370370405</v>
      </c>
      <c r="V211">
        <v>24</v>
      </c>
    </row>
    <row r="212" spans="1:22" ht="15" customHeight="1" x14ac:dyDescent="0.2">
      <c r="A212" s="1">
        <v>46242</v>
      </c>
      <c r="B212" t="s">
        <v>26</v>
      </c>
      <c r="C212" t="s">
        <v>27</v>
      </c>
      <c r="D212" t="s">
        <v>34</v>
      </c>
      <c r="E212" t="s">
        <v>29</v>
      </c>
      <c r="F212" s="2">
        <v>0.37916666666666698</v>
      </c>
      <c r="G212" s="2">
        <v>0.44583333333333303</v>
      </c>
      <c r="H212">
        <v>96</v>
      </c>
      <c r="I212" s="3">
        <v>0.3125</v>
      </c>
      <c r="J212" s="2">
        <v>0.38888888888888901</v>
      </c>
      <c r="K212">
        <v>110</v>
      </c>
      <c r="L212" s="2">
        <v>0.37916666666666698</v>
      </c>
      <c r="M212" s="2">
        <v>0.44305555555555598</v>
      </c>
      <c r="N212">
        <v>92</v>
      </c>
      <c r="O212" s="2">
        <v>0.390972222222222</v>
      </c>
      <c r="P212" s="2">
        <v>0.44027777777777799</v>
      </c>
      <c r="Q212" s="2">
        <v>0.44305555555555598</v>
      </c>
      <c r="R212">
        <v>92</v>
      </c>
      <c r="S212">
        <v>71</v>
      </c>
      <c r="T212" s="2">
        <v>0.44394675925925903</v>
      </c>
      <c r="U212" s="2">
        <v>0.469444444444444</v>
      </c>
      <c r="V212">
        <v>37</v>
      </c>
    </row>
    <row r="213" spans="1:22" ht="15" customHeight="1" x14ac:dyDescent="0.2">
      <c r="A213" s="1">
        <v>46242</v>
      </c>
      <c r="B213" t="s">
        <v>26</v>
      </c>
      <c r="C213" t="s">
        <v>27</v>
      </c>
      <c r="D213" t="s">
        <v>34</v>
      </c>
      <c r="E213" t="s">
        <v>36</v>
      </c>
      <c r="F213" s="2">
        <v>0.58402777777777803</v>
      </c>
      <c r="G213" s="2">
        <v>0.67986111111111103</v>
      </c>
      <c r="H213">
        <v>138</v>
      </c>
      <c r="I213" s="3">
        <v>0.55208333333333304</v>
      </c>
      <c r="J213" s="2">
        <v>0.63888888888888895</v>
      </c>
      <c r="K213">
        <v>155</v>
      </c>
      <c r="L213" s="2">
        <v>0.58402777777777803</v>
      </c>
      <c r="M213" s="2">
        <v>0.67638888888888904</v>
      </c>
      <c r="N213">
        <v>133</v>
      </c>
      <c r="O213" s="2">
        <v>0.60138888888888897</v>
      </c>
      <c r="P213" s="2">
        <v>0.67222222222222205</v>
      </c>
      <c r="Q213" s="2">
        <v>0.67638888888888904</v>
      </c>
      <c r="R213">
        <v>133</v>
      </c>
      <c r="S213">
        <v>102</v>
      </c>
      <c r="T213" s="2">
        <v>0.67784722222222205</v>
      </c>
      <c r="U213" s="2">
        <v>0.750694444444444</v>
      </c>
      <c r="V213">
        <v>105</v>
      </c>
    </row>
    <row r="214" spans="1:22" ht="15" customHeight="1" x14ac:dyDescent="0.2">
      <c r="A214" s="1">
        <v>46242</v>
      </c>
      <c r="B214" t="s">
        <v>26</v>
      </c>
      <c r="C214" t="s">
        <v>27</v>
      </c>
      <c r="D214" t="s">
        <v>28</v>
      </c>
      <c r="E214" t="s">
        <v>36</v>
      </c>
      <c r="F214" s="2">
        <v>0.250694444444444</v>
      </c>
      <c r="G214" s="2">
        <v>0.41875000000000001</v>
      </c>
      <c r="H214">
        <v>242</v>
      </c>
      <c r="I214" s="3">
        <v>0.23611111111111099</v>
      </c>
      <c r="J214" s="2">
        <v>0.32986111111111099</v>
      </c>
      <c r="K214">
        <v>165</v>
      </c>
      <c r="L214" s="2">
        <v>0.250694444444444</v>
      </c>
      <c r="M214" s="2">
        <v>0.41111111111111098</v>
      </c>
      <c r="N214">
        <v>231</v>
      </c>
      <c r="O214" s="2">
        <v>0.280555555555556</v>
      </c>
      <c r="P214" s="2">
        <v>0.40486111111111101</v>
      </c>
      <c r="Q214" s="2">
        <v>0.41111111111111098</v>
      </c>
      <c r="R214">
        <v>231</v>
      </c>
      <c r="S214">
        <v>179</v>
      </c>
    </row>
    <row r="215" spans="1:22" ht="15" customHeight="1" x14ac:dyDescent="0.2">
      <c r="A215" s="1">
        <v>46242</v>
      </c>
      <c r="B215" t="s">
        <v>26</v>
      </c>
      <c r="C215" t="s">
        <v>27</v>
      </c>
      <c r="D215" t="s">
        <v>34</v>
      </c>
      <c r="E215" t="s">
        <v>31</v>
      </c>
      <c r="F215" s="2">
        <v>0.7</v>
      </c>
      <c r="G215" s="2">
        <v>0.80972222222222201</v>
      </c>
      <c r="H215">
        <v>158</v>
      </c>
      <c r="I215" s="3">
        <v>0.64930555555555602</v>
      </c>
      <c r="J215" s="2">
        <v>0.76736111111111105</v>
      </c>
      <c r="K215">
        <v>200</v>
      </c>
      <c r="L215" s="2">
        <v>0.7</v>
      </c>
      <c r="M215" s="2">
        <v>0.80625000000000002</v>
      </c>
      <c r="N215">
        <v>153</v>
      </c>
      <c r="O215" s="2">
        <v>0.718055555555556</v>
      </c>
      <c r="P215" s="2">
        <v>0.80277777777777803</v>
      </c>
      <c r="Q215" s="2">
        <v>0.80625000000000002</v>
      </c>
      <c r="R215">
        <v>153</v>
      </c>
      <c r="S215">
        <v>122</v>
      </c>
      <c r="T215" s="2">
        <v>0.80715277777777805</v>
      </c>
      <c r="U215" s="2">
        <v>0.84861111111111098</v>
      </c>
      <c r="V215">
        <v>60</v>
      </c>
    </row>
    <row r="216" spans="1:22" ht="15" customHeight="1" x14ac:dyDescent="0.2">
      <c r="A216" s="1">
        <v>46242</v>
      </c>
      <c r="B216" t="s">
        <v>42</v>
      </c>
      <c r="C216" t="s">
        <v>43</v>
      </c>
      <c r="D216" t="s">
        <v>28</v>
      </c>
      <c r="E216" t="s">
        <v>35</v>
      </c>
      <c r="F216" s="2">
        <v>0.71041666666666703</v>
      </c>
      <c r="G216" s="2">
        <v>0.73888888888888904</v>
      </c>
      <c r="H216">
        <v>41</v>
      </c>
      <c r="I216" s="3">
        <v>0.70833333333333304</v>
      </c>
      <c r="J216" s="2">
        <v>0.75694444444444398</v>
      </c>
      <c r="K216">
        <v>100</v>
      </c>
      <c r="L216" s="2">
        <v>0.71041666666666703</v>
      </c>
      <c r="M216" s="2">
        <v>0.73611111111111105</v>
      </c>
      <c r="N216">
        <v>37</v>
      </c>
      <c r="O216" s="2">
        <v>0.72083333333333299</v>
      </c>
      <c r="P216" s="2">
        <v>0.73402777777777795</v>
      </c>
      <c r="Q216" s="2">
        <v>0.73611111111111105</v>
      </c>
      <c r="R216">
        <v>37</v>
      </c>
      <c r="S216">
        <v>19</v>
      </c>
      <c r="T216" s="2">
        <v>0.73869212962963005</v>
      </c>
      <c r="U216" s="2">
        <v>0.75577546296296305</v>
      </c>
      <c r="V216">
        <v>25</v>
      </c>
    </row>
    <row r="217" spans="1:22" ht="15" customHeight="1" x14ac:dyDescent="0.2">
      <c r="A217" s="1">
        <v>46242</v>
      </c>
      <c r="B217" t="s">
        <v>26</v>
      </c>
      <c r="C217" t="s">
        <v>27</v>
      </c>
      <c r="D217" t="s">
        <v>34</v>
      </c>
      <c r="E217" t="s">
        <v>31</v>
      </c>
      <c r="F217" s="2">
        <v>0.83333333333333304</v>
      </c>
      <c r="G217" s="2">
        <v>0.92013888888888895</v>
      </c>
      <c r="H217">
        <v>125</v>
      </c>
      <c r="I217" s="3">
        <v>0.83333333333333304</v>
      </c>
      <c r="J217" s="2">
        <v>0.90277777777777801</v>
      </c>
      <c r="K217">
        <v>130</v>
      </c>
      <c r="L217" s="2">
        <v>0.83333333333333304</v>
      </c>
      <c r="M217" s="2">
        <v>0.91666666666666696</v>
      </c>
      <c r="N217">
        <v>120</v>
      </c>
      <c r="O217" s="2">
        <v>0.85486111111111096</v>
      </c>
      <c r="P217" s="2">
        <v>0.91111111111111098</v>
      </c>
      <c r="Q217" s="2">
        <v>0.91666666666666696</v>
      </c>
      <c r="R217">
        <v>120</v>
      </c>
      <c r="S217">
        <v>81</v>
      </c>
      <c r="T217" s="2">
        <v>0.91805555555555596</v>
      </c>
      <c r="U217" s="2">
        <v>0.934189814814815</v>
      </c>
      <c r="V217">
        <v>23</v>
      </c>
    </row>
    <row r="218" spans="1:22" ht="15" customHeight="1" x14ac:dyDescent="0.2">
      <c r="A218" s="1">
        <v>46243</v>
      </c>
      <c r="B218" t="s">
        <v>26</v>
      </c>
      <c r="C218" t="s">
        <v>27</v>
      </c>
      <c r="D218" t="s">
        <v>28</v>
      </c>
      <c r="E218" t="s">
        <v>36</v>
      </c>
      <c r="F218" s="2">
        <v>0.43472222222222201</v>
      </c>
      <c r="G218" s="2">
        <v>0.52430555555555602</v>
      </c>
      <c r="H218">
        <v>129</v>
      </c>
      <c r="I218" s="3">
        <v>0.4375</v>
      </c>
      <c r="J218" s="2">
        <v>0.50347222222222199</v>
      </c>
      <c r="K218">
        <v>125</v>
      </c>
      <c r="L218" s="2">
        <v>0.43958333333333299</v>
      </c>
      <c r="M218" s="2">
        <v>0.52013888888888904</v>
      </c>
      <c r="N218">
        <v>116</v>
      </c>
      <c r="O218" s="2">
        <v>0.45624999999999999</v>
      </c>
      <c r="P218" s="2">
        <v>0.51597222222222205</v>
      </c>
      <c r="Q218" s="2">
        <v>0.52013888888888904</v>
      </c>
      <c r="R218">
        <v>116</v>
      </c>
      <c r="S218">
        <v>86</v>
      </c>
    </row>
    <row r="219" spans="1:22" ht="15" customHeight="1" x14ac:dyDescent="0.2">
      <c r="A219" s="1">
        <v>46243</v>
      </c>
      <c r="B219" t="s">
        <v>26</v>
      </c>
      <c r="C219" t="s">
        <v>27</v>
      </c>
      <c r="D219" t="s">
        <v>28</v>
      </c>
      <c r="E219" t="s">
        <v>29</v>
      </c>
      <c r="F219" s="2">
        <v>0.30902777777777801</v>
      </c>
      <c r="G219" s="2">
        <v>0.359722222222222</v>
      </c>
      <c r="H219">
        <v>73</v>
      </c>
      <c r="I219" s="3">
        <v>0.3125</v>
      </c>
      <c r="J219" s="2">
        <v>0.36458333333333298</v>
      </c>
      <c r="K219">
        <v>105</v>
      </c>
      <c r="L219" s="2">
        <v>0.30902777777777801</v>
      </c>
      <c r="M219" s="2">
        <v>0.35555555555555601</v>
      </c>
      <c r="N219">
        <v>67</v>
      </c>
      <c r="O219" s="2">
        <v>0.327777777777778</v>
      </c>
      <c r="P219" s="2">
        <v>0.35138888888888897</v>
      </c>
      <c r="Q219" s="2">
        <v>0.35555555555555601</v>
      </c>
      <c r="R219">
        <v>67</v>
      </c>
      <c r="S219">
        <v>34</v>
      </c>
      <c r="T219" s="2">
        <v>0.35763888888888901</v>
      </c>
      <c r="U219" s="2">
        <v>0.391666666666667</v>
      </c>
      <c r="V219">
        <v>49</v>
      </c>
    </row>
    <row r="220" spans="1:22" ht="15" customHeight="1" x14ac:dyDescent="0.2">
      <c r="A220" s="1">
        <v>46243</v>
      </c>
      <c r="B220" t="s">
        <v>26</v>
      </c>
      <c r="C220" t="s">
        <v>27</v>
      </c>
      <c r="D220" t="s">
        <v>28</v>
      </c>
      <c r="E220" t="s">
        <v>29</v>
      </c>
      <c r="F220" s="2">
        <v>0.3125</v>
      </c>
      <c r="G220" s="2">
        <v>0.34930555555555598</v>
      </c>
      <c r="H220">
        <v>53</v>
      </c>
      <c r="I220" s="3">
        <v>0.3125</v>
      </c>
      <c r="J220" s="2">
        <v>0.36111111111111099</v>
      </c>
      <c r="K220">
        <v>100</v>
      </c>
      <c r="L220" s="2">
        <v>0.3125</v>
      </c>
      <c r="M220" s="2">
        <v>0.343055555555556</v>
      </c>
      <c r="N220">
        <v>44</v>
      </c>
      <c r="O220" s="2">
        <v>0.33055555555555599</v>
      </c>
      <c r="P220" s="2">
        <v>0.33888888888888902</v>
      </c>
      <c r="Q220" s="2">
        <v>0.343055555555556</v>
      </c>
      <c r="R220">
        <v>44</v>
      </c>
      <c r="S220">
        <v>12</v>
      </c>
      <c r="T220" s="2">
        <v>0.34581018518518503</v>
      </c>
      <c r="U220" s="2">
        <v>0.37601851851851897</v>
      </c>
      <c r="V220">
        <v>44</v>
      </c>
    </row>
    <row r="221" spans="1:22" ht="15" customHeight="1" x14ac:dyDescent="0.2">
      <c r="A221" s="1">
        <v>46243</v>
      </c>
      <c r="B221" t="s">
        <v>26</v>
      </c>
      <c r="C221" t="s">
        <v>27</v>
      </c>
      <c r="D221" t="s">
        <v>28</v>
      </c>
      <c r="E221" t="s">
        <v>29</v>
      </c>
      <c r="F221" s="2">
        <v>0.186805555555556</v>
      </c>
      <c r="G221" s="2">
        <v>0.27638888888888902</v>
      </c>
      <c r="H221">
        <v>129</v>
      </c>
      <c r="I221" s="3">
        <v>0.16666666666666699</v>
      </c>
      <c r="J221" s="2">
        <v>0.25347222222222199</v>
      </c>
      <c r="K221">
        <v>155</v>
      </c>
      <c r="L221" s="2">
        <v>0.186805555555556</v>
      </c>
      <c r="M221" s="2">
        <v>0.27083333333333298</v>
      </c>
      <c r="N221">
        <v>121</v>
      </c>
      <c r="O221" s="2">
        <v>0.19930555555555601</v>
      </c>
      <c r="P221" s="2">
        <v>0.265277777777778</v>
      </c>
      <c r="Q221" s="2">
        <v>0.27083333333333298</v>
      </c>
      <c r="R221">
        <v>121</v>
      </c>
      <c r="S221">
        <v>95</v>
      </c>
    </row>
    <row r="222" spans="1:22" ht="15" customHeight="1" x14ac:dyDescent="0.2">
      <c r="A222" s="1">
        <v>46243</v>
      </c>
      <c r="B222" t="s">
        <v>26</v>
      </c>
      <c r="C222" t="s">
        <v>27</v>
      </c>
      <c r="D222" t="s">
        <v>28</v>
      </c>
      <c r="E222" t="s">
        <v>31</v>
      </c>
      <c r="F222" s="2">
        <v>0.36458333333333298</v>
      </c>
      <c r="G222" s="2">
        <v>0.421527777777778</v>
      </c>
      <c r="H222">
        <v>82</v>
      </c>
      <c r="I222" s="3">
        <v>0.38888888888888901</v>
      </c>
      <c r="J222" s="2">
        <v>0.44444444444444398</v>
      </c>
      <c r="K222">
        <v>110</v>
      </c>
      <c r="L222" s="2">
        <v>0.36458333333333298</v>
      </c>
      <c r="M222" s="2">
        <v>0.41527777777777802</v>
      </c>
      <c r="N222">
        <v>73</v>
      </c>
      <c r="O222" s="2">
        <v>0.38402777777777802</v>
      </c>
      <c r="P222" s="2">
        <v>0.41111111111111098</v>
      </c>
      <c r="Q222" s="2">
        <v>0.41527777777777802</v>
      </c>
      <c r="R222">
        <v>73</v>
      </c>
      <c r="S222">
        <v>39</v>
      </c>
      <c r="T222" s="2">
        <v>0.41732638888888901</v>
      </c>
      <c r="U222" s="2">
        <v>0.44744212962962998</v>
      </c>
      <c r="V222">
        <v>44</v>
      </c>
    </row>
    <row r="223" spans="1:22" ht="15" customHeight="1" x14ac:dyDescent="0.2">
      <c r="A223" s="1">
        <v>46243</v>
      </c>
      <c r="B223" t="s">
        <v>42</v>
      </c>
      <c r="C223" t="s">
        <v>43</v>
      </c>
      <c r="D223" t="s">
        <v>28</v>
      </c>
      <c r="E223" t="s">
        <v>31</v>
      </c>
      <c r="F223" s="2">
        <v>0.55416666666666703</v>
      </c>
      <c r="G223" s="2">
        <v>0.58194444444444404</v>
      </c>
      <c r="H223">
        <v>40</v>
      </c>
      <c r="I223" s="3">
        <v>0.54166666666666696</v>
      </c>
      <c r="J223" s="2">
        <v>0.57638888888888895</v>
      </c>
      <c r="K223">
        <v>80</v>
      </c>
      <c r="L223" s="2">
        <v>0.55416666666666703</v>
      </c>
      <c r="M223" s="2">
        <v>0.57847222222222205</v>
      </c>
      <c r="N223">
        <v>35</v>
      </c>
      <c r="O223" s="2">
        <v>0.57013888888888897</v>
      </c>
      <c r="P223" s="2">
        <v>0.57569444444444395</v>
      </c>
      <c r="Q223" s="2">
        <v>0.57847222222222205</v>
      </c>
      <c r="R223">
        <v>35</v>
      </c>
      <c r="S223">
        <v>8</v>
      </c>
      <c r="T223" s="2">
        <v>0.57965277777777802</v>
      </c>
      <c r="U223" s="2">
        <v>0.63472222222222197</v>
      </c>
      <c r="V223">
        <v>80</v>
      </c>
    </row>
    <row r="224" spans="1:22" ht="15" customHeight="1" x14ac:dyDescent="0.2">
      <c r="A224" s="1">
        <v>46243</v>
      </c>
      <c r="B224" t="s">
        <v>26</v>
      </c>
      <c r="C224" t="s">
        <v>27</v>
      </c>
      <c r="D224" t="s">
        <v>28</v>
      </c>
      <c r="E224" t="s">
        <v>29</v>
      </c>
      <c r="F224" s="2">
        <v>0.68125000000000002</v>
      </c>
      <c r="G224" s="2">
        <v>0.79583333333333295</v>
      </c>
      <c r="H224">
        <v>165</v>
      </c>
      <c r="I224" s="3">
        <v>0.66666666666666696</v>
      </c>
      <c r="J224" s="2">
        <v>0.74652777777777801</v>
      </c>
      <c r="K224">
        <v>145</v>
      </c>
      <c r="L224" s="2">
        <v>0.68125000000000002</v>
      </c>
      <c r="M224" s="2">
        <v>0.79236111111111096</v>
      </c>
      <c r="N224">
        <v>160</v>
      </c>
      <c r="O224" s="2">
        <v>0.69791666666666696</v>
      </c>
      <c r="P224" s="2">
        <v>0.78888888888888897</v>
      </c>
      <c r="Q224" s="2">
        <v>0.79236111111111096</v>
      </c>
      <c r="R224">
        <v>160</v>
      </c>
      <c r="S224">
        <v>131</v>
      </c>
      <c r="T224" s="2">
        <v>0.79374999999999996</v>
      </c>
      <c r="U224" s="2">
        <v>0.83876157407407403</v>
      </c>
      <c r="V224">
        <v>64</v>
      </c>
    </row>
    <row r="225" spans="1:25" ht="15" customHeight="1" x14ac:dyDescent="0.2">
      <c r="A225" s="1">
        <v>46243</v>
      </c>
      <c r="B225" t="s">
        <v>26</v>
      </c>
      <c r="C225" t="s">
        <v>27</v>
      </c>
      <c r="D225" t="s">
        <v>28</v>
      </c>
      <c r="E225" t="s">
        <v>36</v>
      </c>
      <c r="F225" s="2">
        <v>0.97222222222222199</v>
      </c>
      <c r="G225" s="2">
        <v>0.99722222222222201</v>
      </c>
      <c r="H225">
        <v>36</v>
      </c>
      <c r="I225" s="3">
        <v>0.96527777777777801</v>
      </c>
      <c r="J225" s="2">
        <v>0</v>
      </c>
      <c r="K225">
        <v>80</v>
      </c>
      <c r="L225" s="2">
        <v>0.97222222222222199</v>
      </c>
      <c r="M225" s="2">
        <v>0.99166666666666703</v>
      </c>
      <c r="N225">
        <v>28</v>
      </c>
      <c r="O225" s="2">
        <v>0.98263888888888895</v>
      </c>
      <c r="P225" s="2">
        <v>0.98819444444444404</v>
      </c>
      <c r="Q225" s="2">
        <v>0.99166666666666703</v>
      </c>
      <c r="R225">
        <v>28</v>
      </c>
      <c r="S225">
        <v>8</v>
      </c>
      <c r="T225" s="2">
        <v>0.99266203703703704</v>
      </c>
      <c r="U225" s="2">
        <v>2.73611111111111E-2</v>
      </c>
      <c r="V225">
        <v>50</v>
      </c>
    </row>
    <row r="226" spans="1:25" ht="15" customHeight="1" x14ac:dyDescent="0.2">
      <c r="A226" s="1">
        <v>46244</v>
      </c>
      <c r="B226" t="s">
        <v>26</v>
      </c>
      <c r="C226" t="s">
        <v>27</v>
      </c>
      <c r="D226" t="s">
        <v>28</v>
      </c>
      <c r="E226" t="s">
        <v>29</v>
      </c>
      <c r="F226" s="2">
        <v>0.624305555555556</v>
      </c>
      <c r="G226" s="2">
        <v>0.72569444444444398</v>
      </c>
      <c r="H226">
        <v>146</v>
      </c>
      <c r="I226" s="3">
        <v>0.59375</v>
      </c>
      <c r="J226" s="2">
        <v>0.6875</v>
      </c>
      <c r="K226">
        <v>135</v>
      </c>
      <c r="L226" s="2">
        <v>0.624305555555556</v>
      </c>
      <c r="M226" s="2">
        <v>0.72222222222222199</v>
      </c>
      <c r="N226">
        <v>141</v>
      </c>
      <c r="O226" s="2">
        <v>0.64861111111111103</v>
      </c>
      <c r="P226" s="2">
        <v>0.71875</v>
      </c>
      <c r="Q226" s="2">
        <v>0.72222222222222199</v>
      </c>
      <c r="R226">
        <v>141</v>
      </c>
      <c r="S226">
        <v>101</v>
      </c>
      <c r="T226" s="2">
        <v>0.72430555555555598</v>
      </c>
      <c r="U226" s="2">
        <v>0.77361111111111103</v>
      </c>
      <c r="V226">
        <v>71</v>
      </c>
    </row>
    <row r="227" spans="1:25" ht="15" customHeight="1" x14ac:dyDescent="0.2">
      <c r="A227" s="1">
        <v>46244</v>
      </c>
      <c r="B227" t="s">
        <v>42</v>
      </c>
      <c r="C227" t="s">
        <v>43</v>
      </c>
      <c r="D227" t="s">
        <v>28</v>
      </c>
      <c r="E227" t="s">
        <v>31</v>
      </c>
      <c r="F227" s="2">
        <v>0.51041666666666696</v>
      </c>
      <c r="G227" s="2">
        <v>0.54166666666666696</v>
      </c>
      <c r="H227">
        <v>45</v>
      </c>
      <c r="I227" s="3">
        <v>0.51041666666666696</v>
      </c>
      <c r="J227" s="2">
        <v>0.54166666666666696</v>
      </c>
      <c r="K227">
        <v>45</v>
      </c>
      <c r="L227" s="2">
        <v>0.51041666666666696</v>
      </c>
      <c r="M227" s="2">
        <v>0.53888888888888897</v>
      </c>
      <c r="N227">
        <v>41</v>
      </c>
      <c r="O227" s="2">
        <v>0.52083333333333304</v>
      </c>
      <c r="P227" s="2">
        <v>0.53263888888888899</v>
      </c>
      <c r="Q227" s="2">
        <v>0.53888888888888897</v>
      </c>
      <c r="R227">
        <v>41</v>
      </c>
      <c r="S227">
        <v>17</v>
      </c>
      <c r="T227" s="2">
        <v>0.54037037037036995</v>
      </c>
      <c r="U227" s="2">
        <v>0.58333333333333304</v>
      </c>
      <c r="V227">
        <v>62</v>
      </c>
      <c r="W227" s="2">
        <v>0.58402777777777803</v>
      </c>
      <c r="X227" s="2">
        <v>0.59027777777777801</v>
      </c>
      <c r="Y227">
        <v>9</v>
      </c>
    </row>
    <row r="228" spans="1:25" ht="15" customHeight="1" x14ac:dyDescent="0.2">
      <c r="A228" s="1">
        <v>46244</v>
      </c>
      <c r="B228" t="s">
        <v>26</v>
      </c>
      <c r="C228" t="s">
        <v>27</v>
      </c>
      <c r="D228" t="s">
        <v>28</v>
      </c>
      <c r="E228" t="s">
        <v>31</v>
      </c>
      <c r="F228" s="2">
        <v>0.41666666666666702</v>
      </c>
      <c r="G228" s="2">
        <v>0.51875000000000004</v>
      </c>
      <c r="H228">
        <v>147</v>
      </c>
      <c r="I228" s="3">
        <v>0.41666666666666702</v>
      </c>
      <c r="J228" s="2">
        <v>0.51041666666666696</v>
      </c>
      <c r="K228">
        <v>135</v>
      </c>
      <c r="L228" s="2">
        <v>0.41666666666666702</v>
      </c>
      <c r="M228" s="2">
        <v>0.51527777777777795</v>
      </c>
      <c r="N228">
        <v>142</v>
      </c>
      <c r="O228" s="2">
        <v>0.4375</v>
      </c>
      <c r="P228" s="2">
        <v>0.51180555555555596</v>
      </c>
      <c r="Q228" s="2">
        <v>0.51527777777777795</v>
      </c>
      <c r="R228">
        <v>142</v>
      </c>
      <c r="S228">
        <v>107</v>
      </c>
      <c r="T228" s="2">
        <v>0.516585648148148</v>
      </c>
      <c r="U228" s="2">
        <v>0.56181712962963004</v>
      </c>
      <c r="V228">
        <v>66</v>
      </c>
    </row>
    <row r="229" spans="1:25" ht="15" customHeight="1" x14ac:dyDescent="0.2">
      <c r="A229" s="1">
        <v>46244</v>
      </c>
      <c r="B229" t="s">
        <v>42</v>
      </c>
      <c r="C229" t="s">
        <v>43</v>
      </c>
      <c r="D229" t="s">
        <v>28</v>
      </c>
      <c r="E229" t="s">
        <v>35</v>
      </c>
      <c r="F229" s="2">
        <v>0.33055555555555599</v>
      </c>
      <c r="G229" s="2">
        <v>0.39652777777777798</v>
      </c>
      <c r="H229">
        <v>95</v>
      </c>
      <c r="I229" s="3">
        <v>0.33333333333333298</v>
      </c>
      <c r="J229" s="2">
        <v>0.39583333333333298</v>
      </c>
      <c r="K229">
        <v>90</v>
      </c>
      <c r="L229" s="2">
        <v>0.33055555555555599</v>
      </c>
      <c r="M229" s="2">
        <v>0.390277777777778</v>
      </c>
      <c r="N229">
        <v>86</v>
      </c>
      <c r="O229" s="2">
        <v>0.35208333333333303</v>
      </c>
      <c r="P229" s="2">
        <v>0.38402777777777802</v>
      </c>
      <c r="Q229" s="2">
        <v>0.390277777777778</v>
      </c>
      <c r="R229">
        <v>86</v>
      </c>
      <c r="S229">
        <v>46</v>
      </c>
      <c r="T229" s="2">
        <v>0.391701388888889</v>
      </c>
      <c r="U229" s="2">
        <v>0.42777777777777798</v>
      </c>
      <c r="V229">
        <v>52</v>
      </c>
      <c r="W229" s="2">
        <v>0.42847222222222198</v>
      </c>
      <c r="X229" s="2">
        <v>0.46319444444444402</v>
      </c>
      <c r="Y229">
        <v>50</v>
      </c>
    </row>
    <row r="230" spans="1:25" ht="15" customHeight="1" x14ac:dyDescent="0.2">
      <c r="A230" s="1">
        <v>46244</v>
      </c>
      <c r="B230" t="s">
        <v>42</v>
      </c>
      <c r="C230" t="s">
        <v>43</v>
      </c>
      <c r="D230" t="s">
        <v>28</v>
      </c>
      <c r="E230" t="s">
        <v>31</v>
      </c>
      <c r="F230" s="2">
        <v>0.391666666666667</v>
      </c>
      <c r="G230" s="2">
        <v>0.43472222222222201</v>
      </c>
      <c r="H230">
        <v>62</v>
      </c>
      <c r="I230" s="3">
        <v>0.39583333333333298</v>
      </c>
      <c r="J230" s="2">
        <v>0.4375</v>
      </c>
      <c r="K230">
        <v>60</v>
      </c>
      <c r="L230" s="2">
        <v>0.391666666666667</v>
      </c>
      <c r="M230" s="2">
        <v>0.43194444444444402</v>
      </c>
      <c r="N230">
        <v>58</v>
      </c>
      <c r="O230" s="2">
        <v>0.405555555555556</v>
      </c>
      <c r="P230" s="2">
        <v>0.42361111111111099</v>
      </c>
      <c r="Q230" s="2">
        <v>0.43194444444444402</v>
      </c>
      <c r="R230">
        <v>58</v>
      </c>
      <c r="S230">
        <v>26</v>
      </c>
      <c r="T230" s="2">
        <v>0.43471064814814803</v>
      </c>
      <c r="U230" s="2">
        <v>0.45741898148148102</v>
      </c>
      <c r="V230">
        <v>33</v>
      </c>
      <c r="W230" s="2">
        <v>0.45743055555555601</v>
      </c>
      <c r="X230" s="2">
        <v>0.51047453703703705</v>
      </c>
      <c r="Y230">
        <v>77</v>
      </c>
    </row>
    <row r="231" spans="1:25" ht="15" customHeight="1" x14ac:dyDescent="0.2">
      <c r="A231" s="1">
        <v>46244</v>
      </c>
      <c r="B231" t="s">
        <v>26</v>
      </c>
      <c r="C231" t="s">
        <v>27</v>
      </c>
      <c r="D231" t="s">
        <v>34</v>
      </c>
      <c r="E231" t="s">
        <v>36</v>
      </c>
      <c r="F231" s="2">
        <v>0.33541666666666697</v>
      </c>
      <c r="G231" s="2">
        <v>0.60486111111111096</v>
      </c>
      <c r="H231">
        <v>388</v>
      </c>
      <c r="I231" s="3">
        <v>0.33333333333333298</v>
      </c>
      <c r="J231" s="2">
        <v>0.54166666666666696</v>
      </c>
      <c r="K231">
        <v>300</v>
      </c>
      <c r="L231" s="2">
        <v>0.33541666666666697</v>
      </c>
      <c r="M231" s="2">
        <v>0.59930555555555598</v>
      </c>
      <c r="N231">
        <v>380</v>
      </c>
      <c r="O231" s="2">
        <v>0.36944444444444402</v>
      </c>
      <c r="P231" s="2">
        <v>0.58194444444444404</v>
      </c>
      <c r="Q231" s="2">
        <v>0.59930555555555598</v>
      </c>
      <c r="R231">
        <v>380</v>
      </c>
      <c r="S231">
        <v>306</v>
      </c>
      <c r="T231" s="2">
        <v>0.59979166666666694</v>
      </c>
      <c r="U231" s="2">
        <v>0.65136574074074105</v>
      </c>
      <c r="V231">
        <v>74</v>
      </c>
    </row>
    <row r="232" spans="1:25" ht="15" customHeight="1" x14ac:dyDescent="0.2">
      <c r="A232" s="1">
        <v>46244</v>
      </c>
      <c r="B232" t="s">
        <v>42</v>
      </c>
      <c r="C232" t="s">
        <v>43</v>
      </c>
      <c r="D232" t="s">
        <v>28</v>
      </c>
      <c r="E232" t="s">
        <v>31</v>
      </c>
      <c r="F232" s="2">
        <v>0.34097222222222201</v>
      </c>
      <c r="G232" s="2">
        <v>0.35694444444444401</v>
      </c>
      <c r="H232">
        <v>23</v>
      </c>
      <c r="I232" s="3">
        <v>0.33333333333333298</v>
      </c>
      <c r="J232" s="2">
        <v>0.34375</v>
      </c>
      <c r="K232">
        <v>15</v>
      </c>
      <c r="L232" s="2">
        <v>0.34097222222222201</v>
      </c>
      <c r="M232" s="2">
        <v>0.35347222222222202</v>
      </c>
      <c r="N232">
        <v>18</v>
      </c>
      <c r="O232" s="2">
        <v>0.34722222222222199</v>
      </c>
      <c r="P232" s="2">
        <v>0.35</v>
      </c>
      <c r="Q232" s="2">
        <v>0.35347222222222202</v>
      </c>
      <c r="R232">
        <v>18</v>
      </c>
      <c r="S232">
        <v>4</v>
      </c>
      <c r="T232" s="2">
        <v>0.35732638888888901</v>
      </c>
      <c r="U232" s="2">
        <v>0.40625</v>
      </c>
      <c r="V232">
        <v>71</v>
      </c>
      <c r="W232" s="2">
        <v>0.406944444444444</v>
      </c>
      <c r="X232" s="2">
        <v>0.45138888888888901</v>
      </c>
      <c r="Y232">
        <v>64</v>
      </c>
    </row>
    <row r="233" spans="1:25" ht="15" customHeight="1" x14ac:dyDescent="0.2">
      <c r="A233" s="1">
        <v>46244</v>
      </c>
      <c r="B233" t="s">
        <v>42</v>
      </c>
      <c r="C233" t="s">
        <v>43</v>
      </c>
      <c r="D233" t="s">
        <v>28</v>
      </c>
      <c r="E233" t="s">
        <v>31</v>
      </c>
      <c r="F233" s="2">
        <v>0.36111111111111099</v>
      </c>
      <c r="G233" s="2">
        <v>0.405555555555556</v>
      </c>
      <c r="H233">
        <v>64</v>
      </c>
      <c r="I233" s="3">
        <v>0.36458333333333298</v>
      </c>
      <c r="J233" s="2">
        <v>0.40625</v>
      </c>
      <c r="K233">
        <v>60</v>
      </c>
      <c r="L233" s="2">
        <v>0.36111111111111099</v>
      </c>
      <c r="M233" s="2">
        <v>0.40208333333333302</v>
      </c>
      <c r="N233">
        <v>59</v>
      </c>
      <c r="O233" s="2">
        <v>0.37638888888888899</v>
      </c>
      <c r="P233" s="2">
        <v>0.39861111111111103</v>
      </c>
      <c r="Q233" s="2">
        <v>0.40208333333333302</v>
      </c>
      <c r="R233">
        <v>59</v>
      </c>
      <c r="S233">
        <v>32</v>
      </c>
      <c r="T233" s="2">
        <v>0.40516203703703701</v>
      </c>
      <c r="U233" s="2">
        <v>0.46875</v>
      </c>
      <c r="V233">
        <v>92</v>
      </c>
      <c r="W233" s="2">
        <v>0.469444444444444</v>
      </c>
      <c r="X233" s="2">
        <v>0.50138888888888899</v>
      </c>
      <c r="Y233">
        <v>46</v>
      </c>
    </row>
    <row r="234" spans="1:25" ht="15" customHeight="1" x14ac:dyDescent="0.2">
      <c r="A234" s="1">
        <v>46244</v>
      </c>
      <c r="B234" t="s">
        <v>26</v>
      </c>
      <c r="C234" t="s">
        <v>27</v>
      </c>
      <c r="D234" t="s">
        <v>28</v>
      </c>
      <c r="E234" t="s">
        <v>29</v>
      </c>
      <c r="F234" s="2">
        <v>0.87361111111111101</v>
      </c>
      <c r="G234" s="2">
        <v>0.91736111111111096</v>
      </c>
      <c r="H234">
        <v>63</v>
      </c>
      <c r="I234" s="3">
        <v>0.85416666666666696</v>
      </c>
      <c r="J234" s="2">
        <v>0.89583333333333304</v>
      </c>
      <c r="K234">
        <v>60</v>
      </c>
      <c r="L234" s="2">
        <v>0.87361111111111101</v>
      </c>
      <c r="M234" s="2">
        <v>0.91319444444444398</v>
      </c>
      <c r="N234">
        <v>57</v>
      </c>
      <c r="O234" s="2">
        <v>0.89236111111111105</v>
      </c>
      <c r="P234" s="2">
        <v>0.90972222222222199</v>
      </c>
      <c r="Q234" s="2">
        <v>0.91319444444444398</v>
      </c>
      <c r="R234">
        <v>57</v>
      </c>
      <c r="S234">
        <v>25</v>
      </c>
      <c r="T234" s="2">
        <v>0.91636574074074095</v>
      </c>
      <c r="U234" s="2">
        <v>0.94444444444444398</v>
      </c>
      <c r="V234">
        <v>41</v>
      </c>
    </row>
    <row r="235" spans="1:25" ht="15" customHeight="1" x14ac:dyDescent="0.2">
      <c r="A235" s="1">
        <v>46244</v>
      </c>
      <c r="B235" t="s">
        <v>42</v>
      </c>
      <c r="C235" t="s">
        <v>43</v>
      </c>
      <c r="D235" t="s">
        <v>28</v>
      </c>
      <c r="E235" t="s">
        <v>31</v>
      </c>
      <c r="F235" s="2">
        <v>0.45624999999999999</v>
      </c>
      <c r="G235" s="2">
        <v>0.48888888888888898</v>
      </c>
      <c r="H235">
        <v>47</v>
      </c>
      <c r="I235" s="3">
        <v>0.45833333333333298</v>
      </c>
      <c r="J235" s="2">
        <v>0.48958333333333298</v>
      </c>
      <c r="K235">
        <v>45</v>
      </c>
      <c r="L235" s="2">
        <v>0.45624999999999999</v>
      </c>
      <c r="M235" s="2">
        <v>0.485416666666667</v>
      </c>
      <c r="N235">
        <v>42</v>
      </c>
      <c r="O235" s="2">
        <v>0.47013888888888899</v>
      </c>
      <c r="P235" s="2">
        <v>0.47986111111111102</v>
      </c>
      <c r="Q235" s="2">
        <v>0.485416666666667</v>
      </c>
      <c r="R235">
        <v>42</v>
      </c>
      <c r="S235">
        <v>14</v>
      </c>
      <c r="T235" s="2">
        <v>0.48749999999999999</v>
      </c>
      <c r="U235" s="2">
        <v>0.530555555555556</v>
      </c>
      <c r="V235">
        <v>62</v>
      </c>
      <c r="W235" s="2">
        <v>0.53125</v>
      </c>
      <c r="X235" s="2">
        <v>0.54166666666666696</v>
      </c>
      <c r="Y235">
        <v>15</v>
      </c>
    </row>
    <row r="236" spans="1:25" ht="15" customHeight="1" x14ac:dyDescent="0.2">
      <c r="A236" s="1">
        <v>46244</v>
      </c>
      <c r="B236" t="s">
        <v>26</v>
      </c>
      <c r="C236" t="s">
        <v>27</v>
      </c>
      <c r="D236" t="s">
        <v>28</v>
      </c>
      <c r="E236" t="s">
        <v>29</v>
      </c>
      <c r="F236" s="2">
        <v>0.52638888888888902</v>
      </c>
      <c r="G236" s="2">
        <v>0.60902777777777795</v>
      </c>
      <c r="H236">
        <v>119</v>
      </c>
      <c r="I236" s="3">
        <v>0.51041666666666696</v>
      </c>
      <c r="J236" s="2">
        <v>0.59375</v>
      </c>
      <c r="K236">
        <v>120</v>
      </c>
      <c r="L236" s="2">
        <v>0.52638888888888902</v>
      </c>
      <c r="M236" s="2">
        <v>0.60555555555555596</v>
      </c>
      <c r="N236">
        <v>114</v>
      </c>
      <c r="O236" s="2">
        <v>0.54652777777777795</v>
      </c>
      <c r="P236" s="2">
        <v>0.6</v>
      </c>
      <c r="Q236" s="2">
        <v>0.60555555555555596</v>
      </c>
      <c r="R236">
        <v>114</v>
      </c>
      <c r="S236">
        <v>77</v>
      </c>
      <c r="T236" s="2">
        <v>0.60664351851851805</v>
      </c>
      <c r="U236" s="2">
        <v>0.64722222222222203</v>
      </c>
      <c r="V236">
        <v>59</v>
      </c>
    </row>
    <row r="237" spans="1:25" ht="15" customHeight="1" x14ac:dyDescent="0.2">
      <c r="A237" s="1">
        <v>46244</v>
      </c>
      <c r="B237" t="s">
        <v>26</v>
      </c>
      <c r="C237" t="s">
        <v>27</v>
      </c>
      <c r="D237" t="s">
        <v>28</v>
      </c>
      <c r="E237" t="s">
        <v>31</v>
      </c>
      <c r="F237" s="2">
        <v>0.46527777777777801</v>
      </c>
      <c r="G237" s="2">
        <v>0.52986111111111101</v>
      </c>
      <c r="H237">
        <v>93</v>
      </c>
      <c r="I237" s="3">
        <v>0.44791666666666702</v>
      </c>
      <c r="J237" s="2">
        <v>0.52083333333333304</v>
      </c>
      <c r="K237">
        <v>105</v>
      </c>
      <c r="L237" s="2">
        <v>0.46527777777777801</v>
      </c>
      <c r="M237" s="2">
        <v>0.52500000000000002</v>
      </c>
      <c r="N237">
        <v>86</v>
      </c>
      <c r="O237" s="2">
        <v>0.48888888888888898</v>
      </c>
      <c r="P237" s="2">
        <v>0.51944444444444404</v>
      </c>
      <c r="Q237" s="2">
        <v>0.52500000000000002</v>
      </c>
      <c r="R237">
        <v>86</v>
      </c>
      <c r="S237">
        <v>44</v>
      </c>
      <c r="T237" s="2">
        <v>0.52865740740740697</v>
      </c>
      <c r="U237" s="2">
        <v>0.54166666666666696</v>
      </c>
      <c r="V237">
        <v>19</v>
      </c>
    </row>
    <row r="238" spans="1:25" ht="15" customHeight="1" x14ac:dyDescent="0.2">
      <c r="A238" s="1">
        <v>46244</v>
      </c>
      <c r="B238" t="s">
        <v>26</v>
      </c>
      <c r="C238" t="s">
        <v>27</v>
      </c>
      <c r="D238" t="s">
        <v>28</v>
      </c>
      <c r="E238" t="s">
        <v>29</v>
      </c>
      <c r="F238" s="2">
        <v>0.33333333333333298</v>
      </c>
      <c r="G238" s="2">
        <v>0.44305555555555598</v>
      </c>
      <c r="H238">
        <v>158</v>
      </c>
      <c r="I238" s="3">
        <v>0.33333333333333298</v>
      </c>
      <c r="J238" s="2">
        <v>0.42708333333333298</v>
      </c>
      <c r="K238">
        <v>135</v>
      </c>
      <c r="L238" s="2">
        <v>0.33333333333333298</v>
      </c>
      <c r="M238" s="2">
        <v>0.4375</v>
      </c>
      <c r="N238">
        <v>150</v>
      </c>
      <c r="O238" s="2">
        <v>0.36180555555555599</v>
      </c>
      <c r="P238" s="2">
        <v>0.42916666666666697</v>
      </c>
      <c r="Q238" s="2">
        <v>0.4375</v>
      </c>
      <c r="R238">
        <v>150</v>
      </c>
      <c r="S238">
        <v>97</v>
      </c>
      <c r="T238" s="2">
        <v>0.44527777777777799</v>
      </c>
      <c r="U238" s="2">
        <v>0.45763888888888898</v>
      </c>
      <c r="V238">
        <v>18</v>
      </c>
    </row>
    <row r="239" spans="1:25" ht="15" customHeight="1" x14ac:dyDescent="0.2">
      <c r="A239" s="1">
        <v>46244</v>
      </c>
      <c r="B239" t="s">
        <v>26</v>
      </c>
      <c r="C239" t="s">
        <v>27</v>
      </c>
      <c r="D239" t="s">
        <v>28</v>
      </c>
      <c r="E239" t="s">
        <v>31</v>
      </c>
      <c r="F239" s="2">
        <v>0.56597222222222199</v>
      </c>
      <c r="G239" s="2">
        <v>0.63680555555555596</v>
      </c>
      <c r="H239">
        <v>102</v>
      </c>
      <c r="I239" s="3">
        <v>0.54166666666666696</v>
      </c>
      <c r="J239" s="2">
        <v>0.64583333333333304</v>
      </c>
      <c r="K239">
        <v>150</v>
      </c>
      <c r="L239" s="2">
        <v>0.56597222222222199</v>
      </c>
      <c r="M239" s="2">
        <v>0.63194444444444398</v>
      </c>
      <c r="N239">
        <v>95</v>
      </c>
      <c r="O239" s="2">
        <v>0.58888888888888902</v>
      </c>
      <c r="P239" s="2">
        <v>0.62777777777777799</v>
      </c>
      <c r="Q239" s="2">
        <v>0.63194444444444398</v>
      </c>
      <c r="R239">
        <v>95</v>
      </c>
      <c r="S239">
        <v>56</v>
      </c>
      <c r="T239" s="2">
        <v>0.63278935185185203</v>
      </c>
      <c r="U239" s="2">
        <v>0.66736111111111096</v>
      </c>
      <c r="V239">
        <v>50</v>
      </c>
      <c r="W239" s="2">
        <v>0.66805555555555596</v>
      </c>
      <c r="X239" s="2">
        <v>0.68263888888888902</v>
      </c>
      <c r="Y239">
        <v>21</v>
      </c>
    </row>
    <row r="240" spans="1:25" ht="15" customHeight="1" x14ac:dyDescent="0.2">
      <c r="A240" s="1">
        <v>46244</v>
      </c>
      <c r="B240" t="s">
        <v>26</v>
      </c>
      <c r="C240" t="s">
        <v>27</v>
      </c>
      <c r="D240" t="s">
        <v>34</v>
      </c>
      <c r="E240" t="s">
        <v>36</v>
      </c>
      <c r="F240" s="2">
        <v>0.62986111111111098</v>
      </c>
      <c r="G240" s="2">
        <v>0.89513888888888904</v>
      </c>
      <c r="H240">
        <v>382</v>
      </c>
      <c r="I240" s="3">
        <v>0.5625</v>
      </c>
      <c r="J240" s="2">
        <v>0.8125</v>
      </c>
      <c r="K240">
        <v>360</v>
      </c>
      <c r="L240" s="2">
        <v>0.62986111111111098</v>
      </c>
      <c r="M240" s="2">
        <v>0.86597222222222203</v>
      </c>
      <c r="N240">
        <v>340</v>
      </c>
      <c r="O240" s="2">
        <v>0.66944444444444395</v>
      </c>
      <c r="P240" s="2">
        <v>0.85</v>
      </c>
      <c r="Q240" s="2">
        <v>0.86597222222222203</v>
      </c>
      <c r="R240">
        <v>340</v>
      </c>
      <c r="S240">
        <v>260</v>
      </c>
      <c r="T240" s="2">
        <v>0.86684027777777795</v>
      </c>
      <c r="U240" s="2">
        <v>0.91319444444444398</v>
      </c>
      <c r="V240">
        <v>67</v>
      </c>
    </row>
    <row r="241" spans="1:25" ht="15" customHeight="1" x14ac:dyDescent="0.2">
      <c r="A241" s="1">
        <v>46244</v>
      </c>
      <c r="B241" t="s">
        <v>26</v>
      </c>
      <c r="C241" t="s">
        <v>27</v>
      </c>
      <c r="D241" t="s">
        <v>28</v>
      </c>
      <c r="E241" t="s">
        <v>29</v>
      </c>
      <c r="F241" s="2">
        <v>0.531944444444444</v>
      </c>
      <c r="G241" s="2">
        <v>0.86736111111111103</v>
      </c>
      <c r="H241">
        <v>483</v>
      </c>
      <c r="I241" s="3">
        <v>0.5</v>
      </c>
      <c r="J241" s="2">
        <v>0.66666666666666696</v>
      </c>
      <c r="K241">
        <v>240</v>
      </c>
      <c r="L241" s="2">
        <v>0.531944444444444</v>
      </c>
      <c r="M241" s="2">
        <v>0.86111111111111105</v>
      </c>
      <c r="N241">
        <v>474</v>
      </c>
      <c r="O241" s="2">
        <v>0.60486111111111096</v>
      </c>
      <c r="P241" s="2">
        <v>0.85624999999999996</v>
      </c>
      <c r="Q241" s="2">
        <v>0.86111111111111105</v>
      </c>
      <c r="R241">
        <v>474</v>
      </c>
      <c r="S241">
        <v>362</v>
      </c>
    </row>
    <row r="242" spans="1:25" ht="15" customHeight="1" x14ac:dyDescent="0.2">
      <c r="A242" s="1">
        <v>46244</v>
      </c>
      <c r="B242" t="s">
        <v>26</v>
      </c>
      <c r="C242" t="s">
        <v>27</v>
      </c>
      <c r="D242" t="s">
        <v>34</v>
      </c>
      <c r="E242" t="s">
        <v>29</v>
      </c>
      <c r="F242" s="2">
        <v>0.33333333333333298</v>
      </c>
      <c r="G242" s="2">
        <v>0.42986111111111103</v>
      </c>
      <c r="H242">
        <v>139</v>
      </c>
      <c r="I242" s="3">
        <v>0.33333333333333298</v>
      </c>
      <c r="J242" s="2">
        <v>0.41666666666666702</v>
      </c>
      <c r="K242">
        <v>120</v>
      </c>
      <c r="L242" s="2">
        <v>0.33333333333333298</v>
      </c>
      <c r="M242" s="2">
        <v>0.42430555555555599</v>
      </c>
      <c r="N242">
        <v>131</v>
      </c>
      <c r="O242" s="2">
        <v>0.35</v>
      </c>
      <c r="P242" s="2">
        <v>0.41875000000000001</v>
      </c>
      <c r="Q242" s="2">
        <v>0.42430555555555599</v>
      </c>
      <c r="R242">
        <v>131</v>
      </c>
      <c r="S242">
        <v>99</v>
      </c>
      <c r="T242" s="2">
        <v>0.42737268518518501</v>
      </c>
      <c r="U242" s="2">
        <v>0.48894675925925901</v>
      </c>
      <c r="V242">
        <v>89</v>
      </c>
    </row>
    <row r="243" spans="1:25" ht="15" customHeight="1" x14ac:dyDescent="0.2">
      <c r="A243" s="1">
        <v>46244</v>
      </c>
      <c r="B243" t="s">
        <v>26</v>
      </c>
      <c r="C243" t="s">
        <v>27</v>
      </c>
      <c r="D243" t="s">
        <v>28</v>
      </c>
      <c r="E243" t="s">
        <v>36</v>
      </c>
      <c r="F243" s="2">
        <v>0.33333333333333298</v>
      </c>
      <c r="G243" s="2">
        <v>0.57222222222222197</v>
      </c>
      <c r="H243">
        <v>344</v>
      </c>
      <c r="I243" s="3">
        <v>0.33333333333333298</v>
      </c>
      <c r="J243" s="2">
        <v>0.56944444444444398</v>
      </c>
      <c r="K243">
        <v>370</v>
      </c>
      <c r="L243" s="2">
        <v>0.34583333333333299</v>
      </c>
      <c r="M243" s="2">
        <v>0.56527777777777799</v>
      </c>
      <c r="N243">
        <v>316</v>
      </c>
      <c r="O243" s="2">
        <v>0.36458333333333298</v>
      </c>
      <c r="P243" s="2">
        <v>0.55486111111111103</v>
      </c>
      <c r="Q243" s="2">
        <v>0.56527777777777799</v>
      </c>
      <c r="R243">
        <v>316</v>
      </c>
      <c r="S243">
        <v>274</v>
      </c>
    </row>
    <row r="244" spans="1:25" ht="15" customHeight="1" x14ac:dyDescent="0.2">
      <c r="A244" s="1">
        <v>46244</v>
      </c>
      <c r="B244" t="s">
        <v>26</v>
      </c>
      <c r="C244" t="s">
        <v>27</v>
      </c>
      <c r="D244" t="s">
        <v>34</v>
      </c>
      <c r="E244" t="s">
        <v>31</v>
      </c>
      <c r="F244" s="2">
        <v>0.61180555555555605</v>
      </c>
      <c r="G244" s="2">
        <v>0.67708333333333304</v>
      </c>
      <c r="H244">
        <v>94</v>
      </c>
      <c r="I244" s="3">
        <v>0.625</v>
      </c>
      <c r="J244" s="2">
        <v>0.69444444444444398</v>
      </c>
      <c r="K244">
        <v>130</v>
      </c>
      <c r="L244" s="2">
        <v>0.61180555555555605</v>
      </c>
      <c r="M244" s="2">
        <v>0.67222222222222205</v>
      </c>
      <c r="N244">
        <v>87</v>
      </c>
      <c r="O244" s="2">
        <v>0.62777777777777799</v>
      </c>
      <c r="P244" s="2">
        <v>0.67152777777777795</v>
      </c>
      <c r="Q244" s="2">
        <v>0.67222222222222205</v>
      </c>
      <c r="R244">
        <v>87</v>
      </c>
      <c r="S244">
        <v>63</v>
      </c>
      <c r="T244" s="2">
        <v>0.67346064814814799</v>
      </c>
      <c r="U244" s="2">
        <v>0.70425925925925903</v>
      </c>
      <c r="V244">
        <v>45</v>
      </c>
    </row>
    <row r="245" spans="1:25" ht="15" customHeight="1" x14ac:dyDescent="0.2">
      <c r="A245" s="1">
        <v>46244</v>
      </c>
      <c r="B245" t="s">
        <v>26</v>
      </c>
      <c r="C245" t="s">
        <v>27</v>
      </c>
      <c r="D245" t="s">
        <v>28</v>
      </c>
      <c r="E245" t="s">
        <v>31</v>
      </c>
      <c r="F245" s="2">
        <v>0.68472222222222201</v>
      </c>
      <c r="G245" s="2">
        <v>0.79513888888888895</v>
      </c>
      <c r="H245">
        <v>159</v>
      </c>
      <c r="I245" s="3">
        <v>0.70833333333333304</v>
      </c>
      <c r="J245" s="2">
        <v>0.78472222222222199</v>
      </c>
      <c r="K245">
        <v>140</v>
      </c>
      <c r="L245" s="2">
        <v>0.68472222222222201</v>
      </c>
      <c r="M245" s="2">
        <v>0.78958333333333297</v>
      </c>
      <c r="N245">
        <v>151</v>
      </c>
      <c r="O245" s="2">
        <v>0.70138888888888895</v>
      </c>
      <c r="P245" s="2">
        <v>0.78541666666666698</v>
      </c>
      <c r="Q245" s="2">
        <v>0.78958333333333297</v>
      </c>
      <c r="R245">
        <v>151</v>
      </c>
      <c r="S245">
        <v>121</v>
      </c>
      <c r="T245" s="2">
        <v>0.79150462962962997</v>
      </c>
      <c r="U245" s="2">
        <v>0.859837962962963</v>
      </c>
      <c r="V245">
        <v>99</v>
      </c>
    </row>
    <row r="246" spans="1:25" ht="15" customHeight="1" x14ac:dyDescent="0.2">
      <c r="A246" s="1">
        <v>46244</v>
      </c>
      <c r="B246" t="s">
        <v>26</v>
      </c>
      <c r="C246" t="s">
        <v>27</v>
      </c>
      <c r="D246" t="s">
        <v>28</v>
      </c>
      <c r="E246" t="s">
        <v>31</v>
      </c>
      <c r="F246" s="2">
        <v>0.30972222222222201</v>
      </c>
      <c r="G246" s="2">
        <v>0.35416666666666702</v>
      </c>
      <c r="H246">
        <v>64</v>
      </c>
      <c r="I246" s="3">
        <v>0.3125</v>
      </c>
      <c r="J246" s="2">
        <v>0.36111111111111099</v>
      </c>
      <c r="K246">
        <v>100</v>
      </c>
      <c r="L246" s="2">
        <v>0.30972222222222201</v>
      </c>
      <c r="M246" s="2">
        <v>0.35069444444444398</v>
      </c>
      <c r="N246">
        <v>59</v>
      </c>
      <c r="O246" s="2">
        <v>0.32152777777777802</v>
      </c>
      <c r="P246" s="2">
        <v>0.34791666666666698</v>
      </c>
      <c r="Q246" s="2">
        <v>0.35069444444444398</v>
      </c>
      <c r="R246">
        <v>59</v>
      </c>
      <c r="S246">
        <v>38</v>
      </c>
      <c r="T246" s="2">
        <v>0.35258101851851897</v>
      </c>
      <c r="U246" s="2">
        <v>0.39351851851851899</v>
      </c>
      <c r="V246">
        <v>59</v>
      </c>
    </row>
    <row r="247" spans="1:25" ht="15" customHeight="1" x14ac:dyDescent="0.2">
      <c r="A247" s="1">
        <v>46244</v>
      </c>
      <c r="B247" t="s">
        <v>26</v>
      </c>
      <c r="C247" t="s">
        <v>27</v>
      </c>
      <c r="D247" t="s">
        <v>28</v>
      </c>
      <c r="E247" t="s">
        <v>36</v>
      </c>
      <c r="F247" s="2">
        <v>0.54236111111111096</v>
      </c>
      <c r="G247" s="2">
        <v>0.59722222222222199</v>
      </c>
      <c r="H247">
        <v>79</v>
      </c>
      <c r="I247" s="3">
        <v>0.54166666666666696</v>
      </c>
      <c r="J247" s="2">
        <v>0.58333333333333304</v>
      </c>
      <c r="K247">
        <v>90</v>
      </c>
      <c r="L247" s="2">
        <v>0.55486111111111103</v>
      </c>
      <c r="M247" s="2">
        <v>0.593055555555556</v>
      </c>
      <c r="N247">
        <v>55</v>
      </c>
      <c r="O247" s="2">
        <v>0.57013888888888897</v>
      </c>
      <c r="P247" s="2">
        <v>0.59166666666666701</v>
      </c>
      <c r="Q247" s="2">
        <v>0.593055555555556</v>
      </c>
      <c r="R247">
        <v>55</v>
      </c>
      <c r="S247">
        <v>31</v>
      </c>
    </row>
    <row r="248" spans="1:25" ht="15" customHeight="1" x14ac:dyDescent="0.2">
      <c r="A248" s="1">
        <v>46244</v>
      </c>
      <c r="B248" t="s">
        <v>48</v>
      </c>
      <c r="C248" t="s">
        <v>27</v>
      </c>
      <c r="D248" t="s">
        <v>28</v>
      </c>
      <c r="E248" t="s">
        <v>35</v>
      </c>
      <c r="F248" s="2">
        <v>0.55625000000000002</v>
      </c>
      <c r="G248" s="2">
        <v>0.60277777777777797</v>
      </c>
      <c r="H248">
        <v>67</v>
      </c>
      <c r="I248" s="3">
        <v>0.54166666666666696</v>
      </c>
      <c r="J248" s="2">
        <v>0.58680555555555602</v>
      </c>
      <c r="K248">
        <v>80</v>
      </c>
      <c r="L248" s="2">
        <v>0.55625000000000002</v>
      </c>
      <c r="M248" s="2">
        <v>0.59722222222222199</v>
      </c>
      <c r="N248">
        <v>59</v>
      </c>
      <c r="O248" s="2">
        <v>0.57222222222222197</v>
      </c>
      <c r="P248" s="2">
        <v>0.59166666666666701</v>
      </c>
      <c r="Q248" s="2">
        <v>0.59722222222222199</v>
      </c>
      <c r="R248">
        <v>59</v>
      </c>
      <c r="S248">
        <v>28</v>
      </c>
      <c r="T248" s="2">
        <v>0.60072916666666698</v>
      </c>
      <c r="U248" s="2">
        <v>0.63472222222222197</v>
      </c>
      <c r="V248">
        <v>49</v>
      </c>
      <c r="W248" s="2">
        <v>0.63541666666666696</v>
      </c>
      <c r="X248" s="2">
        <v>0.65972222222222199</v>
      </c>
      <c r="Y248">
        <v>35</v>
      </c>
    </row>
    <row r="249" spans="1:25" ht="15" customHeight="1" x14ac:dyDescent="0.2">
      <c r="A249" s="1">
        <v>46244</v>
      </c>
      <c r="B249" t="s">
        <v>42</v>
      </c>
      <c r="C249" t="s">
        <v>43</v>
      </c>
      <c r="D249" t="s">
        <v>28</v>
      </c>
      <c r="E249" t="s">
        <v>31</v>
      </c>
      <c r="F249" s="2">
        <v>0.33958333333333302</v>
      </c>
      <c r="G249" s="2">
        <v>0.37916666666666698</v>
      </c>
      <c r="H249">
        <v>57</v>
      </c>
      <c r="I249" s="3">
        <v>0.33333333333333298</v>
      </c>
      <c r="J249" s="2">
        <v>0.375</v>
      </c>
      <c r="K249">
        <v>60</v>
      </c>
      <c r="L249" s="2">
        <v>0.33958333333333302</v>
      </c>
      <c r="M249" s="2">
        <v>0.37638888888888899</v>
      </c>
      <c r="N249">
        <v>53</v>
      </c>
      <c r="O249" s="2">
        <v>0.35763888888888901</v>
      </c>
      <c r="P249" s="2">
        <v>0.37152777777777801</v>
      </c>
      <c r="Q249" s="2">
        <v>0.37638888888888899</v>
      </c>
      <c r="R249">
        <v>53</v>
      </c>
      <c r="S249">
        <v>20</v>
      </c>
      <c r="T249" s="2">
        <v>0.37708333333333299</v>
      </c>
      <c r="U249" s="2">
        <v>0.41666666666666702</v>
      </c>
      <c r="V249">
        <v>57</v>
      </c>
      <c r="W249" s="2">
        <v>0.42708333333333298</v>
      </c>
      <c r="X249" s="2">
        <v>0.45833333333333298</v>
      </c>
      <c r="Y249">
        <v>45</v>
      </c>
    </row>
    <row r="250" spans="1:25" ht="15" customHeight="1" x14ac:dyDescent="0.2">
      <c r="A250" s="1">
        <v>46244</v>
      </c>
      <c r="B250" t="s">
        <v>42</v>
      </c>
      <c r="C250" t="s">
        <v>43</v>
      </c>
      <c r="D250" t="s">
        <v>38</v>
      </c>
      <c r="E250" t="s">
        <v>31</v>
      </c>
      <c r="F250" s="2">
        <v>0.33402777777777798</v>
      </c>
      <c r="G250" s="2">
        <v>0.41249999999999998</v>
      </c>
      <c r="H250">
        <v>113</v>
      </c>
      <c r="I250" s="3">
        <v>0.33333333333333298</v>
      </c>
      <c r="J250" s="2">
        <v>0.41666666666666702</v>
      </c>
      <c r="K250">
        <v>120</v>
      </c>
      <c r="L250" s="2">
        <v>0.33402777777777798</v>
      </c>
      <c r="M250" s="2">
        <v>0.40902777777777799</v>
      </c>
      <c r="N250">
        <v>108</v>
      </c>
      <c r="O250" s="2">
        <v>0.35277777777777802</v>
      </c>
      <c r="P250" s="2">
        <v>0.406944444444444</v>
      </c>
      <c r="Q250" s="2">
        <v>0.40902777777777799</v>
      </c>
      <c r="R250">
        <v>108</v>
      </c>
      <c r="S250">
        <v>78</v>
      </c>
      <c r="T250" s="2">
        <v>0.41041666666666698</v>
      </c>
      <c r="U250" s="2">
        <v>0.45069444444444401</v>
      </c>
      <c r="V250">
        <v>58</v>
      </c>
      <c r="W250" s="2">
        <v>0.45138888888888901</v>
      </c>
      <c r="X250" s="2">
        <v>0.49236111111111103</v>
      </c>
      <c r="Y250">
        <v>59</v>
      </c>
    </row>
    <row r="251" spans="1:25" ht="15" customHeight="1" x14ac:dyDescent="0.2">
      <c r="A251" s="1">
        <v>46244</v>
      </c>
      <c r="B251" t="s">
        <v>42</v>
      </c>
      <c r="C251" t="s">
        <v>43</v>
      </c>
      <c r="D251" t="s">
        <v>28</v>
      </c>
      <c r="E251" t="s">
        <v>31</v>
      </c>
      <c r="F251" s="2">
        <v>0.57499999999999996</v>
      </c>
      <c r="G251" s="2">
        <v>0.625</v>
      </c>
      <c r="H251">
        <v>72</v>
      </c>
      <c r="I251" s="3">
        <v>0.5625</v>
      </c>
      <c r="J251" s="2">
        <v>0.61458333333333304</v>
      </c>
      <c r="K251">
        <v>75</v>
      </c>
      <c r="L251" s="2">
        <v>0.57499999999999996</v>
      </c>
      <c r="M251" s="2">
        <v>0.62152777777777801</v>
      </c>
      <c r="N251">
        <v>67</v>
      </c>
      <c r="O251" s="2">
        <v>0.58750000000000002</v>
      </c>
      <c r="P251" s="2">
        <v>0.61180555555555605</v>
      </c>
      <c r="Q251" s="2">
        <v>0.62152777777777801</v>
      </c>
      <c r="R251">
        <v>67</v>
      </c>
      <c r="S251">
        <v>35</v>
      </c>
      <c r="T251" s="2">
        <v>0.62290509259259297</v>
      </c>
      <c r="U251" s="2">
        <v>0.68333333333333302</v>
      </c>
      <c r="V251">
        <v>88</v>
      </c>
      <c r="W251" s="2">
        <v>0.68402777777777801</v>
      </c>
      <c r="X251" s="2">
        <v>0.69791666666666696</v>
      </c>
      <c r="Y251">
        <v>20</v>
      </c>
    </row>
    <row r="252" spans="1:25" ht="15" customHeight="1" x14ac:dyDescent="0.2">
      <c r="A252" s="1">
        <v>46244</v>
      </c>
      <c r="B252" t="s">
        <v>42</v>
      </c>
      <c r="C252" t="s">
        <v>43</v>
      </c>
      <c r="D252" t="s">
        <v>28</v>
      </c>
      <c r="E252" t="s">
        <v>31</v>
      </c>
      <c r="F252" s="2">
        <v>0.33333333333333298</v>
      </c>
      <c r="G252" s="2">
        <v>0.65972222222222199</v>
      </c>
      <c r="H252">
        <v>470</v>
      </c>
      <c r="I252" s="3">
        <v>0.33333333333333298</v>
      </c>
      <c r="J252" s="2">
        <v>0.66666666666666696</v>
      </c>
      <c r="K252">
        <v>480</v>
      </c>
      <c r="L252" s="2">
        <v>0.33333333333333298</v>
      </c>
      <c r="M252" s="2">
        <v>0.65486111111111101</v>
      </c>
      <c r="N252">
        <v>463</v>
      </c>
      <c r="O252" s="2">
        <v>0.36388888888888898</v>
      </c>
      <c r="P252" s="2">
        <v>0.64097222222222205</v>
      </c>
      <c r="Q252" s="2">
        <v>0.65486111111111101</v>
      </c>
      <c r="R252">
        <v>463</v>
      </c>
      <c r="S252">
        <v>399</v>
      </c>
      <c r="T252" s="2">
        <v>0.65612268518518502</v>
      </c>
      <c r="U252" s="2">
        <v>0.69998842592592603</v>
      </c>
      <c r="V252">
        <v>63</v>
      </c>
    </row>
    <row r="253" spans="1:25" ht="15" customHeight="1" x14ac:dyDescent="0.2">
      <c r="A253" s="1">
        <v>46244</v>
      </c>
      <c r="B253" t="s">
        <v>26</v>
      </c>
      <c r="C253" t="s">
        <v>27</v>
      </c>
      <c r="D253" t="s">
        <v>34</v>
      </c>
      <c r="E253" t="s">
        <v>36</v>
      </c>
      <c r="F253" s="2">
        <v>0.26180555555555601</v>
      </c>
      <c r="G253" s="2">
        <v>0.56527777777777799</v>
      </c>
      <c r="H253">
        <v>437</v>
      </c>
      <c r="I253" s="3">
        <v>0.26041666666666702</v>
      </c>
      <c r="J253" s="2">
        <v>0.55208333333333304</v>
      </c>
      <c r="K253">
        <v>420</v>
      </c>
      <c r="L253" s="2">
        <v>0.26180555555555601</v>
      </c>
      <c r="M253" s="2">
        <v>0.55069444444444404</v>
      </c>
      <c r="N253">
        <v>416</v>
      </c>
      <c r="O253" s="2">
        <v>0.33819444444444402</v>
      </c>
      <c r="P253" s="2">
        <v>0.53819444444444398</v>
      </c>
      <c r="Q253" s="2">
        <v>0.55069444444444404</v>
      </c>
      <c r="R253">
        <v>416</v>
      </c>
      <c r="S253">
        <v>288</v>
      </c>
    </row>
    <row r="254" spans="1:25" ht="15" customHeight="1" x14ac:dyDescent="0.2">
      <c r="A254" s="1">
        <v>46245</v>
      </c>
      <c r="B254" t="s">
        <v>42</v>
      </c>
      <c r="C254" t="s">
        <v>43</v>
      </c>
      <c r="D254" t="s">
        <v>34</v>
      </c>
      <c r="E254" t="s">
        <v>31</v>
      </c>
      <c r="F254" s="2">
        <v>0.57013888888888897</v>
      </c>
      <c r="G254" s="2">
        <v>0.64236111111111105</v>
      </c>
      <c r="H254">
        <v>104</v>
      </c>
      <c r="I254" s="3">
        <v>0.54166666666666696</v>
      </c>
      <c r="J254" s="2">
        <v>0.61458333333333304</v>
      </c>
      <c r="K254">
        <v>105</v>
      </c>
      <c r="L254" s="2">
        <v>0.57013888888888897</v>
      </c>
      <c r="M254" s="2">
        <v>0.63749999999999996</v>
      </c>
      <c r="N254">
        <v>97</v>
      </c>
      <c r="O254" s="2">
        <v>0.59930555555555598</v>
      </c>
      <c r="P254" s="2">
        <v>0.63402777777777797</v>
      </c>
      <c r="Q254" s="2">
        <v>0.63749999999999996</v>
      </c>
      <c r="R254">
        <v>97</v>
      </c>
      <c r="S254">
        <v>50</v>
      </c>
      <c r="T254" s="2">
        <v>0.64141203703703698</v>
      </c>
      <c r="U254" s="2">
        <v>0.69236111111111098</v>
      </c>
      <c r="V254">
        <v>74</v>
      </c>
      <c r="W254" s="2">
        <v>0.69236111111111098</v>
      </c>
      <c r="X254" s="2">
        <v>0.73712962962963002</v>
      </c>
      <c r="Y254">
        <v>64</v>
      </c>
    </row>
    <row r="255" spans="1:25" ht="15" customHeight="1" x14ac:dyDescent="0.2">
      <c r="A255" s="1">
        <v>46245</v>
      </c>
      <c r="B255" t="s">
        <v>42</v>
      </c>
      <c r="C255" t="s">
        <v>43</v>
      </c>
      <c r="D255" t="s">
        <v>28</v>
      </c>
      <c r="E255" t="s">
        <v>29</v>
      </c>
      <c r="F255" s="2">
        <v>0.31527777777777799</v>
      </c>
      <c r="G255" s="2">
        <v>0.34583333333333299</v>
      </c>
      <c r="H255">
        <v>44</v>
      </c>
      <c r="I255" s="3">
        <v>0.3125</v>
      </c>
      <c r="J255" s="2">
        <v>0.34375</v>
      </c>
      <c r="K255">
        <v>45</v>
      </c>
      <c r="L255" s="2">
        <v>0.31527777777777799</v>
      </c>
      <c r="M255" s="2">
        <v>0.34236111111111101</v>
      </c>
      <c r="N255">
        <v>39</v>
      </c>
      <c r="O255" s="2">
        <v>0.32500000000000001</v>
      </c>
      <c r="P255" s="2">
        <v>0.33958333333333302</v>
      </c>
      <c r="Q255" s="2">
        <v>0.34236111111111101</v>
      </c>
      <c r="R255">
        <v>39</v>
      </c>
      <c r="S255">
        <v>21</v>
      </c>
      <c r="T255" s="2">
        <v>0.34623842592592602</v>
      </c>
      <c r="U255" s="2">
        <v>0.375</v>
      </c>
      <c r="V255">
        <v>42</v>
      </c>
      <c r="W255" s="2">
        <v>0.375694444444444</v>
      </c>
      <c r="X255" s="2">
        <v>0.40763888888888899</v>
      </c>
      <c r="Y255">
        <v>46</v>
      </c>
    </row>
    <row r="256" spans="1:25" ht="15" customHeight="1" x14ac:dyDescent="0.2">
      <c r="A256" s="1">
        <v>46245</v>
      </c>
      <c r="B256" t="s">
        <v>42</v>
      </c>
      <c r="C256" t="s">
        <v>43</v>
      </c>
      <c r="D256" t="s">
        <v>28</v>
      </c>
      <c r="E256" t="s">
        <v>29</v>
      </c>
      <c r="F256" s="2">
        <v>0.329166666666667</v>
      </c>
      <c r="G256" s="2">
        <v>0.38750000000000001</v>
      </c>
      <c r="H256">
        <v>84</v>
      </c>
      <c r="I256" s="3">
        <v>0.3125</v>
      </c>
      <c r="J256" s="2">
        <v>0.375</v>
      </c>
      <c r="K256">
        <v>90</v>
      </c>
      <c r="L256" s="2">
        <v>0.329166666666667</v>
      </c>
      <c r="M256" s="2">
        <v>0.38124999999999998</v>
      </c>
      <c r="N256">
        <v>75</v>
      </c>
      <c r="O256" s="2">
        <v>0.358333333333333</v>
      </c>
      <c r="P256" s="2">
        <v>0.374305555555556</v>
      </c>
      <c r="Q256" s="2">
        <v>0.38124999999999998</v>
      </c>
      <c r="R256">
        <v>75</v>
      </c>
      <c r="S256">
        <v>23</v>
      </c>
      <c r="T256" s="2">
        <v>0.38263888888888897</v>
      </c>
      <c r="U256" s="2">
        <v>0.39374999999999999</v>
      </c>
      <c r="V256">
        <v>16</v>
      </c>
    </row>
    <row r="257" spans="1:25" ht="15" customHeight="1" x14ac:dyDescent="0.2">
      <c r="A257" s="1">
        <v>46245</v>
      </c>
      <c r="B257" t="s">
        <v>26</v>
      </c>
      <c r="C257" t="s">
        <v>27</v>
      </c>
      <c r="D257" t="s">
        <v>34</v>
      </c>
      <c r="E257" t="s">
        <v>31</v>
      </c>
      <c r="F257" s="2">
        <v>0.61111111111111105</v>
      </c>
      <c r="G257" s="2">
        <v>0.70555555555555605</v>
      </c>
      <c r="H257">
        <v>136</v>
      </c>
      <c r="I257" s="3">
        <v>0.61458333333333304</v>
      </c>
      <c r="J257" s="2">
        <v>0.70833333333333304</v>
      </c>
      <c r="K257">
        <v>135</v>
      </c>
      <c r="L257" s="2">
        <v>0.61111111111111105</v>
      </c>
      <c r="M257" s="2">
        <v>0.70208333333333295</v>
      </c>
      <c r="N257">
        <v>131</v>
      </c>
      <c r="O257" s="2">
        <v>0.63402777777777797</v>
      </c>
      <c r="P257" s="2">
        <v>0.70069444444444395</v>
      </c>
      <c r="Q257" s="2">
        <v>0.70208333333333295</v>
      </c>
      <c r="R257">
        <v>131</v>
      </c>
      <c r="S257">
        <v>96</v>
      </c>
      <c r="T257" s="2">
        <v>0.70556712962962997</v>
      </c>
      <c r="U257" s="2">
        <v>0.73686342592592602</v>
      </c>
      <c r="V257">
        <v>45</v>
      </c>
    </row>
    <row r="258" spans="1:25" ht="15" customHeight="1" x14ac:dyDescent="0.2">
      <c r="A258" s="1">
        <v>46245</v>
      </c>
      <c r="B258" t="s">
        <v>42</v>
      </c>
      <c r="C258" t="s">
        <v>43</v>
      </c>
      <c r="D258" t="s">
        <v>38</v>
      </c>
      <c r="E258" t="s">
        <v>31</v>
      </c>
      <c r="F258" s="2">
        <v>0.30555555555555602</v>
      </c>
      <c r="G258" s="2">
        <v>0.43194444444444402</v>
      </c>
      <c r="H258">
        <v>182</v>
      </c>
      <c r="I258" s="3">
        <v>0.3125</v>
      </c>
      <c r="J258" s="2">
        <v>0.4375</v>
      </c>
      <c r="K258">
        <v>180</v>
      </c>
      <c r="L258" s="2">
        <v>0.30555555555555602</v>
      </c>
      <c r="M258" s="2">
        <v>0.42847222222222198</v>
      </c>
      <c r="N258">
        <v>177</v>
      </c>
      <c r="O258" s="2">
        <v>0.33194444444444399</v>
      </c>
      <c r="P258" s="2">
        <v>0.42569444444444399</v>
      </c>
      <c r="Q258" s="2">
        <v>0.42847222222222198</v>
      </c>
      <c r="R258">
        <v>177</v>
      </c>
      <c r="S258">
        <v>135</v>
      </c>
      <c r="T258" s="2">
        <v>0.42986111111111103</v>
      </c>
      <c r="U258" s="2">
        <v>0.503541666666667</v>
      </c>
      <c r="V258">
        <v>106</v>
      </c>
      <c r="W258" s="2">
        <v>0.50694444444444398</v>
      </c>
      <c r="X258" s="2">
        <v>0.56983796296296296</v>
      </c>
      <c r="Y258">
        <v>90</v>
      </c>
    </row>
    <row r="259" spans="1:25" ht="15" customHeight="1" x14ac:dyDescent="0.2">
      <c r="A259" s="1">
        <v>46245</v>
      </c>
      <c r="B259" t="s">
        <v>26</v>
      </c>
      <c r="C259" t="s">
        <v>27</v>
      </c>
      <c r="D259" t="s">
        <v>28</v>
      </c>
      <c r="E259" t="s">
        <v>31</v>
      </c>
      <c r="F259" s="2">
        <v>0.454166666666667</v>
      </c>
      <c r="G259" s="2">
        <v>0.55694444444444402</v>
      </c>
      <c r="H259">
        <v>148</v>
      </c>
      <c r="I259" s="3">
        <v>0.42708333333333298</v>
      </c>
      <c r="J259" s="2">
        <v>0.5625</v>
      </c>
      <c r="K259">
        <v>195</v>
      </c>
      <c r="L259" s="2">
        <v>0.454166666666667</v>
      </c>
      <c r="M259" s="2">
        <v>0.55000000000000004</v>
      </c>
      <c r="N259">
        <v>138</v>
      </c>
      <c r="O259" s="2">
        <v>0.47222222222222199</v>
      </c>
      <c r="P259" s="2">
        <v>0.54374999999999996</v>
      </c>
      <c r="Q259" s="2">
        <v>0.55000000000000004</v>
      </c>
      <c r="R259">
        <v>138</v>
      </c>
      <c r="S259">
        <v>103</v>
      </c>
      <c r="T259" s="2">
        <v>0.55208333333333304</v>
      </c>
      <c r="U259" s="2">
        <v>0.59722222222222199</v>
      </c>
      <c r="V259">
        <v>65</v>
      </c>
    </row>
    <row r="260" spans="1:25" ht="15" customHeight="1" x14ac:dyDescent="0.2">
      <c r="A260" s="1">
        <v>46245</v>
      </c>
      <c r="B260" t="s">
        <v>42</v>
      </c>
      <c r="C260" t="s">
        <v>43</v>
      </c>
      <c r="D260" t="s">
        <v>34</v>
      </c>
      <c r="E260" t="s">
        <v>31</v>
      </c>
      <c r="F260" s="2">
        <v>0.67708333333333304</v>
      </c>
      <c r="G260" s="2">
        <v>0.76180555555555596</v>
      </c>
      <c r="H260">
        <v>122</v>
      </c>
      <c r="I260" s="3">
        <v>0.625</v>
      </c>
      <c r="J260" s="2">
        <v>0.71875</v>
      </c>
      <c r="K260">
        <v>135</v>
      </c>
      <c r="L260" s="2">
        <v>0.67708333333333304</v>
      </c>
      <c r="M260" s="2">
        <v>0.75694444444444398</v>
      </c>
      <c r="N260">
        <v>115</v>
      </c>
      <c r="O260" s="2">
        <v>0.69722222222222197</v>
      </c>
      <c r="P260" s="2">
        <v>0.75486111111111098</v>
      </c>
      <c r="Q260" s="2">
        <v>0.75694444444444398</v>
      </c>
      <c r="R260">
        <v>115</v>
      </c>
      <c r="S260">
        <v>83</v>
      </c>
      <c r="T260" s="2">
        <v>0.75902777777777797</v>
      </c>
      <c r="U260" s="2">
        <v>0.80763888888888902</v>
      </c>
      <c r="V260">
        <v>70</v>
      </c>
    </row>
    <row r="261" spans="1:25" ht="15" customHeight="1" x14ac:dyDescent="0.2">
      <c r="A261" s="1">
        <v>46245</v>
      </c>
      <c r="B261" t="s">
        <v>42</v>
      </c>
      <c r="C261" t="s">
        <v>43</v>
      </c>
      <c r="D261" t="s">
        <v>28</v>
      </c>
      <c r="E261" t="s">
        <v>31</v>
      </c>
      <c r="F261" s="2">
        <v>0.47083333333333299</v>
      </c>
      <c r="G261" s="2">
        <v>0.57430555555555596</v>
      </c>
      <c r="H261">
        <v>149</v>
      </c>
      <c r="I261" s="3">
        <v>0.45833333333333298</v>
      </c>
      <c r="J261" s="2">
        <v>0.59375</v>
      </c>
      <c r="K261">
        <v>195</v>
      </c>
      <c r="L261" s="2">
        <v>0.47083333333333299</v>
      </c>
      <c r="M261" s="2">
        <v>0.57083333333333297</v>
      </c>
      <c r="N261">
        <v>144</v>
      </c>
      <c r="O261" s="2">
        <v>0.50208333333333299</v>
      </c>
      <c r="P261" s="2">
        <v>0.56805555555555598</v>
      </c>
      <c r="Q261" s="2">
        <v>0.57083333333333297</v>
      </c>
      <c r="R261">
        <v>144</v>
      </c>
      <c r="S261">
        <v>95</v>
      </c>
      <c r="T261" s="2">
        <v>0.573356481481481</v>
      </c>
      <c r="U261" s="2">
        <v>0.625</v>
      </c>
      <c r="V261">
        <v>75</v>
      </c>
      <c r="W261" s="2">
        <v>0.625694444444444</v>
      </c>
      <c r="X261" s="2">
        <v>0.67708333333333304</v>
      </c>
      <c r="Y261">
        <v>74</v>
      </c>
    </row>
    <row r="262" spans="1:25" ht="15" customHeight="1" x14ac:dyDescent="0.2">
      <c r="A262" s="1">
        <v>46245</v>
      </c>
      <c r="B262" t="s">
        <v>42</v>
      </c>
      <c r="C262" t="s">
        <v>43</v>
      </c>
      <c r="D262" t="s">
        <v>28</v>
      </c>
      <c r="E262" t="s">
        <v>29</v>
      </c>
      <c r="F262" s="2">
        <v>0.40486111111111101</v>
      </c>
      <c r="G262" s="2">
        <v>0.43541666666666701</v>
      </c>
      <c r="H262">
        <v>44</v>
      </c>
      <c r="I262" s="3">
        <v>0.41666666666666702</v>
      </c>
      <c r="J262" s="2">
        <v>0.45833333333333298</v>
      </c>
      <c r="K262">
        <v>60</v>
      </c>
      <c r="L262" s="2">
        <v>0.40486111111111101</v>
      </c>
      <c r="M262" s="2">
        <v>0.43194444444444402</v>
      </c>
      <c r="N262">
        <v>39</v>
      </c>
      <c r="O262" s="2">
        <v>0.41388888888888897</v>
      </c>
      <c r="P262" s="2">
        <v>0.43055555555555602</v>
      </c>
      <c r="Q262" s="2">
        <v>0.43194444444444402</v>
      </c>
      <c r="R262">
        <v>39</v>
      </c>
      <c r="S262">
        <v>24</v>
      </c>
      <c r="T262" s="2">
        <v>0.437002314814815</v>
      </c>
      <c r="U262" s="2">
        <v>0.45833333333333298</v>
      </c>
      <c r="V262">
        <v>31</v>
      </c>
      <c r="W262" s="2">
        <v>0.45902777777777798</v>
      </c>
      <c r="X262" s="2">
        <v>0.47916666666666702</v>
      </c>
      <c r="Y262">
        <v>29</v>
      </c>
    </row>
    <row r="263" spans="1:25" ht="15" customHeight="1" x14ac:dyDescent="0.2">
      <c r="A263" s="1">
        <v>46245</v>
      </c>
      <c r="B263" t="s">
        <v>26</v>
      </c>
      <c r="C263" t="s">
        <v>27</v>
      </c>
      <c r="D263" t="s">
        <v>28</v>
      </c>
      <c r="E263" t="s">
        <v>31</v>
      </c>
      <c r="F263" s="2">
        <v>0.3125</v>
      </c>
      <c r="G263" s="2">
        <v>0.42361111111111099</v>
      </c>
      <c r="H263">
        <v>160</v>
      </c>
      <c r="I263" s="3">
        <v>0.3125</v>
      </c>
      <c r="J263" s="2">
        <v>0.39583333333333298</v>
      </c>
      <c r="K263">
        <v>120</v>
      </c>
      <c r="L263" s="2">
        <v>0.3125</v>
      </c>
      <c r="M263" s="2">
        <v>0.41944444444444401</v>
      </c>
      <c r="N263">
        <v>154</v>
      </c>
      <c r="O263" s="2">
        <v>0.33680555555555602</v>
      </c>
      <c r="P263" s="2">
        <v>0.41249999999999998</v>
      </c>
      <c r="Q263" s="2">
        <v>0.41944444444444401</v>
      </c>
      <c r="R263">
        <v>154</v>
      </c>
      <c r="S263">
        <v>109</v>
      </c>
      <c r="T263" s="2">
        <v>0.42013888888888901</v>
      </c>
      <c r="U263" s="2">
        <v>0.438194444444444</v>
      </c>
      <c r="V263">
        <v>26</v>
      </c>
    </row>
    <row r="264" spans="1:25" ht="15" customHeight="1" x14ac:dyDescent="0.2">
      <c r="A264" s="1">
        <v>46245</v>
      </c>
      <c r="B264" t="s">
        <v>42</v>
      </c>
      <c r="C264" t="s">
        <v>43</v>
      </c>
      <c r="D264" t="s">
        <v>28</v>
      </c>
      <c r="E264" t="s">
        <v>29</v>
      </c>
      <c r="F264" s="2">
        <v>0.44444444444444398</v>
      </c>
      <c r="G264" s="2">
        <v>0.47986111111111102</v>
      </c>
      <c r="H264">
        <v>51</v>
      </c>
      <c r="I264" s="3">
        <v>0.41666666666666702</v>
      </c>
      <c r="J264" s="2">
        <v>0.45833333333333298</v>
      </c>
      <c r="K264">
        <v>60</v>
      </c>
      <c r="L264" s="2">
        <v>0.44444444444444398</v>
      </c>
      <c r="M264" s="2">
        <v>0.47638888888888897</v>
      </c>
      <c r="N264">
        <v>46</v>
      </c>
      <c r="O264" s="2">
        <v>0.45624999999999999</v>
      </c>
      <c r="P264" s="2">
        <v>0.47361111111111098</v>
      </c>
      <c r="Q264" s="2">
        <v>0.47638888888888897</v>
      </c>
      <c r="R264">
        <v>46</v>
      </c>
      <c r="S264">
        <v>25</v>
      </c>
      <c r="T264" s="2">
        <v>0.47846064814814798</v>
      </c>
      <c r="U264" s="2">
        <v>0.51111111111111096</v>
      </c>
      <c r="V264">
        <v>48</v>
      </c>
      <c r="W264" s="2">
        <v>0.51111111111111096</v>
      </c>
      <c r="X264" s="2">
        <v>0.55076388888888905</v>
      </c>
      <c r="Y264">
        <v>57</v>
      </c>
    </row>
    <row r="265" spans="1:25" ht="15" customHeight="1" x14ac:dyDescent="0.2">
      <c r="A265" s="1">
        <v>46245</v>
      </c>
      <c r="B265" t="s">
        <v>42</v>
      </c>
      <c r="C265" t="s">
        <v>43</v>
      </c>
      <c r="D265" t="s">
        <v>28</v>
      </c>
      <c r="E265" t="s">
        <v>31</v>
      </c>
      <c r="F265" s="2">
        <v>0.41041666666666698</v>
      </c>
      <c r="G265" s="2">
        <v>0.52361111111111103</v>
      </c>
      <c r="H265">
        <v>163</v>
      </c>
      <c r="I265" s="3">
        <v>0.39583333333333298</v>
      </c>
      <c r="J265" s="2">
        <v>0.52083333333333304</v>
      </c>
      <c r="K265">
        <v>180</v>
      </c>
      <c r="L265" s="2">
        <v>0.41041666666666698</v>
      </c>
      <c r="M265" s="2">
        <v>0.51736111111111105</v>
      </c>
      <c r="N265">
        <v>154</v>
      </c>
      <c r="O265" s="2">
        <v>0.44027777777777799</v>
      </c>
      <c r="P265" s="2">
        <v>0.51249999999999996</v>
      </c>
      <c r="Q265" s="2">
        <v>0.51736111111111105</v>
      </c>
      <c r="R265">
        <v>154</v>
      </c>
      <c r="S265">
        <v>104</v>
      </c>
      <c r="T265" s="2">
        <v>0.51875000000000004</v>
      </c>
      <c r="U265" s="2">
        <v>0.56672453703703696</v>
      </c>
      <c r="V265">
        <v>69</v>
      </c>
    </row>
    <row r="266" spans="1:25" ht="15" customHeight="1" x14ac:dyDescent="0.2">
      <c r="A266" s="1">
        <v>46245</v>
      </c>
      <c r="B266" t="s">
        <v>42</v>
      </c>
      <c r="C266" t="s">
        <v>43</v>
      </c>
      <c r="D266" t="s">
        <v>28</v>
      </c>
      <c r="E266" t="s">
        <v>35</v>
      </c>
      <c r="F266" s="2">
        <v>0.40486111111111101</v>
      </c>
      <c r="G266" s="2">
        <v>0.44652777777777802</v>
      </c>
      <c r="H266">
        <v>60</v>
      </c>
      <c r="I266" s="3">
        <v>0.375</v>
      </c>
      <c r="J266" s="2">
        <v>0.40625</v>
      </c>
      <c r="K266">
        <v>45</v>
      </c>
      <c r="L266" s="2">
        <v>0.40486111111111101</v>
      </c>
      <c r="M266" s="2">
        <v>0.44236111111111098</v>
      </c>
      <c r="N266">
        <v>54</v>
      </c>
      <c r="O266" s="2">
        <v>0.421527777777778</v>
      </c>
      <c r="P266" s="2">
        <v>0.43958333333333299</v>
      </c>
      <c r="Q266" s="2">
        <v>0.44236111111111098</v>
      </c>
      <c r="R266">
        <v>54</v>
      </c>
      <c r="S266">
        <v>26</v>
      </c>
      <c r="T266" s="2">
        <v>0.44454861111111099</v>
      </c>
      <c r="U266" s="2">
        <v>0.45833333333333298</v>
      </c>
      <c r="V266">
        <v>20</v>
      </c>
      <c r="W266" s="2">
        <v>0.45902777777777798</v>
      </c>
      <c r="X266" s="2">
        <v>0.49305555555555602</v>
      </c>
      <c r="Y266">
        <v>49</v>
      </c>
    </row>
    <row r="267" spans="1:25" ht="15" customHeight="1" x14ac:dyDescent="0.2">
      <c r="A267" s="1">
        <v>46245</v>
      </c>
      <c r="B267" t="s">
        <v>26</v>
      </c>
      <c r="C267" t="s">
        <v>27</v>
      </c>
      <c r="D267" t="s">
        <v>28</v>
      </c>
      <c r="E267" t="s">
        <v>29</v>
      </c>
      <c r="F267" s="2">
        <v>0.30972222222222201</v>
      </c>
      <c r="G267" s="2">
        <v>0.60138888888888897</v>
      </c>
      <c r="H267">
        <v>420</v>
      </c>
      <c r="I267" s="3">
        <v>0.3125</v>
      </c>
      <c r="J267" s="2">
        <v>0.64583333333333304</v>
      </c>
      <c r="K267">
        <v>480</v>
      </c>
      <c r="L267" s="2">
        <v>0.30972222222222201</v>
      </c>
      <c r="M267" s="2">
        <v>0.59236111111111101</v>
      </c>
      <c r="N267">
        <v>407</v>
      </c>
      <c r="O267" s="2">
        <v>0.36597222222222198</v>
      </c>
      <c r="P267" s="2">
        <v>0.57916666666666705</v>
      </c>
      <c r="Q267" s="2">
        <v>0.59236111111111101</v>
      </c>
      <c r="R267">
        <v>407</v>
      </c>
      <c r="S267">
        <v>307</v>
      </c>
    </row>
    <row r="268" spans="1:25" ht="15" customHeight="1" x14ac:dyDescent="0.2">
      <c r="A268" s="1">
        <v>46245</v>
      </c>
      <c r="B268" t="s">
        <v>42</v>
      </c>
      <c r="C268" t="s">
        <v>43</v>
      </c>
      <c r="D268" t="s">
        <v>28</v>
      </c>
      <c r="E268" t="s">
        <v>29</v>
      </c>
      <c r="F268" s="2">
        <v>0.52152777777777803</v>
      </c>
      <c r="G268" s="2">
        <v>0.56666666666666698</v>
      </c>
      <c r="H268">
        <v>65</v>
      </c>
      <c r="I268" s="3">
        <v>0.52083333333333304</v>
      </c>
      <c r="J268" s="2">
        <v>0.5625</v>
      </c>
      <c r="K268">
        <v>60</v>
      </c>
      <c r="L268" s="2">
        <v>0.52152777777777803</v>
      </c>
      <c r="M268" s="2">
        <v>0.563194444444444</v>
      </c>
      <c r="N268">
        <v>60</v>
      </c>
      <c r="O268" s="2">
        <v>0.53541666666666698</v>
      </c>
      <c r="P268" s="2">
        <v>0.56041666666666701</v>
      </c>
      <c r="Q268" s="2">
        <v>0.563194444444444</v>
      </c>
      <c r="R268">
        <v>60</v>
      </c>
      <c r="S268">
        <v>36</v>
      </c>
      <c r="T268" s="2">
        <v>0.56597222222222199</v>
      </c>
      <c r="U268" s="2">
        <v>0.593055555555556</v>
      </c>
      <c r="V268">
        <v>39</v>
      </c>
      <c r="W268" s="2">
        <v>0.59375</v>
      </c>
      <c r="X268" s="2">
        <v>0.61312500000000003</v>
      </c>
      <c r="Y268">
        <v>27</v>
      </c>
    </row>
    <row r="269" spans="1:25" ht="15" customHeight="1" x14ac:dyDescent="0.2">
      <c r="A269" s="1">
        <v>46245</v>
      </c>
      <c r="B269" t="s">
        <v>42</v>
      </c>
      <c r="C269" t="s">
        <v>43</v>
      </c>
      <c r="D269" t="s">
        <v>28</v>
      </c>
      <c r="E269" t="s">
        <v>29</v>
      </c>
      <c r="F269" s="2">
        <v>0.31736111111111098</v>
      </c>
      <c r="G269" s="2">
        <v>0.422916666666667</v>
      </c>
      <c r="H269">
        <v>152</v>
      </c>
      <c r="I269" s="3">
        <v>0.3125</v>
      </c>
      <c r="J269" s="2">
        <v>0.38541666666666702</v>
      </c>
      <c r="K269">
        <v>105</v>
      </c>
      <c r="L269" s="2">
        <v>0.31736111111111098</v>
      </c>
      <c r="M269" s="2">
        <v>0.41527777777777802</v>
      </c>
      <c r="N269">
        <v>141</v>
      </c>
      <c r="O269" s="2">
        <v>0.35555555555555601</v>
      </c>
      <c r="P269" s="2">
        <v>0.40902777777777799</v>
      </c>
      <c r="Q269" s="2">
        <v>0.41527777777777802</v>
      </c>
      <c r="R269">
        <v>141</v>
      </c>
      <c r="S269">
        <v>77</v>
      </c>
      <c r="T269" s="2">
        <v>0.41666666666666702</v>
      </c>
      <c r="U269" s="2">
        <v>0.48542824074074098</v>
      </c>
      <c r="V269">
        <v>99</v>
      </c>
    </row>
    <row r="270" spans="1:25" ht="15" customHeight="1" x14ac:dyDescent="0.2">
      <c r="A270" s="1">
        <v>46245</v>
      </c>
      <c r="B270" t="s">
        <v>26</v>
      </c>
      <c r="C270" t="s">
        <v>27</v>
      </c>
      <c r="D270" t="s">
        <v>28</v>
      </c>
      <c r="E270" t="s">
        <v>29</v>
      </c>
      <c r="F270" s="2">
        <v>0.59166666666666701</v>
      </c>
      <c r="G270" s="2">
        <v>0.67083333333333295</v>
      </c>
      <c r="H270">
        <v>114</v>
      </c>
      <c r="I270" s="3">
        <v>0.5</v>
      </c>
      <c r="J270" s="2">
        <v>0.57291666666666696</v>
      </c>
      <c r="K270">
        <v>105</v>
      </c>
      <c r="L270" s="2">
        <v>0.59166666666666701</v>
      </c>
      <c r="M270" s="2">
        <v>0.66736111111111096</v>
      </c>
      <c r="N270">
        <v>109</v>
      </c>
      <c r="O270" s="2">
        <v>0.62013888888888902</v>
      </c>
      <c r="P270" s="2">
        <v>0.64861111111111103</v>
      </c>
      <c r="Q270" s="2">
        <v>0.66736111111111096</v>
      </c>
      <c r="R270">
        <v>109</v>
      </c>
      <c r="S270">
        <v>41</v>
      </c>
      <c r="T270" s="2">
        <v>0.66766203703703697</v>
      </c>
      <c r="U270" s="2">
        <v>0.72916666666666696</v>
      </c>
      <c r="V270">
        <v>89</v>
      </c>
    </row>
    <row r="271" spans="1:25" ht="15" customHeight="1" x14ac:dyDescent="0.2">
      <c r="A271" s="1">
        <v>46245</v>
      </c>
      <c r="B271" t="s">
        <v>26</v>
      </c>
      <c r="C271" t="s">
        <v>27</v>
      </c>
      <c r="D271" t="s">
        <v>28</v>
      </c>
      <c r="E271" t="s">
        <v>29</v>
      </c>
      <c r="F271" s="2">
        <v>0.45833333333333298</v>
      </c>
      <c r="G271" s="2">
        <v>0.55694444444444402</v>
      </c>
      <c r="H271">
        <v>142</v>
      </c>
      <c r="I271" s="3">
        <v>0.40625</v>
      </c>
      <c r="J271" s="2">
        <v>0.47916666666666702</v>
      </c>
      <c r="K271">
        <v>105</v>
      </c>
      <c r="L271" s="2">
        <v>0.45833333333333298</v>
      </c>
      <c r="M271" s="2">
        <v>0.55208333333333304</v>
      </c>
      <c r="N271">
        <v>135</v>
      </c>
      <c r="O271" s="2">
        <v>0.48749999999999999</v>
      </c>
      <c r="P271" s="2">
        <v>0.52708333333333302</v>
      </c>
      <c r="Q271" s="2">
        <v>0.55208333333333304</v>
      </c>
      <c r="R271">
        <v>135</v>
      </c>
      <c r="S271">
        <v>57</v>
      </c>
      <c r="T271" s="2">
        <v>0.55381944444444398</v>
      </c>
      <c r="U271" s="2">
        <v>0.66708333333333303</v>
      </c>
      <c r="V271">
        <v>163</v>
      </c>
    </row>
    <row r="272" spans="1:25" ht="15" customHeight="1" x14ac:dyDescent="0.2">
      <c r="A272" s="1">
        <v>46245</v>
      </c>
      <c r="B272" t="s">
        <v>42</v>
      </c>
      <c r="C272" t="s">
        <v>43</v>
      </c>
      <c r="D272" t="s">
        <v>28</v>
      </c>
      <c r="E272" t="s">
        <v>29</v>
      </c>
      <c r="F272" s="2">
        <v>0.35625000000000001</v>
      </c>
      <c r="G272" s="2">
        <v>0.39236111111111099</v>
      </c>
      <c r="H272">
        <v>52</v>
      </c>
      <c r="I272" s="3">
        <v>0.36458333333333298</v>
      </c>
      <c r="J272" s="2">
        <v>0.39583333333333298</v>
      </c>
      <c r="K272">
        <v>45</v>
      </c>
      <c r="L272" s="2">
        <v>0.35625000000000001</v>
      </c>
      <c r="M272" s="2">
        <v>0.38888888888888901</v>
      </c>
      <c r="N272">
        <v>47</v>
      </c>
      <c r="O272" s="2">
        <v>0.37013888888888902</v>
      </c>
      <c r="P272" s="2">
        <v>0.38750000000000001</v>
      </c>
      <c r="Q272" s="2">
        <v>0.38888888888888901</v>
      </c>
      <c r="R272">
        <v>47</v>
      </c>
      <c r="S272">
        <v>25</v>
      </c>
      <c r="T272" s="2">
        <v>0.39079861111111103</v>
      </c>
      <c r="U272" s="2">
        <v>0.4375</v>
      </c>
      <c r="V272">
        <v>68</v>
      </c>
      <c r="W272" s="2">
        <v>0.4375</v>
      </c>
      <c r="X272" s="2">
        <v>0.454166666666667</v>
      </c>
      <c r="Y272">
        <v>24</v>
      </c>
    </row>
    <row r="273" spans="1:25" ht="15" customHeight="1" x14ac:dyDescent="0.2">
      <c r="A273" s="1">
        <v>46245</v>
      </c>
      <c r="B273" t="s">
        <v>42</v>
      </c>
      <c r="C273" t="s">
        <v>43</v>
      </c>
      <c r="D273" t="s">
        <v>38</v>
      </c>
      <c r="E273" t="s">
        <v>31</v>
      </c>
      <c r="F273" s="2">
        <v>0.50555555555555598</v>
      </c>
      <c r="G273" s="2">
        <v>0.53333333333333299</v>
      </c>
      <c r="H273">
        <v>40</v>
      </c>
      <c r="I273" s="3">
        <v>0.47916666666666702</v>
      </c>
      <c r="J273" s="2">
        <v>0.52083333333333304</v>
      </c>
      <c r="K273">
        <v>60</v>
      </c>
      <c r="L273" s="2">
        <v>0.50555555555555598</v>
      </c>
      <c r="M273" s="2">
        <v>0.52916666666666701</v>
      </c>
      <c r="N273">
        <v>34</v>
      </c>
      <c r="O273" s="2">
        <v>0.52083333333333304</v>
      </c>
      <c r="P273" s="2">
        <v>0.52638888888888902</v>
      </c>
      <c r="Q273" s="2">
        <v>0.52916666666666701</v>
      </c>
      <c r="R273">
        <v>34</v>
      </c>
      <c r="S273">
        <v>8</v>
      </c>
      <c r="T273" s="2">
        <v>0.53199074074074104</v>
      </c>
      <c r="U273" s="2">
        <v>0.57291666666666696</v>
      </c>
      <c r="V273">
        <v>59</v>
      </c>
      <c r="W273" s="2">
        <v>0.57361111111111096</v>
      </c>
      <c r="X273" s="2">
        <v>0.59166666666666701</v>
      </c>
      <c r="Y273">
        <v>26</v>
      </c>
    </row>
    <row r="274" spans="1:25" ht="15" customHeight="1" x14ac:dyDescent="0.2">
      <c r="A274" s="1">
        <v>46245</v>
      </c>
      <c r="B274" t="s">
        <v>26</v>
      </c>
      <c r="C274" t="s">
        <v>27</v>
      </c>
      <c r="D274" t="s">
        <v>28</v>
      </c>
      <c r="E274" t="s">
        <v>31</v>
      </c>
      <c r="F274" s="2">
        <v>0.55416666666666703</v>
      </c>
      <c r="G274" s="2">
        <v>0.63749999999999996</v>
      </c>
      <c r="H274">
        <v>120</v>
      </c>
      <c r="I274" s="3">
        <v>0.54166666666666696</v>
      </c>
      <c r="J274" s="2">
        <v>0.66666666666666696</v>
      </c>
      <c r="K274">
        <v>180</v>
      </c>
      <c r="L274" s="2">
        <v>0.55416666666666703</v>
      </c>
      <c r="M274" s="2">
        <v>0.63124999999999998</v>
      </c>
      <c r="N274">
        <v>111</v>
      </c>
      <c r="O274" s="2">
        <v>0.57916666666666705</v>
      </c>
      <c r="P274" s="2">
        <v>0.62222222222222201</v>
      </c>
      <c r="Q274" s="2">
        <v>0.63124999999999998</v>
      </c>
      <c r="R274">
        <v>111</v>
      </c>
      <c r="S274">
        <v>62</v>
      </c>
      <c r="T274" s="2">
        <v>0.63201388888888899</v>
      </c>
      <c r="U274" s="2">
        <v>0.64079861111111103</v>
      </c>
      <c r="V274">
        <v>12</v>
      </c>
    </row>
    <row r="275" spans="1:25" ht="15" customHeight="1" x14ac:dyDescent="0.2">
      <c r="A275" s="1">
        <v>46245</v>
      </c>
      <c r="B275" t="s">
        <v>42</v>
      </c>
      <c r="C275" t="s">
        <v>43</v>
      </c>
      <c r="D275" t="s">
        <v>28</v>
      </c>
      <c r="E275" t="s">
        <v>31</v>
      </c>
      <c r="F275" s="2">
        <v>0.31874999999999998</v>
      </c>
      <c r="G275" s="2">
        <v>0.42638888888888898</v>
      </c>
      <c r="H275">
        <v>155</v>
      </c>
      <c r="I275" s="3">
        <v>0.3125</v>
      </c>
      <c r="J275" s="2">
        <v>0.40625</v>
      </c>
      <c r="K275">
        <v>135</v>
      </c>
      <c r="L275" s="2">
        <v>0.31874999999999998</v>
      </c>
      <c r="M275" s="2">
        <v>0.41944444444444401</v>
      </c>
      <c r="N275">
        <v>145</v>
      </c>
      <c r="O275" s="2">
        <v>0.34652777777777799</v>
      </c>
      <c r="P275" s="2">
        <v>0.41527777777777802</v>
      </c>
      <c r="Q275" s="2">
        <v>0.41944444444444401</v>
      </c>
      <c r="R275">
        <v>145</v>
      </c>
      <c r="S275">
        <v>99</v>
      </c>
      <c r="T275" s="2">
        <v>0.42515046296296299</v>
      </c>
      <c r="U275" s="2">
        <v>0.53297453703703701</v>
      </c>
      <c r="V275">
        <v>155</v>
      </c>
      <c r="W275" s="2">
        <v>0.53299768518518498</v>
      </c>
      <c r="X275" s="2">
        <v>0.54847222222222203</v>
      </c>
      <c r="Y275">
        <v>22</v>
      </c>
    </row>
    <row r="276" spans="1:25" ht="15" customHeight="1" x14ac:dyDescent="0.2">
      <c r="A276" s="1">
        <v>46245</v>
      </c>
      <c r="B276" t="s">
        <v>26</v>
      </c>
      <c r="C276" t="s">
        <v>27</v>
      </c>
      <c r="D276" t="s">
        <v>28</v>
      </c>
      <c r="E276" t="s">
        <v>29</v>
      </c>
      <c r="F276" s="2">
        <v>0.3125</v>
      </c>
      <c r="G276" s="2">
        <v>0.42013888888888901</v>
      </c>
      <c r="H276">
        <v>155</v>
      </c>
      <c r="I276" s="3">
        <v>0.3125</v>
      </c>
      <c r="J276" s="2">
        <v>0.41666666666666702</v>
      </c>
      <c r="K276">
        <v>150</v>
      </c>
      <c r="L276" s="2">
        <v>0.3125</v>
      </c>
      <c r="M276" s="2">
        <v>0.41666666666666702</v>
      </c>
      <c r="N276">
        <v>150</v>
      </c>
      <c r="O276" s="2">
        <v>0.33680555555555602</v>
      </c>
      <c r="P276" s="2">
        <v>0.41388888888888897</v>
      </c>
      <c r="Q276" s="2">
        <v>0.41666666666666702</v>
      </c>
      <c r="R276">
        <v>150</v>
      </c>
      <c r="S276">
        <v>111</v>
      </c>
      <c r="T276" s="2">
        <v>0.41875000000000001</v>
      </c>
      <c r="U276" s="2">
        <v>0.47152777777777799</v>
      </c>
      <c r="V276">
        <v>76</v>
      </c>
    </row>
    <row r="277" spans="1:25" ht="15" customHeight="1" x14ac:dyDescent="0.2">
      <c r="A277" s="1">
        <v>46245</v>
      </c>
      <c r="B277" t="s">
        <v>26</v>
      </c>
      <c r="C277" t="s">
        <v>27</v>
      </c>
      <c r="D277" t="s">
        <v>34</v>
      </c>
      <c r="E277" t="s">
        <v>29</v>
      </c>
      <c r="F277" s="2">
        <v>0.63541666666666696</v>
      </c>
      <c r="G277" s="2">
        <v>0.82013888888888897</v>
      </c>
      <c r="H277">
        <v>266</v>
      </c>
      <c r="I277" s="3">
        <v>0.60416666666666696</v>
      </c>
      <c r="J277" s="2">
        <v>0.6875</v>
      </c>
      <c r="K277">
        <v>120</v>
      </c>
      <c r="L277" s="2">
        <v>0.63541666666666696</v>
      </c>
      <c r="M277" s="2">
        <v>0.79374999999999996</v>
      </c>
      <c r="N277">
        <v>228</v>
      </c>
      <c r="O277" s="2">
        <v>0.67152777777777795</v>
      </c>
      <c r="P277" s="2">
        <v>0.77638888888888902</v>
      </c>
      <c r="Q277" s="2">
        <v>0.79374999999999996</v>
      </c>
      <c r="R277">
        <v>228</v>
      </c>
      <c r="S277">
        <v>151</v>
      </c>
      <c r="T277" s="2">
        <v>0.79513888888888895</v>
      </c>
      <c r="U277" s="2">
        <v>0.86805555555555602</v>
      </c>
      <c r="V277">
        <v>105</v>
      </c>
    </row>
    <row r="278" spans="1:25" ht="15" customHeight="1" x14ac:dyDescent="0.2">
      <c r="A278" s="1">
        <v>46245</v>
      </c>
      <c r="B278" t="s">
        <v>26</v>
      </c>
      <c r="C278" t="s">
        <v>27</v>
      </c>
      <c r="D278" t="s">
        <v>34</v>
      </c>
      <c r="E278" t="s">
        <v>36</v>
      </c>
      <c r="F278" s="2">
        <v>0.265972222222222</v>
      </c>
      <c r="G278" s="2">
        <v>0.62083333333333302</v>
      </c>
      <c r="H278">
        <v>511</v>
      </c>
      <c r="I278" s="3">
        <v>0.26041666666666702</v>
      </c>
      <c r="J278" s="2">
        <v>0.51041666666666696</v>
      </c>
      <c r="K278">
        <v>360</v>
      </c>
      <c r="L278" s="2">
        <v>0.265972222222222</v>
      </c>
      <c r="M278" s="2">
        <v>0.61180555555555605</v>
      </c>
      <c r="N278">
        <v>498</v>
      </c>
      <c r="O278" s="2">
        <v>0.34236111111111101</v>
      </c>
      <c r="P278" s="2">
        <v>0.58819444444444402</v>
      </c>
      <c r="Q278" s="2">
        <v>0.61180555555555605</v>
      </c>
      <c r="R278">
        <v>498</v>
      </c>
      <c r="S278">
        <v>354</v>
      </c>
    </row>
    <row r="279" spans="1:25" ht="15" customHeight="1" x14ac:dyDescent="0.2">
      <c r="A279" s="1">
        <v>46245</v>
      </c>
      <c r="B279" t="s">
        <v>26</v>
      </c>
      <c r="C279" t="s">
        <v>27</v>
      </c>
      <c r="D279" t="s">
        <v>28</v>
      </c>
      <c r="E279" t="s">
        <v>29</v>
      </c>
      <c r="F279" s="2">
        <v>0.61250000000000004</v>
      </c>
      <c r="G279" s="2">
        <v>0.74027777777777803</v>
      </c>
      <c r="H279">
        <v>184</v>
      </c>
      <c r="I279" s="3">
        <v>0.58333333333333304</v>
      </c>
      <c r="J279" s="2">
        <v>0.70833333333333304</v>
      </c>
      <c r="K279">
        <v>180</v>
      </c>
      <c r="L279" s="2">
        <v>0.61250000000000004</v>
      </c>
      <c r="M279" s="2">
        <v>0.72986111111111096</v>
      </c>
      <c r="N279">
        <v>169</v>
      </c>
      <c r="O279" s="2">
        <v>0.63402777777777797</v>
      </c>
      <c r="P279" s="2">
        <v>0.72083333333333299</v>
      </c>
      <c r="Q279" s="2">
        <v>0.72986111111111096</v>
      </c>
      <c r="R279">
        <v>169</v>
      </c>
      <c r="S279">
        <v>125</v>
      </c>
    </row>
    <row r="280" spans="1:25" ht="15" customHeight="1" x14ac:dyDescent="0.2">
      <c r="A280" s="1">
        <v>46245</v>
      </c>
      <c r="B280" t="s">
        <v>26</v>
      </c>
      <c r="C280" t="s">
        <v>27</v>
      </c>
      <c r="D280" t="s">
        <v>34</v>
      </c>
      <c r="E280" t="s">
        <v>31</v>
      </c>
      <c r="F280" s="2">
        <v>0.78611111111111098</v>
      </c>
      <c r="G280" s="2">
        <v>0.968055555555556</v>
      </c>
      <c r="H280">
        <v>262</v>
      </c>
      <c r="I280" s="3">
        <v>0.71875</v>
      </c>
      <c r="J280" s="2">
        <v>0.80208333333333304</v>
      </c>
      <c r="K280">
        <v>120</v>
      </c>
      <c r="L280" s="2">
        <v>0.78611111111111098</v>
      </c>
      <c r="M280" s="2">
        <v>0.96388888888888902</v>
      </c>
      <c r="N280">
        <v>256</v>
      </c>
      <c r="O280" s="2">
        <v>0.80486111111111103</v>
      </c>
      <c r="P280" s="2">
        <v>0.95833333333333304</v>
      </c>
      <c r="Q280" s="2">
        <v>0.96388888888888902</v>
      </c>
      <c r="R280">
        <v>256</v>
      </c>
      <c r="S280">
        <v>221</v>
      </c>
      <c r="T280" s="2">
        <v>0.96579861111111098</v>
      </c>
      <c r="U280" s="2">
        <v>2.70833333333333E-2</v>
      </c>
      <c r="V280">
        <v>89</v>
      </c>
    </row>
    <row r="281" spans="1:25" ht="15" customHeight="1" x14ac:dyDescent="0.2">
      <c r="A281" s="1">
        <v>46245</v>
      </c>
      <c r="B281" t="s">
        <v>26</v>
      </c>
      <c r="C281" t="s">
        <v>27</v>
      </c>
      <c r="D281" t="s">
        <v>28</v>
      </c>
      <c r="E281" t="s">
        <v>29</v>
      </c>
      <c r="F281" s="2">
        <v>0.46527777777777801</v>
      </c>
      <c r="G281" s="2">
        <v>0.60972222222222205</v>
      </c>
      <c r="H281">
        <v>208</v>
      </c>
      <c r="I281" s="3">
        <v>0.45833333333333298</v>
      </c>
      <c r="J281" s="2">
        <v>0.57986111111111105</v>
      </c>
      <c r="K281">
        <v>175</v>
      </c>
      <c r="L281" s="2">
        <v>0.47152777777777799</v>
      </c>
      <c r="M281" s="2">
        <v>0.60416666666666696</v>
      </c>
      <c r="N281">
        <v>191</v>
      </c>
      <c r="O281" s="2">
        <v>0.5</v>
      </c>
      <c r="P281" s="2">
        <v>0.58819444444444402</v>
      </c>
      <c r="Q281" s="2">
        <v>0.60416666666666696</v>
      </c>
      <c r="R281">
        <v>191</v>
      </c>
      <c r="S281">
        <v>127</v>
      </c>
    </row>
    <row r="282" spans="1:25" ht="15" customHeight="1" x14ac:dyDescent="0.2">
      <c r="A282" s="1">
        <v>46245</v>
      </c>
      <c r="B282" t="s">
        <v>26</v>
      </c>
      <c r="C282" t="s">
        <v>27</v>
      </c>
      <c r="D282" t="s">
        <v>28</v>
      </c>
      <c r="E282" t="s">
        <v>31</v>
      </c>
      <c r="F282" s="2">
        <v>0.46736111111111101</v>
      </c>
      <c r="G282" s="2">
        <v>0.49652777777777801</v>
      </c>
      <c r="H282">
        <v>42</v>
      </c>
      <c r="I282" s="3">
        <v>0.44791666666666702</v>
      </c>
      <c r="J282" s="2">
        <v>0.49652777777777801</v>
      </c>
      <c r="K282">
        <v>70</v>
      </c>
      <c r="L282" s="2">
        <v>0.46736111111111101</v>
      </c>
      <c r="M282" s="2">
        <v>0.49305555555555602</v>
      </c>
      <c r="N282">
        <v>37</v>
      </c>
      <c r="O282" s="2">
        <v>0.48125000000000001</v>
      </c>
      <c r="P282" s="2">
        <v>0.48819444444444399</v>
      </c>
      <c r="Q282" s="2">
        <v>0.49305555555555602</v>
      </c>
      <c r="R282">
        <v>37</v>
      </c>
      <c r="S282">
        <v>10</v>
      </c>
      <c r="T282" s="2">
        <v>0.49444444444444402</v>
      </c>
      <c r="U282" s="2">
        <v>0.52638888888888902</v>
      </c>
      <c r="V282">
        <v>46</v>
      </c>
    </row>
    <row r="283" spans="1:25" ht="15" customHeight="1" x14ac:dyDescent="0.2">
      <c r="A283" s="1">
        <v>46245</v>
      </c>
      <c r="B283" t="s">
        <v>26</v>
      </c>
      <c r="C283" t="s">
        <v>27</v>
      </c>
      <c r="D283" t="s">
        <v>28</v>
      </c>
      <c r="E283" t="s">
        <v>31</v>
      </c>
      <c r="F283" s="2">
        <v>0.69236111111111098</v>
      </c>
      <c r="G283" s="2">
        <v>0.73333333333333295</v>
      </c>
      <c r="H283">
        <v>59</v>
      </c>
      <c r="I283" s="3">
        <v>0.66666666666666696</v>
      </c>
      <c r="J283" s="2">
        <v>0.71180555555555602</v>
      </c>
      <c r="K283">
        <v>65</v>
      </c>
      <c r="L283" s="2">
        <v>0.69236111111111098</v>
      </c>
      <c r="M283" s="2">
        <v>0.72986111111111096</v>
      </c>
      <c r="N283">
        <v>54</v>
      </c>
      <c r="O283" s="2">
        <v>0.70625000000000004</v>
      </c>
      <c r="P283" s="2">
        <v>0.72430555555555598</v>
      </c>
      <c r="Q283" s="2">
        <v>0.72986111111111096</v>
      </c>
      <c r="R283">
        <v>54</v>
      </c>
      <c r="S283">
        <v>26</v>
      </c>
      <c r="T283" s="2">
        <v>0.73055555555555596</v>
      </c>
      <c r="U283" s="2">
        <v>0.76111111111111096</v>
      </c>
      <c r="V283">
        <v>44</v>
      </c>
    </row>
    <row r="284" spans="1:25" ht="15" customHeight="1" x14ac:dyDescent="0.2">
      <c r="A284" s="1">
        <v>46245</v>
      </c>
      <c r="B284" t="s">
        <v>26</v>
      </c>
      <c r="C284" t="s">
        <v>27</v>
      </c>
      <c r="D284" t="s">
        <v>28</v>
      </c>
      <c r="E284" t="s">
        <v>31</v>
      </c>
      <c r="F284" s="2">
        <v>0.74791666666666701</v>
      </c>
      <c r="G284" s="2">
        <v>0.80902777777777801</v>
      </c>
      <c r="H284">
        <v>88</v>
      </c>
      <c r="I284" s="3">
        <v>0.75347222222222199</v>
      </c>
      <c r="J284" s="2">
        <v>0.80208333333333304</v>
      </c>
      <c r="K284">
        <v>70</v>
      </c>
      <c r="L284" s="2">
        <v>0.74791666666666701</v>
      </c>
      <c r="M284" s="2">
        <v>0.80486111111111103</v>
      </c>
      <c r="N284">
        <v>82</v>
      </c>
      <c r="O284" s="2">
        <v>0.76111111111111096</v>
      </c>
      <c r="P284" s="2">
        <v>0.8</v>
      </c>
      <c r="Q284" s="2">
        <v>0.80486111111111103</v>
      </c>
      <c r="R284">
        <v>82</v>
      </c>
      <c r="S284">
        <v>56</v>
      </c>
      <c r="T284" s="2">
        <v>0.80571759259259301</v>
      </c>
      <c r="U284" s="2">
        <v>0.854178240740741</v>
      </c>
      <c r="V284">
        <v>70</v>
      </c>
    </row>
    <row r="285" spans="1:25" ht="15" customHeight="1" x14ac:dyDescent="0.2">
      <c r="A285" s="1">
        <v>46245</v>
      </c>
      <c r="B285" t="s">
        <v>42</v>
      </c>
      <c r="C285" t="s">
        <v>43</v>
      </c>
      <c r="D285" t="s">
        <v>28</v>
      </c>
      <c r="E285" t="s">
        <v>29</v>
      </c>
      <c r="F285" s="2">
        <v>0.32222222222222202</v>
      </c>
      <c r="G285" s="2">
        <v>0.38263888888888897</v>
      </c>
      <c r="H285">
        <v>87</v>
      </c>
      <c r="I285" s="3">
        <v>0.3125</v>
      </c>
      <c r="J285" s="2">
        <v>0.35416666666666702</v>
      </c>
      <c r="K285">
        <v>60</v>
      </c>
      <c r="L285" s="2">
        <v>0.32222222222222202</v>
      </c>
      <c r="M285" s="2">
        <v>0.37847222222222199</v>
      </c>
      <c r="N285">
        <v>81</v>
      </c>
      <c r="O285" s="2">
        <v>0.33888888888888902</v>
      </c>
      <c r="P285" s="2">
        <v>0.37638888888888899</v>
      </c>
      <c r="Q285" s="2">
        <v>0.37847222222222199</v>
      </c>
      <c r="R285">
        <v>81</v>
      </c>
      <c r="S285">
        <v>54</v>
      </c>
      <c r="T285" s="2">
        <v>0.3803125</v>
      </c>
      <c r="U285" s="2">
        <v>0.40625</v>
      </c>
      <c r="V285">
        <v>38</v>
      </c>
      <c r="W285" s="2">
        <v>0.406944444444444</v>
      </c>
      <c r="X285" s="2">
        <v>0.42986111111111103</v>
      </c>
      <c r="Y285">
        <v>33</v>
      </c>
    </row>
    <row r="286" spans="1:25" ht="15" customHeight="1" x14ac:dyDescent="0.2">
      <c r="A286" s="1">
        <v>46245</v>
      </c>
      <c r="B286" t="s">
        <v>42</v>
      </c>
      <c r="C286" t="s">
        <v>43</v>
      </c>
      <c r="D286" t="s">
        <v>28</v>
      </c>
      <c r="E286" t="s">
        <v>31</v>
      </c>
      <c r="F286" s="2">
        <v>0.64236111111111105</v>
      </c>
      <c r="G286" s="2">
        <v>0.67361111111111105</v>
      </c>
      <c r="H286">
        <v>45</v>
      </c>
      <c r="I286" s="3">
        <v>0.63541666666666696</v>
      </c>
      <c r="J286" s="2">
        <v>0.66666666666666696</v>
      </c>
      <c r="K286">
        <v>45</v>
      </c>
      <c r="L286" s="2">
        <v>0.64236111111111105</v>
      </c>
      <c r="M286" s="2">
        <v>0.66944444444444395</v>
      </c>
      <c r="N286">
        <v>39</v>
      </c>
      <c r="O286" s="2">
        <v>0.656944444444444</v>
      </c>
      <c r="P286" s="2">
        <v>0.66736111111111096</v>
      </c>
      <c r="Q286" s="2">
        <v>0.66944444444444395</v>
      </c>
      <c r="R286">
        <v>39</v>
      </c>
      <c r="S286">
        <v>15</v>
      </c>
      <c r="T286" s="2">
        <v>0.67168981481481504</v>
      </c>
      <c r="U286" s="2">
        <v>0.69791666666666696</v>
      </c>
      <c r="V286">
        <v>38</v>
      </c>
      <c r="W286" s="2">
        <v>0.69861111111111096</v>
      </c>
      <c r="X286" s="2">
        <v>0.75</v>
      </c>
      <c r="Y286">
        <v>74</v>
      </c>
    </row>
    <row r="287" spans="1:25" ht="15" customHeight="1" x14ac:dyDescent="0.2">
      <c r="A287" s="1">
        <v>46245</v>
      </c>
      <c r="B287" t="s">
        <v>42</v>
      </c>
      <c r="C287" t="s">
        <v>43</v>
      </c>
      <c r="D287" t="s">
        <v>28</v>
      </c>
      <c r="E287" t="s">
        <v>31</v>
      </c>
      <c r="F287" s="2">
        <v>0.55277777777777803</v>
      </c>
      <c r="G287" s="2">
        <v>0.62083333333333302</v>
      </c>
      <c r="H287">
        <v>98</v>
      </c>
      <c r="I287" s="3">
        <v>0.47916666666666702</v>
      </c>
      <c r="J287" s="2">
        <v>0.55208333333333304</v>
      </c>
      <c r="K287">
        <v>105</v>
      </c>
      <c r="L287" s="2">
        <v>0.55277777777777803</v>
      </c>
      <c r="M287" s="2">
        <v>0.61805555555555602</v>
      </c>
      <c r="N287">
        <v>94</v>
      </c>
      <c r="O287" s="2">
        <v>0.56874999999999998</v>
      </c>
      <c r="P287" s="2">
        <v>0.61458333333333304</v>
      </c>
      <c r="Q287" s="2">
        <v>0.61805555555555602</v>
      </c>
      <c r="R287">
        <v>94</v>
      </c>
      <c r="S287">
        <v>66</v>
      </c>
      <c r="T287" s="2">
        <v>0.62278935185185202</v>
      </c>
      <c r="U287" s="2">
        <v>0.65972222222222199</v>
      </c>
      <c r="V287">
        <v>54</v>
      </c>
      <c r="W287" s="2">
        <v>0.66041666666666698</v>
      </c>
      <c r="X287" s="2">
        <v>0.68402777777777801</v>
      </c>
      <c r="Y287">
        <v>34</v>
      </c>
    </row>
    <row r="288" spans="1:25" ht="15" customHeight="1" x14ac:dyDescent="0.2">
      <c r="A288" s="1">
        <v>46245</v>
      </c>
      <c r="B288" t="s">
        <v>26</v>
      </c>
      <c r="C288" t="s">
        <v>27</v>
      </c>
      <c r="D288" t="s">
        <v>28</v>
      </c>
      <c r="E288" t="s">
        <v>29</v>
      </c>
      <c r="F288" s="2">
        <v>0.31874999999999998</v>
      </c>
      <c r="G288" s="2">
        <v>0.52222222222222203</v>
      </c>
      <c r="H288">
        <v>293</v>
      </c>
      <c r="I288" s="3">
        <v>0.3125</v>
      </c>
      <c r="J288" s="2">
        <v>0.45833333333333298</v>
      </c>
      <c r="K288">
        <v>210</v>
      </c>
      <c r="L288" s="2">
        <v>0.31874999999999998</v>
      </c>
      <c r="M288" s="2">
        <v>0.51944444444444404</v>
      </c>
      <c r="N288">
        <v>289</v>
      </c>
      <c r="O288" s="2">
        <v>0.33333333333333298</v>
      </c>
      <c r="P288" s="2">
        <v>0.51319444444444395</v>
      </c>
      <c r="Q288" s="2">
        <v>0.51944444444444404</v>
      </c>
      <c r="R288">
        <v>289</v>
      </c>
      <c r="S288">
        <v>259</v>
      </c>
      <c r="T288" s="2">
        <v>0.520358796296296</v>
      </c>
      <c r="U288" s="2">
        <v>0.54166666666666696</v>
      </c>
      <c r="V288">
        <v>31</v>
      </c>
    </row>
    <row r="289" spans="1:25" ht="15" customHeight="1" x14ac:dyDescent="0.2">
      <c r="A289" s="1">
        <v>46245</v>
      </c>
      <c r="B289" t="s">
        <v>42</v>
      </c>
      <c r="C289" t="s">
        <v>43</v>
      </c>
      <c r="D289" t="s">
        <v>28</v>
      </c>
      <c r="E289" t="s">
        <v>31</v>
      </c>
      <c r="F289" s="2">
        <v>0.58402777777777803</v>
      </c>
      <c r="G289" s="2">
        <v>0.67500000000000004</v>
      </c>
      <c r="H289">
        <v>131</v>
      </c>
      <c r="I289" s="3">
        <v>0.58333333333333304</v>
      </c>
      <c r="J289" s="2">
        <v>0.67708333333333304</v>
      </c>
      <c r="K289">
        <v>135</v>
      </c>
      <c r="L289" s="2">
        <v>0.58402777777777803</v>
      </c>
      <c r="M289" s="2">
        <v>0.66874999999999996</v>
      </c>
      <c r="N289">
        <v>122</v>
      </c>
      <c r="O289" s="2">
        <v>0.60416666666666696</v>
      </c>
      <c r="P289" s="2">
        <v>0.66319444444444398</v>
      </c>
      <c r="Q289" s="2">
        <v>0.66874999999999996</v>
      </c>
      <c r="R289">
        <v>122</v>
      </c>
      <c r="S289">
        <v>85</v>
      </c>
      <c r="T289" s="2">
        <v>0.67089120370370403</v>
      </c>
      <c r="U289" s="2">
        <v>0.718055555555556</v>
      </c>
      <c r="V289">
        <v>68</v>
      </c>
      <c r="W289" s="2">
        <v>0.71875</v>
      </c>
      <c r="X289" s="2">
        <v>0.74538194444444394</v>
      </c>
      <c r="Y289">
        <v>38</v>
      </c>
    </row>
    <row r="290" spans="1:25" ht="15" customHeight="1" x14ac:dyDescent="0.2">
      <c r="A290" s="1">
        <v>46245</v>
      </c>
      <c r="B290" t="s">
        <v>42</v>
      </c>
      <c r="C290" t="s">
        <v>43</v>
      </c>
      <c r="D290" t="s">
        <v>28</v>
      </c>
      <c r="E290" t="s">
        <v>31</v>
      </c>
      <c r="F290" s="2">
        <v>0.69791666666666696</v>
      </c>
      <c r="G290" s="2">
        <v>0.74305555555555602</v>
      </c>
      <c r="H290">
        <v>65</v>
      </c>
      <c r="I290" s="3">
        <v>0.6875</v>
      </c>
      <c r="J290" s="2">
        <v>0.72916666666666696</v>
      </c>
      <c r="K290">
        <v>60</v>
      </c>
      <c r="L290" s="2">
        <v>0.69791666666666696</v>
      </c>
      <c r="M290" s="2">
        <v>0.74027777777777803</v>
      </c>
      <c r="N290">
        <v>61</v>
      </c>
      <c r="O290" s="2">
        <v>0.70833333333333304</v>
      </c>
      <c r="P290" s="2">
        <v>0.73194444444444395</v>
      </c>
      <c r="Q290" s="2">
        <v>0.74027777777777803</v>
      </c>
      <c r="R290">
        <v>61</v>
      </c>
      <c r="S290">
        <v>34</v>
      </c>
      <c r="T290" s="2">
        <v>0.743877314814815</v>
      </c>
      <c r="U290" s="2">
        <v>0.78895833333333298</v>
      </c>
      <c r="V290">
        <v>65</v>
      </c>
      <c r="W290" s="2">
        <v>0.78908564814814797</v>
      </c>
      <c r="X290" s="2">
        <v>0.822662037037037</v>
      </c>
      <c r="Y290">
        <v>48</v>
      </c>
    </row>
    <row r="291" spans="1:25" ht="15" customHeight="1" x14ac:dyDescent="0.2">
      <c r="A291" s="1">
        <v>46245</v>
      </c>
      <c r="B291" t="s">
        <v>26</v>
      </c>
      <c r="C291" t="s">
        <v>27</v>
      </c>
      <c r="D291" t="s">
        <v>34</v>
      </c>
      <c r="E291" t="s">
        <v>36</v>
      </c>
      <c r="F291" s="2">
        <v>0.26111111111111102</v>
      </c>
      <c r="G291" s="2">
        <v>0.52083333333333304</v>
      </c>
      <c r="H291">
        <v>374</v>
      </c>
      <c r="I291" s="3">
        <v>0.26041666666666702</v>
      </c>
      <c r="J291" s="2">
        <v>0.51041666666666696</v>
      </c>
      <c r="K291">
        <v>360</v>
      </c>
      <c r="L291" s="2">
        <v>0.26111111111111102</v>
      </c>
      <c r="M291" s="2">
        <v>0.51180555555555596</v>
      </c>
      <c r="N291">
        <v>361</v>
      </c>
      <c r="O291" s="2">
        <v>0.35208333333333303</v>
      </c>
      <c r="P291" s="2">
        <v>0.50347222222222199</v>
      </c>
      <c r="Q291" s="2">
        <v>0.51180555555555596</v>
      </c>
      <c r="R291">
        <v>361</v>
      </c>
      <c r="S291">
        <v>218</v>
      </c>
    </row>
    <row r="292" spans="1:25" ht="15" customHeight="1" x14ac:dyDescent="0.2">
      <c r="A292" s="1">
        <v>46246</v>
      </c>
      <c r="B292" t="s">
        <v>26</v>
      </c>
      <c r="C292" t="s">
        <v>27</v>
      </c>
      <c r="D292" t="s">
        <v>28</v>
      </c>
      <c r="E292" t="s">
        <v>36</v>
      </c>
      <c r="F292" s="2">
        <v>0.43125000000000002</v>
      </c>
      <c r="G292" s="2">
        <v>0.55694444444444402</v>
      </c>
      <c r="H292">
        <v>181</v>
      </c>
      <c r="I292" s="3">
        <v>0.45833333333333298</v>
      </c>
      <c r="J292" s="2">
        <v>0.58333333333333304</v>
      </c>
      <c r="K292">
        <v>180</v>
      </c>
      <c r="L292" s="2">
        <v>0.43125000000000002</v>
      </c>
      <c r="M292" s="2">
        <v>0.54861111111111105</v>
      </c>
      <c r="N292">
        <v>169</v>
      </c>
      <c r="O292" s="2">
        <v>0.46666666666666701</v>
      </c>
      <c r="P292" s="2">
        <v>0.53263888888888899</v>
      </c>
      <c r="Q292" s="2">
        <v>0.54861111111111105</v>
      </c>
      <c r="R292">
        <v>169</v>
      </c>
      <c r="S292">
        <v>95</v>
      </c>
    </row>
    <row r="293" spans="1:25" ht="15" customHeight="1" x14ac:dyDescent="0.2">
      <c r="A293" s="1">
        <v>46246</v>
      </c>
      <c r="B293" t="s">
        <v>26</v>
      </c>
      <c r="C293" t="s">
        <v>27</v>
      </c>
      <c r="D293" t="s">
        <v>28</v>
      </c>
      <c r="E293" t="s">
        <v>29</v>
      </c>
      <c r="F293" s="2">
        <v>0.31944444444444398</v>
      </c>
      <c r="G293" s="2">
        <v>0.405555555555556</v>
      </c>
      <c r="H293">
        <v>124</v>
      </c>
      <c r="I293" s="3">
        <v>0.3125</v>
      </c>
      <c r="J293" s="2">
        <v>0.4375</v>
      </c>
      <c r="K293">
        <v>180</v>
      </c>
      <c r="L293" s="2">
        <v>0.31944444444444398</v>
      </c>
      <c r="M293" s="2">
        <v>0.4</v>
      </c>
      <c r="N293">
        <v>116</v>
      </c>
      <c r="O293" s="2">
        <v>0.35416666666666702</v>
      </c>
      <c r="P293" s="2">
        <v>0.38611111111111102</v>
      </c>
      <c r="Q293" s="2">
        <v>0.4</v>
      </c>
      <c r="R293">
        <v>116</v>
      </c>
      <c r="S293">
        <v>46</v>
      </c>
    </row>
    <row r="294" spans="1:25" ht="15" customHeight="1" x14ac:dyDescent="0.2">
      <c r="A294" s="1">
        <v>46246</v>
      </c>
      <c r="B294" t="s">
        <v>26</v>
      </c>
      <c r="C294" t="s">
        <v>27</v>
      </c>
      <c r="D294" t="s">
        <v>34</v>
      </c>
      <c r="E294" t="s">
        <v>36</v>
      </c>
      <c r="F294" s="2">
        <v>0.28125</v>
      </c>
      <c r="G294" s="2">
        <v>0.70138888888888895</v>
      </c>
      <c r="H294">
        <v>605</v>
      </c>
      <c r="I294" s="3">
        <v>0.26041666666666702</v>
      </c>
      <c r="J294" s="2">
        <v>0.61458333333333304</v>
      </c>
      <c r="K294">
        <v>510</v>
      </c>
      <c r="L294" s="2">
        <v>0.28125</v>
      </c>
      <c r="M294" s="2">
        <v>0.66944444444444395</v>
      </c>
      <c r="N294">
        <v>559</v>
      </c>
      <c r="O294" s="2">
        <v>0.40069444444444402</v>
      </c>
      <c r="P294" s="2">
        <v>0.655555555555556</v>
      </c>
      <c r="Q294" s="2">
        <v>0.66944444444444395</v>
      </c>
      <c r="R294">
        <v>559</v>
      </c>
      <c r="S294">
        <v>367</v>
      </c>
    </row>
    <row r="295" spans="1:25" ht="15" customHeight="1" x14ac:dyDescent="0.2">
      <c r="A295" s="1">
        <v>46246</v>
      </c>
      <c r="B295" t="s">
        <v>26</v>
      </c>
      <c r="C295" t="s">
        <v>27</v>
      </c>
      <c r="D295" t="s">
        <v>28</v>
      </c>
      <c r="E295" t="s">
        <v>29</v>
      </c>
      <c r="F295" s="2">
        <v>0.32638888888888901</v>
      </c>
      <c r="G295" s="2">
        <v>0.53611111111111098</v>
      </c>
      <c r="H295">
        <v>302</v>
      </c>
      <c r="I295" s="3">
        <v>0.3125</v>
      </c>
      <c r="J295" s="2">
        <v>0.47916666666666702</v>
      </c>
      <c r="K295">
        <v>240</v>
      </c>
      <c r="L295" s="2">
        <v>0.32638888888888901</v>
      </c>
      <c r="M295" s="2">
        <v>0.52916666666666701</v>
      </c>
      <c r="N295">
        <v>292</v>
      </c>
      <c r="O295" s="2">
        <v>0.38194444444444398</v>
      </c>
      <c r="P295" s="2">
        <v>0.52083333333333304</v>
      </c>
      <c r="Q295" s="2">
        <v>0.52916666666666701</v>
      </c>
      <c r="R295">
        <v>292</v>
      </c>
      <c r="S295">
        <v>200</v>
      </c>
      <c r="T295" s="2">
        <v>0.531944444444444</v>
      </c>
      <c r="U295" s="2">
        <v>0.57361111111111096</v>
      </c>
      <c r="V295">
        <v>60</v>
      </c>
    </row>
    <row r="296" spans="1:25" ht="15" customHeight="1" x14ac:dyDescent="0.2">
      <c r="A296" s="1">
        <v>46246</v>
      </c>
      <c r="B296" t="s">
        <v>42</v>
      </c>
      <c r="C296" t="s">
        <v>43</v>
      </c>
      <c r="D296" t="s">
        <v>28</v>
      </c>
      <c r="E296" t="s">
        <v>35</v>
      </c>
      <c r="F296" s="2">
        <v>0.3125</v>
      </c>
      <c r="G296" s="2">
        <v>0.35347222222222202</v>
      </c>
      <c r="H296">
        <v>59</v>
      </c>
      <c r="I296" s="3">
        <v>0.3125</v>
      </c>
      <c r="J296" s="2">
        <v>0.35416666666666702</v>
      </c>
      <c r="K296">
        <v>60</v>
      </c>
      <c r="L296" s="2">
        <v>0.3125</v>
      </c>
      <c r="M296" s="2">
        <v>0.34791666666666698</v>
      </c>
      <c r="N296">
        <v>51</v>
      </c>
      <c r="O296" s="2">
        <v>0.32569444444444401</v>
      </c>
      <c r="P296" s="2">
        <v>0.34375</v>
      </c>
      <c r="Q296" s="2">
        <v>0.34791666666666698</v>
      </c>
      <c r="R296">
        <v>51</v>
      </c>
      <c r="S296">
        <v>26</v>
      </c>
      <c r="T296" s="2">
        <v>0.35069444444444398</v>
      </c>
      <c r="U296" s="2">
        <v>0.375694444444444</v>
      </c>
      <c r="V296">
        <v>36</v>
      </c>
      <c r="W296" s="2">
        <v>0.375694444444444</v>
      </c>
      <c r="X296" s="2">
        <v>0.39930555555555602</v>
      </c>
      <c r="Y296">
        <v>34</v>
      </c>
    </row>
    <row r="297" spans="1:25" ht="15" customHeight="1" x14ac:dyDescent="0.2">
      <c r="A297" s="1">
        <v>46246</v>
      </c>
      <c r="B297" t="s">
        <v>42</v>
      </c>
      <c r="C297" t="s">
        <v>43</v>
      </c>
      <c r="D297" t="s">
        <v>28</v>
      </c>
      <c r="E297" t="s">
        <v>31</v>
      </c>
      <c r="F297" s="2">
        <v>0.436805555555556</v>
      </c>
      <c r="G297" s="2">
        <v>0.49652777777777801</v>
      </c>
      <c r="H297">
        <v>86</v>
      </c>
      <c r="I297" s="3">
        <v>0.375</v>
      </c>
      <c r="J297" s="2">
        <v>0.41666666666666702</v>
      </c>
      <c r="K297">
        <v>60</v>
      </c>
      <c r="L297" s="2">
        <v>0.436805555555556</v>
      </c>
      <c r="M297" s="2">
        <v>0.49444444444444402</v>
      </c>
      <c r="N297">
        <v>83</v>
      </c>
      <c r="O297" s="2">
        <v>0.45069444444444401</v>
      </c>
      <c r="P297" s="2">
        <v>0.48958333333333298</v>
      </c>
      <c r="Q297" s="2">
        <v>0.49444444444444402</v>
      </c>
      <c r="R297">
        <v>83</v>
      </c>
      <c r="S297">
        <v>56</v>
      </c>
      <c r="T297" s="2">
        <v>0.49652777777777801</v>
      </c>
      <c r="U297" s="2">
        <v>0.51736111111111105</v>
      </c>
      <c r="V297">
        <v>30</v>
      </c>
      <c r="W297" s="2">
        <v>0.51805555555555605</v>
      </c>
      <c r="X297" s="2">
        <v>0.57777777777777795</v>
      </c>
      <c r="Y297">
        <v>86</v>
      </c>
    </row>
    <row r="298" spans="1:25" ht="15" customHeight="1" x14ac:dyDescent="0.2">
      <c r="A298" s="1">
        <v>46246</v>
      </c>
      <c r="B298" t="s">
        <v>42</v>
      </c>
      <c r="C298" t="s">
        <v>43</v>
      </c>
      <c r="D298" t="s">
        <v>28</v>
      </c>
      <c r="E298" t="s">
        <v>29</v>
      </c>
      <c r="F298" s="2">
        <v>0.51180555555555596</v>
      </c>
      <c r="G298" s="2">
        <v>0.55694444444444402</v>
      </c>
      <c r="H298">
        <v>65</v>
      </c>
      <c r="I298" s="3">
        <v>0.47916666666666702</v>
      </c>
      <c r="J298" s="2">
        <v>0.51041666666666696</v>
      </c>
      <c r="K298">
        <v>45</v>
      </c>
      <c r="L298" s="2">
        <v>0.51180555555555596</v>
      </c>
      <c r="M298" s="2">
        <v>0.55486111111111103</v>
      </c>
      <c r="N298">
        <v>62</v>
      </c>
      <c r="O298" s="2">
        <v>0.52430555555555602</v>
      </c>
      <c r="P298" s="2">
        <v>0.55000000000000004</v>
      </c>
      <c r="Q298" s="2">
        <v>0.55486111111111103</v>
      </c>
      <c r="R298">
        <v>62</v>
      </c>
      <c r="S298">
        <v>37</v>
      </c>
      <c r="T298" s="2">
        <v>0.55829861111111101</v>
      </c>
      <c r="U298" s="2">
        <v>0.58402777777777803</v>
      </c>
      <c r="V298">
        <v>38</v>
      </c>
      <c r="W298" s="2">
        <v>0.58472222222222203</v>
      </c>
      <c r="X298" s="2">
        <v>0.59791666666666698</v>
      </c>
      <c r="Y298">
        <v>19</v>
      </c>
    </row>
    <row r="299" spans="1:25" ht="15" customHeight="1" x14ac:dyDescent="0.2">
      <c r="A299" s="1">
        <v>46246</v>
      </c>
      <c r="B299" t="s">
        <v>42</v>
      </c>
      <c r="C299" t="s">
        <v>43</v>
      </c>
      <c r="D299" t="s">
        <v>28</v>
      </c>
      <c r="E299" t="s">
        <v>29</v>
      </c>
      <c r="F299" s="2">
        <v>0.56736111111111098</v>
      </c>
      <c r="G299" s="2">
        <v>0.58888888888888902</v>
      </c>
      <c r="H299">
        <v>31</v>
      </c>
      <c r="I299" s="3">
        <v>0.49652777777777801</v>
      </c>
      <c r="J299" s="2">
        <v>0.51736111111111105</v>
      </c>
      <c r="K299">
        <v>30</v>
      </c>
      <c r="L299" s="2">
        <v>0.56736111111111098</v>
      </c>
      <c r="M299" s="2">
        <v>0.58680555555555602</v>
      </c>
      <c r="N299">
        <v>28</v>
      </c>
      <c r="O299" s="2">
        <v>0.57708333333333295</v>
      </c>
      <c r="P299" s="2">
        <v>0.58263888888888904</v>
      </c>
      <c r="Q299" s="2">
        <v>0.58680555555555602</v>
      </c>
      <c r="R299">
        <v>28</v>
      </c>
      <c r="S299">
        <v>8</v>
      </c>
      <c r="T299" s="2">
        <v>0.58750000000000002</v>
      </c>
      <c r="U299" s="2">
        <v>0.61527777777777803</v>
      </c>
      <c r="V299">
        <v>40</v>
      </c>
      <c r="W299" s="2">
        <v>0.61597222222222203</v>
      </c>
      <c r="X299" s="2">
        <v>0.63263888888888897</v>
      </c>
      <c r="Y299">
        <v>24</v>
      </c>
    </row>
    <row r="300" spans="1:25" ht="15" customHeight="1" x14ac:dyDescent="0.2">
      <c r="A300" s="1">
        <v>46246</v>
      </c>
      <c r="B300" t="s">
        <v>42</v>
      </c>
      <c r="C300" t="s">
        <v>43</v>
      </c>
      <c r="D300" t="s">
        <v>28</v>
      </c>
      <c r="E300" t="s">
        <v>29</v>
      </c>
      <c r="F300" s="2">
        <v>0.60069444444444398</v>
      </c>
      <c r="G300" s="2">
        <v>0.64583333333333304</v>
      </c>
      <c r="H300">
        <v>65</v>
      </c>
      <c r="I300" s="3">
        <v>0.58680555555555602</v>
      </c>
      <c r="J300" s="2">
        <v>0.62847222222222199</v>
      </c>
      <c r="K300">
        <v>60</v>
      </c>
      <c r="L300" s="2">
        <v>0.60069444444444398</v>
      </c>
      <c r="M300" s="2">
        <v>0.64444444444444404</v>
      </c>
      <c r="N300">
        <v>63</v>
      </c>
      <c r="O300" s="2">
        <v>0.61111111111111105</v>
      </c>
      <c r="P300" s="2">
        <v>0.63819444444444395</v>
      </c>
      <c r="Q300" s="2">
        <v>0.64444444444444404</v>
      </c>
      <c r="R300">
        <v>63</v>
      </c>
      <c r="S300">
        <v>39</v>
      </c>
      <c r="T300" s="2">
        <v>0.64633101851851804</v>
      </c>
      <c r="U300" s="2">
        <v>0.67777777777777803</v>
      </c>
      <c r="V300">
        <v>46</v>
      </c>
      <c r="W300" s="2">
        <v>0.67847222222222203</v>
      </c>
      <c r="X300" s="2">
        <v>0.686805555555556</v>
      </c>
      <c r="Y300">
        <v>12</v>
      </c>
    </row>
    <row r="301" spans="1:25" ht="15" customHeight="1" x14ac:dyDescent="0.2">
      <c r="A301" s="1">
        <v>46246</v>
      </c>
      <c r="B301" t="s">
        <v>42</v>
      </c>
      <c r="C301" t="s">
        <v>43</v>
      </c>
      <c r="D301" t="s">
        <v>28</v>
      </c>
      <c r="E301" t="s">
        <v>31</v>
      </c>
      <c r="F301" s="2">
        <v>0.31874999999999998</v>
      </c>
      <c r="G301" s="2">
        <v>0.40833333333333299</v>
      </c>
      <c r="H301">
        <v>129</v>
      </c>
      <c r="I301" s="3">
        <v>0.3125</v>
      </c>
      <c r="J301" s="2">
        <v>0.35416666666666702</v>
      </c>
      <c r="K301">
        <v>60</v>
      </c>
      <c r="L301" s="2">
        <v>0.31874999999999998</v>
      </c>
      <c r="M301" s="2">
        <v>0.405555555555556</v>
      </c>
      <c r="N301">
        <v>125</v>
      </c>
      <c r="O301" s="2">
        <v>0.33194444444444399</v>
      </c>
      <c r="P301" s="2">
        <v>0.40138888888888902</v>
      </c>
      <c r="Q301" s="2">
        <v>0.405555555555556</v>
      </c>
      <c r="R301">
        <v>125</v>
      </c>
      <c r="S301">
        <v>100</v>
      </c>
      <c r="T301" s="2">
        <v>0.40846064814814798</v>
      </c>
      <c r="U301" s="2">
        <v>0.438194444444444</v>
      </c>
      <c r="V301">
        <v>43</v>
      </c>
      <c r="W301" s="2">
        <v>0.43888888888888899</v>
      </c>
      <c r="X301" s="2">
        <v>0.46597222222222201</v>
      </c>
      <c r="Y301">
        <v>39</v>
      </c>
    </row>
    <row r="302" spans="1:25" ht="15" customHeight="1" x14ac:dyDescent="0.2">
      <c r="A302" s="1">
        <v>46246</v>
      </c>
      <c r="B302" t="s">
        <v>26</v>
      </c>
      <c r="C302" t="s">
        <v>27</v>
      </c>
      <c r="D302" t="s">
        <v>28</v>
      </c>
      <c r="E302" t="s">
        <v>29</v>
      </c>
      <c r="F302" s="2">
        <v>0.31805555555555598</v>
      </c>
      <c r="G302" s="2">
        <v>0.50277777777777799</v>
      </c>
      <c r="H302">
        <v>266</v>
      </c>
      <c r="I302" s="3">
        <v>0.3125</v>
      </c>
      <c r="J302" s="2">
        <v>0.47916666666666702</v>
      </c>
      <c r="K302">
        <v>240</v>
      </c>
      <c r="L302" s="2">
        <v>0.31805555555555598</v>
      </c>
      <c r="M302" s="2">
        <v>0.5</v>
      </c>
      <c r="N302">
        <v>262</v>
      </c>
      <c r="O302" s="2">
        <v>0.34513888888888899</v>
      </c>
      <c r="P302" s="2">
        <v>0.49236111111111103</v>
      </c>
      <c r="Q302" s="2">
        <v>0.5</v>
      </c>
      <c r="R302">
        <v>262</v>
      </c>
      <c r="S302">
        <v>212</v>
      </c>
      <c r="T302" s="2">
        <v>0.50086805555555602</v>
      </c>
      <c r="U302" s="2">
        <v>0.541412037037037</v>
      </c>
      <c r="V302">
        <v>58</v>
      </c>
    </row>
    <row r="303" spans="1:25" ht="15" customHeight="1" x14ac:dyDescent="0.2">
      <c r="A303" s="1">
        <v>46246</v>
      </c>
      <c r="B303" t="s">
        <v>26</v>
      </c>
      <c r="C303" t="s">
        <v>27</v>
      </c>
      <c r="D303" t="s">
        <v>34</v>
      </c>
      <c r="E303" t="s">
        <v>31</v>
      </c>
      <c r="F303" s="2">
        <v>0.31874999999999998</v>
      </c>
      <c r="G303" s="2">
        <v>0.43194444444444402</v>
      </c>
      <c r="H303">
        <v>163</v>
      </c>
      <c r="I303" s="3">
        <v>0.3125</v>
      </c>
      <c r="J303" s="2">
        <v>0.40625</v>
      </c>
      <c r="K303">
        <v>135</v>
      </c>
      <c r="L303" s="2">
        <v>0.31874999999999998</v>
      </c>
      <c r="M303" s="2">
        <v>0.42777777777777798</v>
      </c>
      <c r="N303">
        <v>157</v>
      </c>
      <c r="O303" s="2">
        <v>0.35208333333333303</v>
      </c>
      <c r="P303" s="2">
        <v>0.42361111111111099</v>
      </c>
      <c r="Q303" s="2">
        <v>0.42777777777777798</v>
      </c>
      <c r="R303">
        <v>157</v>
      </c>
      <c r="S303">
        <v>103</v>
      </c>
      <c r="T303" s="2">
        <v>0.42847222222222198</v>
      </c>
      <c r="U303" s="2">
        <v>0.46250000000000002</v>
      </c>
      <c r="V303">
        <v>49</v>
      </c>
    </row>
    <row r="304" spans="1:25" ht="15" customHeight="1" x14ac:dyDescent="0.2">
      <c r="A304" s="1">
        <v>46246</v>
      </c>
      <c r="B304" t="s">
        <v>42</v>
      </c>
      <c r="C304" t="s">
        <v>43</v>
      </c>
      <c r="D304" t="s">
        <v>28</v>
      </c>
      <c r="E304" t="s">
        <v>29</v>
      </c>
      <c r="F304" s="2">
        <v>0.46319444444444402</v>
      </c>
      <c r="G304" s="2">
        <v>0.56666666666666698</v>
      </c>
      <c r="H304">
        <v>149</v>
      </c>
      <c r="I304" s="3">
        <v>0.42708333333333298</v>
      </c>
      <c r="J304" s="2">
        <v>0.52083333333333304</v>
      </c>
      <c r="K304">
        <v>135</v>
      </c>
      <c r="L304" s="2">
        <v>0.46319444444444402</v>
      </c>
      <c r="M304" s="2">
        <v>0.563194444444444</v>
      </c>
      <c r="N304">
        <v>144</v>
      </c>
      <c r="O304" s="2">
        <v>0.48055555555555601</v>
      </c>
      <c r="P304" s="2">
        <v>0.55625000000000002</v>
      </c>
      <c r="Q304" s="2">
        <v>0.563194444444444</v>
      </c>
      <c r="R304">
        <v>144</v>
      </c>
      <c r="S304">
        <v>109</v>
      </c>
      <c r="T304" s="2">
        <v>0.56388888888888899</v>
      </c>
      <c r="U304" s="2">
        <v>0.61597222222222203</v>
      </c>
      <c r="V304">
        <v>75</v>
      </c>
    </row>
    <row r="305" spans="1:25" ht="15" customHeight="1" x14ac:dyDescent="0.2">
      <c r="A305" s="1">
        <v>46246</v>
      </c>
      <c r="B305" t="s">
        <v>42</v>
      </c>
      <c r="C305" t="s">
        <v>43</v>
      </c>
      <c r="D305" t="s">
        <v>28</v>
      </c>
      <c r="E305" t="s">
        <v>31</v>
      </c>
      <c r="F305" s="2">
        <v>0.32291666666666702</v>
      </c>
      <c r="G305" s="2">
        <v>0.375694444444444</v>
      </c>
      <c r="H305">
        <v>76</v>
      </c>
      <c r="I305" s="3">
        <v>0.3125</v>
      </c>
      <c r="J305" s="2">
        <v>0.36458333333333298</v>
      </c>
      <c r="K305">
        <v>75</v>
      </c>
      <c r="L305" s="2">
        <v>0.32291666666666702</v>
      </c>
      <c r="M305" s="2">
        <v>0.37222222222222201</v>
      </c>
      <c r="N305">
        <v>71</v>
      </c>
      <c r="O305" s="2">
        <v>0.33333333333333298</v>
      </c>
      <c r="P305" s="2">
        <v>0.36388888888888898</v>
      </c>
      <c r="Q305" s="2">
        <v>0.37222222222222201</v>
      </c>
      <c r="R305">
        <v>71</v>
      </c>
      <c r="S305">
        <v>44</v>
      </c>
      <c r="T305" s="2">
        <v>0.375</v>
      </c>
      <c r="U305" s="2">
        <v>0.406944444444444</v>
      </c>
      <c r="V305">
        <v>46</v>
      </c>
      <c r="W305" s="2">
        <v>0.40763888888888899</v>
      </c>
      <c r="X305" s="2">
        <v>0.44652777777777802</v>
      </c>
      <c r="Y305">
        <v>56</v>
      </c>
    </row>
    <row r="306" spans="1:25" ht="15" customHeight="1" x14ac:dyDescent="0.2">
      <c r="A306" s="1">
        <v>46246</v>
      </c>
      <c r="B306" t="s">
        <v>26</v>
      </c>
      <c r="C306" t="s">
        <v>27</v>
      </c>
      <c r="D306" t="s">
        <v>34</v>
      </c>
      <c r="E306" t="s">
        <v>29</v>
      </c>
      <c r="F306" s="2">
        <v>0.32013888888888897</v>
      </c>
      <c r="G306" s="2">
        <v>0.48055555555555601</v>
      </c>
      <c r="H306">
        <v>231</v>
      </c>
      <c r="I306" s="3">
        <v>0.3125</v>
      </c>
      <c r="J306" s="2">
        <v>0.4375</v>
      </c>
      <c r="K306">
        <v>180</v>
      </c>
      <c r="L306" s="2">
        <v>0.32013888888888897</v>
      </c>
      <c r="M306" s="2">
        <v>0.47708333333333303</v>
      </c>
      <c r="N306">
        <v>226</v>
      </c>
      <c r="O306" s="2">
        <v>0.35625000000000001</v>
      </c>
      <c r="P306" s="2">
        <v>0.47291666666666698</v>
      </c>
      <c r="Q306" s="2">
        <v>0.47708333333333303</v>
      </c>
      <c r="R306">
        <v>226</v>
      </c>
      <c r="S306">
        <v>168</v>
      </c>
      <c r="T306" s="2">
        <v>0.47777777777777802</v>
      </c>
      <c r="U306" s="2">
        <v>0.5390625</v>
      </c>
      <c r="V306">
        <v>88</v>
      </c>
    </row>
    <row r="307" spans="1:25" ht="15" customHeight="1" x14ac:dyDescent="0.2">
      <c r="A307" s="1">
        <v>46246</v>
      </c>
      <c r="B307" t="s">
        <v>42</v>
      </c>
      <c r="C307" t="s">
        <v>43</v>
      </c>
      <c r="D307" t="s">
        <v>34</v>
      </c>
      <c r="E307" t="s">
        <v>31</v>
      </c>
      <c r="F307" s="2">
        <v>0.45624999999999999</v>
      </c>
      <c r="G307" s="2">
        <v>0.52916666666666701</v>
      </c>
      <c r="H307">
        <v>105</v>
      </c>
      <c r="I307" s="3">
        <v>0.45833333333333298</v>
      </c>
      <c r="J307" s="2">
        <v>0.52083333333333304</v>
      </c>
      <c r="K307">
        <v>90</v>
      </c>
      <c r="L307" s="2">
        <v>0.45624999999999999</v>
      </c>
      <c r="M307" s="2">
        <v>0.51944444444444404</v>
      </c>
      <c r="N307">
        <v>91</v>
      </c>
      <c r="O307" s="2">
        <v>0.47222222222222199</v>
      </c>
      <c r="P307" s="2">
        <v>0.51736111111111105</v>
      </c>
      <c r="Q307" s="2">
        <v>0.51944444444444404</v>
      </c>
      <c r="R307">
        <v>91</v>
      </c>
      <c r="S307">
        <v>65</v>
      </c>
      <c r="T307" s="2">
        <v>0.52083333333333304</v>
      </c>
      <c r="U307" s="2">
        <v>0.563194444444444</v>
      </c>
      <c r="V307">
        <v>61</v>
      </c>
      <c r="W307" s="2">
        <v>0.56388888888888899</v>
      </c>
      <c r="X307" s="2">
        <v>0.59583333333333299</v>
      </c>
      <c r="Y307">
        <v>46</v>
      </c>
    </row>
    <row r="308" spans="1:25" ht="15" customHeight="1" x14ac:dyDescent="0.2">
      <c r="A308" s="1">
        <v>46246</v>
      </c>
      <c r="B308" t="s">
        <v>42</v>
      </c>
      <c r="C308" t="s">
        <v>43</v>
      </c>
      <c r="D308" t="s">
        <v>34</v>
      </c>
      <c r="E308" t="s">
        <v>31</v>
      </c>
      <c r="F308" s="2">
        <v>0.38263888888888897</v>
      </c>
      <c r="G308" s="2">
        <v>0.45</v>
      </c>
      <c r="H308">
        <v>97</v>
      </c>
      <c r="I308" s="3">
        <v>0.375</v>
      </c>
      <c r="J308" s="2">
        <v>0.4375</v>
      </c>
      <c r="K308">
        <v>90</v>
      </c>
      <c r="L308" s="2">
        <v>0.38263888888888897</v>
      </c>
      <c r="M308" s="2">
        <v>0.44374999999999998</v>
      </c>
      <c r="N308">
        <v>88</v>
      </c>
      <c r="O308" s="2">
        <v>0.40486111111111101</v>
      </c>
      <c r="P308" s="2">
        <v>0.43958333333333299</v>
      </c>
      <c r="Q308" s="2">
        <v>0.44374999999999998</v>
      </c>
      <c r="R308">
        <v>88</v>
      </c>
      <c r="S308">
        <v>50</v>
      </c>
      <c r="T308" s="2">
        <v>0.44652777777777802</v>
      </c>
      <c r="U308" s="2">
        <v>0.49027777777777798</v>
      </c>
      <c r="V308">
        <v>63</v>
      </c>
      <c r="W308" s="2">
        <v>0.49097222222222198</v>
      </c>
      <c r="X308" s="2">
        <v>0.52152777777777803</v>
      </c>
      <c r="Y308">
        <v>44</v>
      </c>
    </row>
    <row r="309" spans="1:25" ht="15" customHeight="1" x14ac:dyDescent="0.2">
      <c r="A309" s="1">
        <v>46246</v>
      </c>
      <c r="B309" t="s">
        <v>42</v>
      </c>
      <c r="C309" t="s">
        <v>43</v>
      </c>
      <c r="D309" t="s">
        <v>28</v>
      </c>
      <c r="E309" t="s">
        <v>29</v>
      </c>
      <c r="F309" s="2">
        <v>0.311805555555556</v>
      </c>
      <c r="G309" s="2">
        <v>0.37708333333333299</v>
      </c>
      <c r="H309">
        <v>94</v>
      </c>
      <c r="I309" s="3">
        <v>0.3125</v>
      </c>
      <c r="J309" s="2">
        <v>0.35416666666666702</v>
      </c>
      <c r="K309">
        <v>60</v>
      </c>
      <c r="L309" s="2">
        <v>0.311805555555556</v>
      </c>
      <c r="M309" s="2">
        <v>0.37152777777777801</v>
      </c>
      <c r="N309">
        <v>86</v>
      </c>
      <c r="O309" s="2">
        <v>0.33055555555555599</v>
      </c>
      <c r="P309" s="2">
        <v>0.36736111111111103</v>
      </c>
      <c r="Q309" s="2">
        <v>0.37152777777777801</v>
      </c>
      <c r="R309">
        <v>86</v>
      </c>
      <c r="S309">
        <v>53</v>
      </c>
      <c r="T309" s="2">
        <v>0.37291666666666701</v>
      </c>
      <c r="U309" s="2">
        <v>0.39652777777777798</v>
      </c>
      <c r="V309">
        <v>34</v>
      </c>
      <c r="W309" s="2">
        <v>0.39722222222222198</v>
      </c>
      <c r="X309" s="2">
        <v>0.40208333333333302</v>
      </c>
      <c r="Y309">
        <v>7</v>
      </c>
    </row>
    <row r="310" spans="1:25" ht="15" customHeight="1" x14ac:dyDescent="0.2">
      <c r="A310" s="1">
        <v>46246</v>
      </c>
      <c r="B310" t="s">
        <v>26</v>
      </c>
      <c r="C310" t="s">
        <v>27</v>
      </c>
      <c r="D310" t="s">
        <v>28</v>
      </c>
      <c r="E310" t="s">
        <v>31</v>
      </c>
      <c r="F310" s="2">
        <v>0.65416666666666701</v>
      </c>
      <c r="G310" s="2">
        <v>0.69791666666666696</v>
      </c>
      <c r="H310">
        <v>63</v>
      </c>
      <c r="I310" s="3">
        <v>0.625</v>
      </c>
      <c r="J310" s="2">
        <v>0.66666666666666696</v>
      </c>
      <c r="K310">
        <v>60</v>
      </c>
      <c r="L310" s="2">
        <v>0.65416666666666701</v>
      </c>
      <c r="M310" s="2">
        <v>0.69583333333333297</v>
      </c>
      <c r="N310">
        <v>60</v>
      </c>
      <c r="O310" s="2">
        <v>0.66944444444444395</v>
      </c>
      <c r="P310" s="2">
        <v>0.69097222222222199</v>
      </c>
      <c r="Q310" s="2">
        <v>0.69583333333333297</v>
      </c>
      <c r="R310">
        <v>60</v>
      </c>
      <c r="S310">
        <v>31</v>
      </c>
      <c r="T310" s="2">
        <v>0.69652777777777797</v>
      </c>
      <c r="U310" s="2">
        <v>0.70138888888888895</v>
      </c>
      <c r="V310">
        <v>7</v>
      </c>
    </row>
    <row r="311" spans="1:25" ht="15" customHeight="1" x14ac:dyDescent="0.2">
      <c r="A311" s="1">
        <v>46246</v>
      </c>
      <c r="B311" t="s">
        <v>26</v>
      </c>
      <c r="C311" t="s">
        <v>27</v>
      </c>
      <c r="D311" t="s">
        <v>34</v>
      </c>
      <c r="E311" t="s">
        <v>29</v>
      </c>
      <c r="F311" s="2">
        <v>0.67430555555555605</v>
      </c>
      <c r="G311" s="2">
        <v>0.80902777777777801</v>
      </c>
      <c r="H311">
        <v>194</v>
      </c>
      <c r="I311" s="3">
        <v>0.65625</v>
      </c>
      <c r="J311" s="2">
        <v>0.72222222222222199</v>
      </c>
      <c r="K311">
        <v>95</v>
      </c>
      <c r="L311" s="2">
        <v>0.67430555555555605</v>
      </c>
      <c r="M311" s="2">
        <v>0.80277777777777803</v>
      </c>
      <c r="N311">
        <v>185</v>
      </c>
      <c r="O311" s="2">
        <v>0.70416666666666705</v>
      </c>
      <c r="P311" s="2">
        <v>0.79930555555555605</v>
      </c>
      <c r="Q311" s="2">
        <v>0.80277777777777803</v>
      </c>
      <c r="R311">
        <v>185</v>
      </c>
      <c r="S311">
        <v>137</v>
      </c>
      <c r="T311" s="2">
        <v>0.80413194444444402</v>
      </c>
      <c r="U311" s="2">
        <v>0.82361111111111096</v>
      </c>
      <c r="V311">
        <v>29</v>
      </c>
    </row>
    <row r="312" spans="1:25" ht="15" customHeight="1" x14ac:dyDescent="0.2">
      <c r="A312" s="1">
        <v>46246</v>
      </c>
      <c r="B312" t="s">
        <v>42</v>
      </c>
      <c r="C312" t="s">
        <v>43</v>
      </c>
      <c r="D312" t="s">
        <v>28</v>
      </c>
      <c r="E312" t="s">
        <v>35</v>
      </c>
      <c r="F312" s="2">
        <v>0.40416666666666701</v>
      </c>
      <c r="G312" s="2">
        <v>0.43055555555555602</v>
      </c>
      <c r="H312">
        <v>38</v>
      </c>
      <c r="I312" s="3">
        <v>0.375</v>
      </c>
      <c r="J312" s="2">
        <v>0.4375</v>
      </c>
      <c r="K312">
        <v>90</v>
      </c>
      <c r="L312" s="2">
        <v>0.40416666666666701</v>
      </c>
      <c r="M312" s="2">
        <v>0.42638888888888898</v>
      </c>
      <c r="N312">
        <v>32</v>
      </c>
      <c r="O312" s="2">
        <v>0.41527777777777802</v>
      </c>
      <c r="P312" s="2">
        <v>0.42430555555555599</v>
      </c>
      <c r="Q312" s="2">
        <v>0.42638888888888898</v>
      </c>
      <c r="R312">
        <v>32</v>
      </c>
      <c r="S312">
        <v>13</v>
      </c>
      <c r="T312" s="2">
        <v>0.427337962962963</v>
      </c>
      <c r="U312" s="2">
        <v>0.45902777777777798</v>
      </c>
      <c r="V312">
        <v>46</v>
      </c>
      <c r="W312" s="2">
        <v>0.45902777777777798</v>
      </c>
      <c r="X312" s="2">
        <v>0.47222222222222199</v>
      </c>
      <c r="Y312">
        <v>19</v>
      </c>
    </row>
    <row r="313" spans="1:25" ht="15" customHeight="1" x14ac:dyDescent="0.2">
      <c r="A313" s="1">
        <v>46246</v>
      </c>
      <c r="B313" t="s">
        <v>26</v>
      </c>
      <c r="C313" t="s">
        <v>27</v>
      </c>
      <c r="D313" t="s">
        <v>28</v>
      </c>
      <c r="E313" t="s">
        <v>29</v>
      </c>
      <c r="F313" s="2">
        <v>0.59166666666666701</v>
      </c>
      <c r="G313" s="2">
        <v>0.781944444444444</v>
      </c>
      <c r="H313">
        <v>274</v>
      </c>
      <c r="I313" s="3">
        <v>0.60416666666666696</v>
      </c>
      <c r="J313" s="2">
        <v>0.75</v>
      </c>
      <c r="K313">
        <v>210</v>
      </c>
      <c r="L313" s="2">
        <v>0.59166666666666701</v>
      </c>
      <c r="M313" s="2">
        <v>0.77777777777777801</v>
      </c>
      <c r="N313">
        <v>268</v>
      </c>
      <c r="O313" s="2">
        <v>0.61458333333333304</v>
      </c>
      <c r="P313" s="2">
        <v>0.76944444444444404</v>
      </c>
      <c r="Q313" s="2">
        <v>0.77777777777777801</v>
      </c>
      <c r="R313">
        <v>268</v>
      </c>
      <c r="S313">
        <v>223</v>
      </c>
      <c r="T313" s="2">
        <v>0.77877314814814802</v>
      </c>
      <c r="U313" s="2">
        <v>0.813194444444444</v>
      </c>
      <c r="V313">
        <v>50</v>
      </c>
    </row>
    <row r="314" spans="1:25" ht="15" customHeight="1" x14ac:dyDescent="0.2">
      <c r="A314" s="1">
        <v>46246</v>
      </c>
      <c r="B314" t="s">
        <v>26</v>
      </c>
      <c r="C314" t="s">
        <v>27</v>
      </c>
      <c r="D314" t="s">
        <v>28</v>
      </c>
      <c r="E314" t="s">
        <v>29</v>
      </c>
      <c r="F314" s="2">
        <v>0.39652777777777798</v>
      </c>
      <c r="G314" s="2">
        <v>0.43125000000000002</v>
      </c>
      <c r="H314">
        <v>50</v>
      </c>
      <c r="I314" s="3">
        <v>0.38541666666666702</v>
      </c>
      <c r="J314" s="2">
        <v>0.41666666666666702</v>
      </c>
      <c r="K314">
        <v>45</v>
      </c>
      <c r="L314" s="2">
        <v>0.39652777777777798</v>
      </c>
      <c r="M314" s="2">
        <v>0.42777777777777798</v>
      </c>
      <c r="N314">
        <v>45</v>
      </c>
      <c r="O314" s="2">
        <v>0.40833333333333299</v>
      </c>
      <c r="P314" s="2">
        <v>0.41944444444444401</v>
      </c>
      <c r="Q314" s="2">
        <v>0.42777777777777798</v>
      </c>
      <c r="R314">
        <v>45</v>
      </c>
      <c r="S314">
        <v>16</v>
      </c>
      <c r="T314" s="2">
        <v>0.42916666666666697</v>
      </c>
      <c r="U314" s="2">
        <v>0.54791666666666705</v>
      </c>
      <c r="V314">
        <v>171</v>
      </c>
    </row>
    <row r="315" spans="1:25" ht="15" customHeight="1" x14ac:dyDescent="0.2">
      <c r="A315" s="1">
        <v>46246</v>
      </c>
      <c r="B315" t="s">
        <v>26</v>
      </c>
      <c r="C315" t="s">
        <v>27</v>
      </c>
      <c r="D315" t="s">
        <v>28</v>
      </c>
      <c r="E315" t="s">
        <v>36</v>
      </c>
      <c r="F315" s="2">
        <v>0.311805555555556</v>
      </c>
      <c r="G315" s="2">
        <v>0.37152777777777801</v>
      </c>
      <c r="H315">
        <v>86</v>
      </c>
      <c r="I315" s="3">
        <v>0.3125</v>
      </c>
      <c r="J315" s="2">
        <v>0.38888888888888901</v>
      </c>
      <c r="K315">
        <v>110</v>
      </c>
      <c r="L315" s="2">
        <v>0.311805555555556</v>
      </c>
      <c r="M315" s="2">
        <v>0.36805555555555602</v>
      </c>
      <c r="N315">
        <v>81</v>
      </c>
      <c r="O315" s="2">
        <v>0.33263888888888898</v>
      </c>
      <c r="P315" s="2">
        <v>0.36388888888888898</v>
      </c>
      <c r="Q315" s="2">
        <v>0.36805555555555602</v>
      </c>
      <c r="R315">
        <v>81</v>
      </c>
      <c r="S315">
        <v>45</v>
      </c>
      <c r="T315" s="2">
        <v>0.36944444444444402</v>
      </c>
      <c r="U315" s="2">
        <v>0.41666666666666702</v>
      </c>
      <c r="V315">
        <v>68</v>
      </c>
    </row>
    <row r="316" spans="1:25" ht="15" customHeight="1" x14ac:dyDescent="0.2">
      <c r="A316" s="1">
        <v>46246</v>
      </c>
      <c r="B316" t="s">
        <v>26</v>
      </c>
      <c r="C316" t="s">
        <v>27</v>
      </c>
      <c r="D316" t="s">
        <v>28</v>
      </c>
      <c r="E316" t="s">
        <v>31</v>
      </c>
      <c r="F316" s="2">
        <v>0.389583333333333</v>
      </c>
      <c r="G316" s="2">
        <v>0.452777777777778</v>
      </c>
      <c r="H316">
        <v>91</v>
      </c>
      <c r="I316" s="3">
        <v>0.40972222222222199</v>
      </c>
      <c r="J316" s="2">
        <v>0.48263888888888901</v>
      </c>
      <c r="K316">
        <v>105</v>
      </c>
      <c r="L316" s="2">
        <v>0.389583333333333</v>
      </c>
      <c r="M316" s="2">
        <v>0.44652777777777802</v>
      </c>
      <c r="N316">
        <v>82</v>
      </c>
      <c r="O316" s="2">
        <v>0.40277777777777801</v>
      </c>
      <c r="P316" s="2">
        <v>0.44166666666666698</v>
      </c>
      <c r="Q316" s="2">
        <v>0.44652777777777802</v>
      </c>
      <c r="R316">
        <v>82</v>
      </c>
      <c r="S316">
        <v>56</v>
      </c>
    </row>
    <row r="317" spans="1:25" ht="15" customHeight="1" x14ac:dyDescent="0.2">
      <c r="A317" s="1">
        <v>46246</v>
      </c>
      <c r="B317" t="s">
        <v>26</v>
      </c>
      <c r="C317" t="s">
        <v>27</v>
      </c>
      <c r="D317" t="s">
        <v>28</v>
      </c>
      <c r="E317" t="s">
        <v>31</v>
      </c>
      <c r="F317" s="2">
        <v>0.47361111111111098</v>
      </c>
      <c r="G317" s="2">
        <v>0.59722222222222199</v>
      </c>
      <c r="H317">
        <v>178</v>
      </c>
      <c r="I317" s="3">
        <v>0.50347222222222199</v>
      </c>
      <c r="J317" s="2">
        <v>0.58680555555555602</v>
      </c>
      <c r="K317">
        <v>120</v>
      </c>
      <c r="L317" s="2">
        <v>0.47361111111111098</v>
      </c>
      <c r="M317" s="2">
        <v>0.59375</v>
      </c>
      <c r="N317">
        <v>173</v>
      </c>
      <c r="O317" s="2">
        <v>0.50138888888888899</v>
      </c>
      <c r="P317" s="2">
        <v>0.58611111111111103</v>
      </c>
      <c r="Q317" s="2">
        <v>0.59375</v>
      </c>
      <c r="R317">
        <v>173</v>
      </c>
      <c r="S317">
        <v>122</v>
      </c>
      <c r="T317" s="2">
        <v>0.59457175925925898</v>
      </c>
      <c r="U317" s="2">
        <v>0.64166666666666705</v>
      </c>
      <c r="V317">
        <v>68</v>
      </c>
    </row>
    <row r="318" spans="1:25" ht="15" customHeight="1" x14ac:dyDescent="0.2">
      <c r="A318" s="1">
        <v>46246</v>
      </c>
      <c r="B318" t="s">
        <v>26</v>
      </c>
      <c r="C318" t="s">
        <v>27</v>
      </c>
      <c r="D318" t="s">
        <v>28</v>
      </c>
      <c r="E318" t="s">
        <v>29</v>
      </c>
      <c r="F318" s="2">
        <v>0.47499999999999998</v>
      </c>
      <c r="G318" s="2">
        <v>0.51249999999999996</v>
      </c>
      <c r="H318">
        <v>54</v>
      </c>
      <c r="I318" s="3">
        <v>0.45833333333333298</v>
      </c>
      <c r="J318" s="2">
        <v>0.5</v>
      </c>
      <c r="K318">
        <v>60</v>
      </c>
      <c r="L318" s="2">
        <v>0.47499999999999998</v>
      </c>
      <c r="M318" s="2">
        <v>0.50624999999999998</v>
      </c>
      <c r="N318">
        <v>45</v>
      </c>
      <c r="O318" s="2">
        <v>0.49305555555555602</v>
      </c>
      <c r="P318" s="2">
        <v>0.500694444444444</v>
      </c>
      <c r="Q318" s="2">
        <v>0.50624999999999998</v>
      </c>
      <c r="R318">
        <v>45</v>
      </c>
      <c r="S318">
        <v>11</v>
      </c>
      <c r="T318" s="2">
        <v>0.50798611111111103</v>
      </c>
      <c r="U318" s="2">
        <v>0.54166666666666696</v>
      </c>
      <c r="V318">
        <v>49</v>
      </c>
    </row>
    <row r="319" spans="1:25" ht="15" customHeight="1" x14ac:dyDescent="0.2">
      <c r="A319" s="1">
        <v>46246</v>
      </c>
      <c r="B319" t="s">
        <v>26</v>
      </c>
      <c r="C319" t="s">
        <v>27</v>
      </c>
      <c r="D319" t="s">
        <v>28</v>
      </c>
      <c r="E319" t="s">
        <v>29</v>
      </c>
      <c r="F319" s="2">
        <v>0.53680555555555598</v>
      </c>
      <c r="G319" s="2">
        <v>0.58402777777777803</v>
      </c>
      <c r="H319">
        <v>68</v>
      </c>
      <c r="I319" s="3">
        <v>0.52083333333333304</v>
      </c>
      <c r="J319" s="2">
        <v>0.58333333333333304</v>
      </c>
      <c r="K319">
        <v>90</v>
      </c>
      <c r="L319" s="2">
        <v>0.53680555555555598</v>
      </c>
      <c r="M319" s="2">
        <v>0.57777777777777795</v>
      </c>
      <c r="N319">
        <v>59</v>
      </c>
      <c r="O319" s="2">
        <v>0.55208333333333304</v>
      </c>
      <c r="P319" s="2">
        <v>0.57499999999999996</v>
      </c>
      <c r="Q319" s="2">
        <v>0.57777777777777795</v>
      </c>
      <c r="R319">
        <v>59</v>
      </c>
      <c r="S319">
        <v>33</v>
      </c>
      <c r="T319" s="2">
        <v>0.57861111111111097</v>
      </c>
      <c r="U319" s="2">
        <v>0.61458333333333304</v>
      </c>
      <c r="V319">
        <v>52</v>
      </c>
    </row>
    <row r="320" spans="1:25" ht="15" customHeight="1" x14ac:dyDescent="0.2">
      <c r="A320" s="1">
        <v>46246</v>
      </c>
      <c r="B320" t="s">
        <v>26</v>
      </c>
      <c r="C320" t="s">
        <v>27</v>
      </c>
      <c r="D320" t="s">
        <v>28</v>
      </c>
      <c r="E320" t="s">
        <v>31</v>
      </c>
      <c r="F320" s="2">
        <v>0.62291666666666701</v>
      </c>
      <c r="G320" s="2">
        <v>0.67916666666666703</v>
      </c>
      <c r="H320">
        <v>81</v>
      </c>
      <c r="I320" s="3">
        <v>0.60763888888888895</v>
      </c>
      <c r="J320" s="2">
        <v>0.69097222222222199</v>
      </c>
      <c r="K320">
        <v>120</v>
      </c>
      <c r="L320" s="2">
        <v>0.62291666666666701</v>
      </c>
      <c r="M320" s="2">
        <v>0.67569444444444404</v>
      </c>
      <c r="N320">
        <v>76</v>
      </c>
      <c r="O320" s="2">
        <v>0.63611111111111096</v>
      </c>
      <c r="P320" s="2">
        <v>0.67222222222222205</v>
      </c>
      <c r="Q320" s="2">
        <v>0.67569444444444404</v>
      </c>
      <c r="R320">
        <v>76</v>
      </c>
      <c r="S320">
        <v>52</v>
      </c>
      <c r="T320" s="2">
        <v>0.67718750000000005</v>
      </c>
      <c r="U320" s="2">
        <v>0.72430555555555598</v>
      </c>
      <c r="V320">
        <v>68</v>
      </c>
    </row>
    <row r="321" spans="1:25" ht="15" customHeight="1" x14ac:dyDescent="0.2">
      <c r="A321" s="1">
        <v>46246</v>
      </c>
      <c r="B321" t="s">
        <v>26</v>
      </c>
      <c r="C321" t="s">
        <v>27</v>
      </c>
      <c r="D321" t="s">
        <v>28</v>
      </c>
      <c r="E321" t="s">
        <v>31</v>
      </c>
      <c r="F321" s="2">
        <v>0.81111111111111101</v>
      </c>
      <c r="G321" s="2">
        <v>0.844444444444444</v>
      </c>
      <c r="H321">
        <v>48</v>
      </c>
      <c r="I321" s="3">
        <v>0.73958333333333304</v>
      </c>
      <c r="J321" s="2">
        <v>0.79513888888888895</v>
      </c>
      <c r="K321">
        <v>80</v>
      </c>
      <c r="L321" s="2">
        <v>0.80972222222222201</v>
      </c>
      <c r="M321" s="2">
        <v>0.83888888888888902</v>
      </c>
      <c r="N321">
        <v>42</v>
      </c>
      <c r="O321" s="2">
        <v>0.82222222222222197</v>
      </c>
      <c r="P321" s="2">
        <v>0.83055555555555605</v>
      </c>
      <c r="Q321" s="2">
        <v>0.83888888888888902</v>
      </c>
      <c r="R321">
        <v>42</v>
      </c>
      <c r="S321">
        <v>12</v>
      </c>
      <c r="T321" s="2">
        <v>0.84309027777777801</v>
      </c>
      <c r="U321" s="2">
        <v>0.86564814814814794</v>
      </c>
      <c r="V321">
        <v>32</v>
      </c>
    </row>
    <row r="322" spans="1:25" ht="15" customHeight="1" x14ac:dyDescent="0.2">
      <c r="A322" s="1">
        <v>46246</v>
      </c>
      <c r="B322" t="s">
        <v>26</v>
      </c>
      <c r="C322" t="s">
        <v>27</v>
      </c>
      <c r="D322" t="s">
        <v>34</v>
      </c>
      <c r="E322" t="s">
        <v>31</v>
      </c>
      <c r="F322" s="2">
        <v>0.69930555555555596</v>
      </c>
      <c r="G322" s="2">
        <v>0.76388888888888895</v>
      </c>
      <c r="H322">
        <v>93</v>
      </c>
      <c r="I322" s="3">
        <v>0.70833333333333304</v>
      </c>
      <c r="J322" s="2">
        <v>0.80555555555555602</v>
      </c>
      <c r="K322">
        <v>140</v>
      </c>
      <c r="L322" s="2">
        <v>0.69930555555555596</v>
      </c>
      <c r="M322" s="2">
        <v>0.75763888888888897</v>
      </c>
      <c r="N322">
        <v>84</v>
      </c>
      <c r="O322" s="2">
        <v>0.71111111111111103</v>
      </c>
      <c r="P322" s="2">
        <v>0.75486111111111098</v>
      </c>
      <c r="Q322" s="2">
        <v>0.75763888888888897</v>
      </c>
      <c r="R322">
        <v>84</v>
      </c>
      <c r="S322">
        <v>63</v>
      </c>
      <c r="T322" s="2">
        <v>0.75828703703703704</v>
      </c>
      <c r="U322" s="2">
        <v>0.78472222222222199</v>
      </c>
      <c r="V322">
        <v>39</v>
      </c>
    </row>
    <row r="323" spans="1:25" ht="15" customHeight="1" x14ac:dyDescent="0.2">
      <c r="A323" s="1">
        <v>46246</v>
      </c>
      <c r="B323" t="s">
        <v>26</v>
      </c>
      <c r="C323" t="s">
        <v>27</v>
      </c>
      <c r="D323" t="s">
        <v>28</v>
      </c>
      <c r="E323" t="s">
        <v>29</v>
      </c>
      <c r="F323" s="2">
        <v>0.50902777777777797</v>
      </c>
      <c r="G323" s="2">
        <v>0.58888888888888902</v>
      </c>
      <c r="H323">
        <v>115</v>
      </c>
      <c r="I323" s="3">
        <v>0.5</v>
      </c>
      <c r="J323" s="2">
        <v>0.56944444444444398</v>
      </c>
      <c r="K323">
        <v>130</v>
      </c>
      <c r="L323" s="2">
        <v>0.50902777777777797</v>
      </c>
      <c r="M323" s="2">
        <v>0.58472222222222203</v>
      </c>
      <c r="N323">
        <v>109</v>
      </c>
      <c r="O323" s="2">
        <v>0.52638888888888902</v>
      </c>
      <c r="P323" s="2">
        <v>0.57986111111111105</v>
      </c>
      <c r="Q323" s="2">
        <v>0.58472222222222203</v>
      </c>
      <c r="R323">
        <v>109</v>
      </c>
      <c r="S323">
        <v>77</v>
      </c>
      <c r="T323" s="2">
        <v>0.58578703703703705</v>
      </c>
      <c r="U323" s="2">
        <v>0.61527777777777803</v>
      </c>
      <c r="V323">
        <v>43</v>
      </c>
    </row>
    <row r="324" spans="1:25" ht="15" customHeight="1" x14ac:dyDescent="0.2">
      <c r="A324" s="1">
        <v>46246</v>
      </c>
      <c r="B324" t="s">
        <v>26</v>
      </c>
      <c r="C324" t="s">
        <v>27</v>
      </c>
      <c r="D324" t="s">
        <v>28</v>
      </c>
      <c r="E324" t="s">
        <v>29</v>
      </c>
      <c r="F324" s="2">
        <v>0.54444444444444395</v>
      </c>
      <c r="G324" s="2">
        <v>0.61388888888888904</v>
      </c>
      <c r="H324">
        <v>100</v>
      </c>
      <c r="I324" s="3">
        <v>0.51041666666666696</v>
      </c>
      <c r="J324" s="2">
        <v>0.56944444444444398</v>
      </c>
      <c r="K324">
        <v>115</v>
      </c>
      <c r="L324" s="2">
        <v>0.54444444444444395</v>
      </c>
      <c r="M324" s="2">
        <v>0.61041666666666705</v>
      </c>
      <c r="N324">
        <v>95</v>
      </c>
      <c r="O324" s="2">
        <v>0.56388888888888899</v>
      </c>
      <c r="P324" s="2">
        <v>0.60486111111111096</v>
      </c>
      <c r="Q324" s="2">
        <v>0.61041666666666705</v>
      </c>
      <c r="R324">
        <v>95</v>
      </c>
      <c r="S324">
        <v>59</v>
      </c>
      <c r="T324" s="2">
        <v>0.61180555555555605</v>
      </c>
      <c r="U324" s="2">
        <v>0.65231481481481501</v>
      </c>
      <c r="V324">
        <v>58</v>
      </c>
    </row>
    <row r="325" spans="1:25" ht="15" customHeight="1" x14ac:dyDescent="0.2">
      <c r="A325" s="1">
        <v>46246</v>
      </c>
      <c r="B325" t="s">
        <v>26</v>
      </c>
      <c r="C325" t="s">
        <v>27</v>
      </c>
      <c r="D325" t="s">
        <v>28</v>
      </c>
      <c r="E325" t="s">
        <v>35</v>
      </c>
      <c r="F325" s="2">
        <v>0.52222222222222203</v>
      </c>
      <c r="G325" s="2">
        <v>0.61319444444444404</v>
      </c>
      <c r="H325">
        <v>131</v>
      </c>
      <c r="I325" s="3">
        <v>0.52083333333333304</v>
      </c>
      <c r="J325" s="2">
        <v>0.57986111111111105</v>
      </c>
      <c r="K325">
        <v>115</v>
      </c>
      <c r="L325" s="2">
        <v>0.52222222222222203</v>
      </c>
      <c r="M325" s="2">
        <v>0.60902777777777795</v>
      </c>
      <c r="N325">
        <v>125</v>
      </c>
      <c r="O325" s="2">
        <v>0.54444444444444395</v>
      </c>
      <c r="P325" s="2">
        <v>0.60277777777777797</v>
      </c>
      <c r="Q325" s="2">
        <v>0.60902777777777795</v>
      </c>
      <c r="R325">
        <v>125</v>
      </c>
      <c r="S325">
        <v>84</v>
      </c>
      <c r="T325" s="2">
        <v>0.61111111111111105</v>
      </c>
      <c r="U325" s="2">
        <v>0.64583333333333304</v>
      </c>
      <c r="V325">
        <v>50</v>
      </c>
    </row>
    <row r="326" spans="1:25" ht="15" customHeight="1" x14ac:dyDescent="0.2">
      <c r="A326" s="1">
        <v>46246</v>
      </c>
      <c r="B326" t="s">
        <v>26</v>
      </c>
      <c r="C326" t="s">
        <v>27</v>
      </c>
      <c r="D326" t="s">
        <v>28</v>
      </c>
      <c r="E326" t="s">
        <v>29</v>
      </c>
      <c r="F326" s="2">
        <v>0.77222222222222203</v>
      </c>
      <c r="G326" s="2">
        <v>0.80972222222222201</v>
      </c>
      <c r="H326">
        <v>54</v>
      </c>
      <c r="I326" s="3">
        <v>0.79166666666666696</v>
      </c>
      <c r="J326" s="2">
        <v>0.84027777777777801</v>
      </c>
      <c r="K326">
        <v>100</v>
      </c>
      <c r="L326" s="2">
        <v>0.77222222222222203</v>
      </c>
      <c r="M326" s="2">
        <v>0.80486111111111103</v>
      </c>
      <c r="N326">
        <v>47</v>
      </c>
      <c r="O326" s="2">
        <v>0.78333333333333299</v>
      </c>
      <c r="P326" s="2">
        <v>0.79444444444444395</v>
      </c>
      <c r="Q326" s="2">
        <v>0.80486111111111103</v>
      </c>
      <c r="R326">
        <v>47</v>
      </c>
      <c r="S326">
        <v>16</v>
      </c>
      <c r="T326" s="2">
        <v>0.80696759259259299</v>
      </c>
      <c r="U326" s="2">
        <v>0.84252314814814799</v>
      </c>
      <c r="V326">
        <v>51</v>
      </c>
    </row>
    <row r="327" spans="1:25" ht="15" customHeight="1" x14ac:dyDescent="0.2">
      <c r="A327" s="1">
        <v>46246</v>
      </c>
      <c r="B327" t="s">
        <v>42</v>
      </c>
      <c r="C327" t="s">
        <v>43</v>
      </c>
      <c r="D327" t="s">
        <v>34</v>
      </c>
      <c r="E327" t="s">
        <v>31</v>
      </c>
      <c r="F327" s="2">
        <v>0.59097222222222201</v>
      </c>
      <c r="G327" s="2">
        <v>0.68958333333333299</v>
      </c>
      <c r="H327">
        <v>142</v>
      </c>
      <c r="I327" s="3">
        <v>0.54166666666666696</v>
      </c>
      <c r="J327" s="2">
        <v>0.63541666666666696</v>
      </c>
      <c r="K327">
        <v>135</v>
      </c>
      <c r="L327" s="2">
        <v>0.59097222222222201</v>
      </c>
      <c r="M327" s="2">
        <v>0.68333333333333302</v>
      </c>
      <c r="N327">
        <v>133</v>
      </c>
      <c r="O327" s="2">
        <v>0.60833333333333295</v>
      </c>
      <c r="P327" s="2">
        <v>0.67847222222222203</v>
      </c>
      <c r="Q327" s="2">
        <v>0.68333333333333302</v>
      </c>
      <c r="R327">
        <v>133</v>
      </c>
      <c r="S327">
        <v>101</v>
      </c>
      <c r="T327" s="2">
        <v>0.68475694444444402</v>
      </c>
      <c r="U327" s="2">
        <v>0.70902777777777803</v>
      </c>
      <c r="V327">
        <v>35</v>
      </c>
    </row>
    <row r="328" spans="1:25" ht="15" customHeight="1" x14ac:dyDescent="0.2">
      <c r="A328" s="1">
        <v>46247</v>
      </c>
      <c r="B328" t="s">
        <v>26</v>
      </c>
      <c r="C328" t="s">
        <v>27</v>
      </c>
      <c r="D328" t="s">
        <v>28</v>
      </c>
      <c r="E328" t="s">
        <v>31</v>
      </c>
      <c r="F328" s="2">
        <v>0.40833333333333299</v>
      </c>
      <c r="G328" s="2">
        <v>0.51597222222222205</v>
      </c>
      <c r="H328">
        <v>155</v>
      </c>
      <c r="I328" s="3">
        <v>0.39583333333333298</v>
      </c>
      <c r="J328" s="2">
        <v>0.51736111111111105</v>
      </c>
      <c r="K328">
        <v>175</v>
      </c>
      <c r="L328" s="2">
        <v>0.40833333333333299</v>
      </c>
      <c r="M328" s="2">
        <v>0.51249999999999996</v>
      </c>
      <c r="N328">
        <v>150</v>
      </c>
      <c r="O328" s="2">
        <v>0.42708333333333298</v>
      </c>
      <c r="P328" s="2">
        <v>0.50416666666666698</v>
      </c>
      <c r="Q328" s="2">
        <v>0.51249999999999996</v>
      </c>
      <c r="R328">
        <v>150</v>
      </c>
      <c r="S328">
        <v>111</v>
      </c>
      <c r="T328" s="2">
        <v>0.51343749999999999</v>
      </c>
      <c r="U328" s="2">
        <v>0.531944444444444</v>
      </c>
      <c r="V328">
        <v>27</v>
      </c>
    </row>
    <row r="329" spans="1:25" ht="15" customHeight="1" x14ac:dyDescent="0.2">
      <c r="A329" s="1">
        <v>46247</v>
      </c>
      <c r="B329" t="s">
        <v>42</v>
      </c>
      <c r="C329" t="s">
        <v>43</v>
      </c>
      <c r="D329" t="s">
        <v>28</v>
      </c>
      <c r="E329" t="s">
        <v>31</v>
      </c>
      <c r="F329" s="2">
        <v>0.31597222222222199</v>
      </c>
      <c r="G329" s="2">
        <v>0.38819444444444401</v>
      </c>
      <c r="H329">
        <v>104</v>
      </c>
      <c r="I329" s="3">
        <v>0.3125</v>
      </c>
      <c r="J329" s="2">
        <v>0.375</v>
      </c>
      <c r="K329">
        <v>90</v>
      </c>
      <c r="L329" s="2">
        <v>0.31597222222222199</v>
      </c>
      <c r="M329" s="2">
        <v>0.38263888888888897</v>
      </c>
      <c r="N329">
        <v>96</v>
      </c>
      <c r="O329" s="2">
        <v>0.34513888888888899</v>
      </c>
      <c r="P329" s="2">
        <v>0.37361111111111101</v>
      </c>
      <c r="Q329" s="2">
        <v>0.38263888888888897</v>
      </c>
      <c r="R329">
        <v>96</v>
      </c>
      <c r="S329">
        <v>41</v>
      </c>
      <c r="T329" s="2">
        <v>0.38333333333333303</v>
      </c>
      <c r="U329" s="2">
        <v>0.39583333333333298</v>
      </c>
      <c r="V329">
        <v>18</v>
      </c>
    </row>
    <row r="330" spans="1:25" ht="15" customHeight="1" x14ac:dyDescent="0.2">
      <c r="A330" s="1">
        <v>46247</v>
      </c>
      <c r="B330" t="s">
        <v>42</v>
      </c>
      <c r="C330" t="s">
        <v>43</v>
      </c>
      <c r="D330" t="s">
        <v>28</v>
      </c>
      <c r="E330" t="s">
        <v>31</v>
      </c>
      <c r="F330" s="2">
        <v>0.32500000000000001</v>
      </c>
      <c r="G330" s="2">
        <v>0.36249999999999999</v>
      </c>
      <c r="H330">
        <v>54</v>
      </c>
      <c r="I330" s="3">
        <v>0.3125</v>
      </c>
      <c r="J330" s="2">
        <v>0.35416666666666702</v>
      </c>
      <c r="K330">
        <v>60</v>
      </c>
      <c r="L330" s="2">
        <v>0.32500000000000001</v>
      </c>
      <c r="M330" s="2">
        <v>0.35694444444444401</v>
      </c>
      <c r="N330">
        <v>46</v>
      </c>
      <c r="O330" s="2">
        <v>0.34375</v>
      </c>
      <c r="P330" s="2">
        <v>0.35208333333333303</v>
      </c>
      <c r="Q330" s="2">
        <v>0.35694444444444401</v>
      </c>
      <c r="R330">
        <v>46</v>
      </c>
      <c r="S330">
        <v>12</v>
      </c>
      <c r="T330" s="2">
        <v>0.35763888888888901</v>
      </c>
      <c r="U330" s="2">
        <v>0.40972222222222199</v>
      </c>
      <c r="V330">
        <v>75</v>
      </c>
      <c r="W330" s="2">
        <v>0.40972222222222199</v>
      </c>
      <c r="X330" s="2">
        <v>0.43333333333333302</v>
      </c>
      <c r="Y330">
        <v>34</v>
      </c>
    </row>
    <row r="331" spans="1:25" ht="15" customHeight="1" x14ac:dyDescent="0.2">
      <c r="A331" s="1">
        <v>46247</v>
      </c>
      <c r="B331" t="s">
        <v>42</v>
      </c>
      <c r="C331" t="s">
        <v>43</v>
      </c>
      <c r="D331" t="s">
        <v>34</v>
      </c>
      <c r="E331" t="s">
        <v>31</v>
      </c>
      <c r="F331" s="2">
        <v>0.31111111111111101</v>
      </c>
      <c r="G331" s="2">
        <v>0.42569444444444399</v>
      </c>
      <c r="H331">
        <v>165</v>
      </c>
      <c r="I331" s="3">
        <v>0.3125</v>
      </c>
      <c r="J331" s="2">
        <v>0.42708333333333298</v>
      </c>
      <c r="K331">
        <v>165</v>
      </c>
      <c r="L331" s="2">
        <v>0.31111111111111101</v>
      </c>
      <c r="M331" s="2">
        <v>0.41805555555555601</v>
      </c>
      <c r="N331">
        <v>154</v>
      </c>
      <c r="O331" s="2">
        <v>0.328472222222222</v>
      </c>
      <c r="P331" s="2">
        <v>0.41597222222222202</v>
      </c>
      <c r="Q331" s="2">
        <v>0.41805555555555601</v>
      </c>
      <c r="R331">
        <v>154</v>
      </c>
      <c r="S331">
        <v>126</v>
      </c>
      <c r="T331" s="2">
        <v>0.41892361111111098</v>
      </c>
      <c r="U331" s="2">
        <v>0.45833333333333298</v>
      </c>
      <c r="V331">
        <v>57</v>
      </c>
    </row>
    <row r="332" spans="1:25" ht="15" customHeight="1" x14ac:dyDescent="0.2">
      <c r="A332" s="1">
        <v>46247</v>
      </c>
      <c r="B332" t="s">
        <v>42</v>
      </c>
      <c r="C332" t="s">
        <v>43</v>
      </c>
      <c r="D332" t="s">
        <v>28</v>
      </c>
      <c r="E332" t="s">
        <v>29</v>
      </c>
      <c r="F332" s="2">
        <v>0.485416666666667</v>
      </c>
      <c r="G332" s="2">
        <v>0.53749999999999998</v>
      </c>
      <c r="H332">
        <v>75</v>
      </c>
      <c r="I332" s="3">
        <v>0.4375</v>
      </c>
      <c r="J332" s="2">
        <v>0.47916666666666702</v>
      </c>
      <c r="K332">
        <v>60</v>
      </c>
      <c r="L332" s="2">
        <v>0.485416666666667</v>
      </c>
      <c r="M332" s="2">
        <v>0.53333333333333299</v>
      </c>
      <c r="N332">
        <v>69</v>
      </c>
      <c r="O332" s="2">
        <v>0.51041666666666696</v>
      </c>
      <c r="P332" s="2">
        <v>0.52777777777777801</v>
      </c>
      <c r="Q332" s="2">
        <v>0.53333333333333299</v>
      </c>
      <c r="R332">
        <v>69</v>
      </c>
      <c r="S332">
        <v>25</v>
      </c>
      <c r="T332" s="2">
        <v>0.53444444444444394</v>
      </c>
      <c r="U332" s="2">
        <v>0.56597222222222199</v>
      </c>
      <c r="V332">
        <v>46</v>
      </c>
      <c r="W332" s="2">
        <v>0.56666666666666698</v>
      </c>
      <c r="X332" s="2">
        <v>0.57304398148148195</v>
      </c>
      <c r="Y332">
        <v>9</v>
      </c>
    </row>
    <row r="333" spans="1:25" ht="15" customHeight="1" x14ac:dyDescent="0.2">
      <c r="A333" s="1">
        <v>46247</v>
      </c>
      <c r="B333" t="s">
        <v>42</v>
      </c>
      <c r="C333" t="s">
        <v>43</v>
      </c>
      <c r="D333" t="s">
        <v>34</v>
      </c>
      <c r="E333" t="s">
        <v>31</v>
      </c>
      <c r="F333" s="2">
        <v>0.44791666666666702</v>
      </c>
      <c r="G333" s="2">
        <v>0.53819444444444398</v>
      </c>
      <c r="H333">
        <v>130</v>
      </c>
      <c r="I333" s="3">
        <v>0.44791666666666702</v>
      </c>
      <c r="J333" s="2">
        <v>0.5625</v>
      </c>
      <c r="K333">
        <v>165</v>
      </c>
      <c r="L333" s="2">
        <v>0.44791666666666702</v>
      </c>
      <c r="M333" s="2">
        <v>0.53472222222222199</v>
      </c>
      <c r="N333">
        <v>125</v>
      </c>
      <c r="O333" s="2">
        <v>0.46319444444444402</v>
      </c>
      <c r="P333" s="2">
        <v>0.531944444444444</v>
      </c>
      <c r="Q333" s="2">
        <v>0.53472222222222199</v>
      </c>
      <c r="R333">
        <v>125</v>
      </c>
      <c r="S333">
        <v>99</v>
      </c>
      <c r="T333" s="2">
        <v>0.53620370370370396</v>
      </c>
      <c r="U333" s="2">
        <v>0.55902777777777801</v>
      </c>
      <c r="V333">
        <v>33</v>
      </c>
    </row>
    <row r="334" spans="1:25" ht="15" customHeight="1" x14ac:dyDescent="0.2">
      <c r="A334" s="1">
        <v>46247</v>
      </c>
      <c r="B334" t="s">
        <v>42</v>
      </c>
      <c r="C334" t="s">
        <v>43</v>
      </c>
      <c r="D334" t="s">
        <v>28</v>
      </c>
      <c r="E334" t="s">
        <v>31</v>
      </c>
      <c r="F334" s="2">
        <v>0.40763888888888899</v>
      </c>
      <c r="G334" s="2">
        <v>0.46597222222222201</v>
      </c>
      <c r="H334">
        <v>84</v>
      </c>
      <c r="I334" s="3">
        <v>0.39583333333333298</v>
      </c>
      <c r="J334" s="2">
        <v>0.4375</v>
      </c>
      <c r="K334">
        <v>60</v>
      </c>
      <c r="L334" s="2">
        <v>0.40763888888888899</v>
      </c>
      <c r="M334" s="2">
        <v>0.45972222222222198</v>
      </c>
      <c r="N334">
        <v>75</v>
      </c>
      <c r="O334" s="2">
        <v>0.42916666666666697</v>
      </c>
      <c r="P334" s="2">
        <v>0.453472222222222</v>
      </c>
      <c r="Q334" s="2">
        <v>0.45972222222222198</v>
      </c>
      <c r="R334">
        <v>75</v>
      </c>
      <c r="S334">
        <v>35</v>
      </c>
      <c r="T334" s="2">
        <v>0.46180555555555602</v>
      </c>
      <c r="U334" s="2">
        <v>0.48611111111111099</v>
      </c>
      <c r="V334">
        <v>35</v>
      </c>
    </row>
    <row r="335" spans="1:25" ht="15" customHeight="1" x14ac:dyDescent="0.2">
      <c r="A335" s="1">
        <v>46247</v>
      </c>
      <c r="B335" t="s">
        <v>42</v>
      </c>
      <c r="C335" t="s">
        <v>43</v>
      </c>
      <c r="D335" t="s">
        <v>28</v>
      </c>
      <c r="E335" t="s">
        <v>31</v>
      </c>
      <c r="F335" s="2">
        <v>0.58194444444444404</v>
      </c>
      <c r="G335" s="2">
        <v>0.63958333333333295</v>
      </c>
      <c r="H335">
        <v>83</v>
      </c>
      <c r="I335" s="3">
        <v>0.52083333333333304</v>
      </c>
      <c r="J335" s="2">
        <v>0.57291666666666696</v>
      </c>
      <c r="K335">
        <v>75</v>
      </c>
      <c r="L335" s="2">
        <v>0.58194444444444404</v>
      </c>
      <c r="M335" s="2">
        <v>0.63680555555555596</v>
      </c>
      <c r="N335">
        <v>79</v>
      </c>
      <c r="O335" s="2">
        <v>0.60555555555555596</v>
      </c>
      <c r="P335" s="2">
        <v>0.63472222222222197</v>
      </c>
      <c r="Q335" s="2">
        <v>0.63680555555555596</v>
      </c>
      <c r="R335">
        <v>79</v>
      </c>
      <c r="S335">
        <v>42</v>
      </c>
      <c r="T335" s="2">
        <v>0.63908564814814794</v>
      </c>
      <c r="U335" s="2">
        <v>0.69861111111111096</v>
      </c>
      <c r="V335">
        <v>86</v>
      </c>
      <c r="W335" s="2">
        <v>0.69930555555555596</v>
      </c>
      <c r="X335" s="2">
        <v>0.71319444444444402</v>
      </c>
      <c r="Y335">
        <v>20</v>
      </c>
    </row>
    <row r="336" spans="1:25" ht="15" customHeight="1" x14ac:dyDescent="0.2">
      <c r="A336" s="1">
        <v>46247</v>
      </c>
      <c r="B336" t="s">
        <v>42</v>
      </c>
      <c r="C336" t="s">
        <v>43</v>
      </c>
      <c r="D336" t="s">
        <v>34</v>
      </c>
      <c r="E336" t="s">
        <v>29</v>
      </c>
      <c r="F336" s="2">
        <v>0.40486111111111101</v>
      </c>
      <c r="G336" s="2">
        <v>0.45624999999999999</v>
      </c>
      <c r="H336">
        <v>74</v>
      </c>
      <c r="I336" s="3">
        <v>0.44791666666666702</v>
      </c>
      <c r="J336" s="2">
        <v>0.48958333333333298</v>
      </c>
      <c r="K336">
        <v>60</v>
      </c>
      <c r="L336" s="2">
        <v>0.40486111111111101</v>
      </c>
      <c r="M336" s="2">
        <v>0.452777777777778</v>
      </c>
      <c r="N336">
        <v>69</v>
      </c>
      <c r="O336" s="2">
        <v>0.42013888888888901</v>
      </c>
      <c r="P336" s="2">
        <v>0.44722222222222202</v>
      </c>
      <c r="Q336" s="2">
        <v>0.452777777777778</v>
      </c>
      <c r="R336">
        <v>69</v>
      </c>
      <c r="S336">
        <v>39</v>
      </c>
      <c r="T336" s="2">
        <v>0.45555555555555599</v>
      </c>
      <c r="U336" s="2">
        <v>0.46875</v>
      </c>
      <c r="V336">
        <v>19</v>
      </c>
    </row>
    <row r="337" spans="1:25" ht="15" customHeight="1" x14ac:dyDescent="0.2">
      <c r="A337" s="1">
        <v>46247</v>
      </c>
      <c r="B337" t="s">
        <v>42</v>
      </c>
      <c r="C337" t="s">
        <v>43</v>
      </c>
      <c r="D337" t="s">
        <v>28</v>
      </c>
      <c r="E337" t="s">
        <v>29</v>
      </c>
      <c r="F337" s="2">
        <v>0.31111111111111101</v>
      </c>
      <c r="G337" s="2">
        <v>0.37708333333333299</v>
      </c>
      <c r="H337">
        <v>95</v>
      </c>
      <c r="I337" s="3">
        <v>0.3125</v>
      </c>
      <c r="J337" s="2">
        <v>0.375</v>
      </c>
      <c r="K337">
        <v>90</v>
      </c>
      <c r="L337" s="2">
        <v>0.31111111111111101</v>
      </c>
      <c r="M337" s="2">
        <v>0.37222222222222201</v>
      </c>
      <c r="N337">
        <v>88</v>
      </c>
      <c r="O337" s="2">
        <v>0.32569444444444401</v>
      </c>
      <c r="P337" s="2">
        <v>0.36805555555555602</v>
      </c>
      <c r="Q337" s="2">
        <v>0.37222222222222201</v>
      </c>
      <c r="R337">
        <v>88</v>
      </c>
      <c r="S337">
        <v>61</v>
      </c>
      <c r="T337" s="2">
        <v>0.37344907407407402</v>
      </c>
      <c r="U337" s="2">
        <v>0.45763888888888898</v>
      </c>
      <c r="V337">
        <v>122</v>
      </c>
      <c r="W337" s="2">
        <v>0.45833333333333298</v>
      </c>
      <c r="X337" s="2">
        <v>0.5</v>
      </c>
      <c r="Y337">
        <v>60</v>
      </c>
    </row>
    <row r="338" spans="1:25" ht="15" customHeight="1" x14ac:dyDescent="0.2">
      <c r="A338" s="1">
        <v>46247</v>
      </c>
      <c r="B338" t="s">
        <v>42</v>
      </c>
      <c r="C338" t="s">
        <v>43</v>
      </c>
      <c r="D338" t="s">
        <v>34</v>
      </c>
      <c r="E338" t="s">
        <v>29</v>
      </c>
      <c r="F338" s="2">
        <v>0.57777777777777795</v>
      </c>
      <c r="G338" s="2">
        <v>0.67013888888888895</v>
      </c>
      <c r="H338">
        <v>133</v>
      </c>
      <c r="I338" s="3">
        <v>0.58333333333333304</v>
      </c>
      <c r="J338" s="2">
        <v>0.69791666666666696</v>
      </c>
      <c r="K338">
        <v>165</v>
      </c>
      <c r="L338" s="2">
        <v>0.57777777777777795</v>
      </c>
      <c r="M338" s="2">
        <v>0.66666666666666696</v>
      </c>
      <c r="N338">
        <v>128</v>
      </c>
      <c r="O338" s="2">
        <v>0.593055555555556</v>
      </c>
      <c r="P338" s="2">
        <v>0.66388888888888897</v>
      </c>
      <c r="Q338" s="2">
        <v>0.66666666666666696</v>
      </c>
      <c r="R338">
        <v>128</v>
      </c>
      <c r="S338">
        <v>102</v>
      </c>
      <c r="T338" s="2">
        <v>0.66666666666666696</v>
      </c>
      <c r="U338" s="2">
        <v>0.71875</v>
      </c>
      <c r="V338">
        <v>75</v>
      </c>
    </row>
    <row r="339" spans="1:25" ht="15" customHeight="1" x14ac:dyDescent="0.2">
      <c r="A339" s="1">
        <v>46247</v>
      </c>
      <c r="B339" t="s">
        <v>26</v>
      </c>
      <c r="C339" t="s">
        <v>27</v>
      </c>
      <c r="D339" t="s">
        <v>28</v>
      </c>
      <c r="E339" t="s">
        <v>31</v>
      </c>
      <c r="F339" s="2">
        <v>0.46875</v>
      </c>
      <c r="G339" s="2">
        <v>0.58472222222222203</v>
      </c>
      <c r="H339">
        <v>167</v>
      </c>
      <c r="I339" s="3">
        <v>0.4375</v>
      </c>
      <c r="J339" s="2">
        <v>0.5625</v>
      </c>
      <c r="K339">
        <v>180</v>
      </c>
      <c r="L339" s="2">
        <v>0.46875</v>
      </c>
      <c r="M339" s="2">
        <v>0.57986111111111105</v>
      </c>
      <c r="N339">
        <v>160</v>
      </c>
      <c r="O339" s="2">
        <v>0.49097222222222198</v>
      </c>
      <c r="P339" s="2">
        <v>0.57708333333333295</v>
      </c>
      <c r="Q339" s="2">
        <v>0.57986111111111105</v>
      </c>
      <c r="R339">
        <v>160</v>
      </c>
      <c r="S339">
        <v>124</v>
      </c>
      <c r="T339" s="2">
        <v>0.58069444444444396</v>
      </c>
      <c r="U339" s="2">
        <v>0.63541666666666696</v>
      </c>
      <c r="V339">
        <v>79</v>
      </c>
    </row>
    <row r="340" spans="1:25" ht="15" customHeight="1" x14ac:dyDescent="0.2">
      <c r="A340" s="1">
        <v>46247</v>
      </c>
      <c r="B340" t="s">
        <v>26</v>
      </c>
      <c r="C340" t="s">
        <v>27</v>
      </c>
      <c r="D340" t="s">
        <v>28</v>
      </c>
      <c r="E340" t="s">
        <v>29</v>
      </c>
      <c r="F340" s="2">
        <v>0.48611111111111099</v>
      </c>
      <c r="G340" s="2">
        <v>0.54374999999999996</v>
      </c>
      <c r="H340">
        <v>83</v>
      </c>
      <c r="I340" s="3">
        <v>0.47222222222222199</v>
      </c>
      <c r="J340" s="2">
        <v>0.55555555555555602</v>
      </c>
      <c r="K340">
        <v>120</v>
      </c>
      <c r="L340" s="2">
        <v>0.48611111111111099</v>
      </c>
      <c r="M340" s="2">
        <v>0.53749999999999998</v>
      </c>
      <c r="N340">
        <v>74</v>
      </c>
      <c r="O340" s="2">
        <v>0.51041666666666696</v>
      </c>
      <c r="P340" s="2">
        <v>0.53333333333333299</v>
      </c>
      <c r="Q340" s="2">
        <v>0.53749999999999998</v>
      </c>
      <c r="R340">
        <v>74</v>
      </c>
      <c r="S340">
        <v>33</v>
      </c>
      <c r="T340" s="2">
        <v>0.53958333333333297</v>
      </c>
      <c r="U340" s="2">
        <v>0.58263888888888904</v>
      </c>
      <c r="V340">
        <v>62</v>
      </c>
    </row>
    <row r="341" spans="1:25" ht="15" customHeight="1" x14ac:dyDescent="0.2">
      <c r="A341" s="1">
        <v>46247</v>
      </c>
      <c r="B341" t="s">
        <v>42</v>
      </c>
      <c r="C341" t="s">
        <v>43</v>
      </c>
      <c r="D341" t="s">
        <v>28</v>
      </c>
      <c r="E341" t="s">
        <v>35</v>
      </c>
      <c r="F341" s="2">
        <v>0.38472222222222202</v>
      </c>
      <c r="G341" s="2">
        <v>0.46111111111111103</v>
      </c>
      <c r="H341">
        <v>110</v>
      </c>
      <c r="I341" s="3">
        <v>0.375</v>
      </c>
      <c r="J341" s="2">
        <v>0.41666666666666702</v>
      </c>
      <c r="K341">
        <v>60</v>
      </c>
      <c r="L341" s="2">
        <v>0.38472222222222202</v>
      </c>
      <c r="M341" s="2">
        <v>0.45624999999999999</v>
      </c>
      <c r="N341">
        <v>103</v>
      </c>
      <c r="O341" s="2">
        <v>0.4</v>
      </c>
      <c r="P341" s="2">
        <v>0.44861111111111102</v>
      </c>
      <c r="Q341" s="2">
        <v>0.45624999999999999</v>
      </c>
      <c r="R341">
        <v>103</v>
      </c>
      <c r="S341">
        <v>70</v>
      </c>
      <c r="T341" s="2">
        <v>0.45833333333333298</v>
      </c>
      <c r="U341" s="2">
        <v>0.49027777777777798</v>
      </c>
      <c r="V341">
        <v>46</v>
      </c>
      <c r="W341" s="2">
        <v>0.49027777777777798</v>
      </c>
      <c r="X341" s="2">
        <v>0.51458333333333295</v>
      </c>
      <c r="Y341">
        <v>35</v>
      </c>
    </row>
    <row r="342" spans="1:25" ht="15" customHeight="1" x14ac:dyDescent="0.2">
      <c r="A342" s="1">
        <v>46247</v>
      </c>
      <c r="B342" t="s">
        <v>42</v>
      </c>
      <c r="C342" t="s">
        <v>43</v>
      </c>
      <c r="D342" t="s">
        <v>28</v>
      </c>
      <c r="E342" t="s">
        <v>29</v>
      </c>
      <c r="F342" s="2">
        <v>0.313194444444444</v>
      </c>
      <c r="G342" s="2">
        <v>0.37152777777777801</v>
      </c>
      <c r="H342">
        <v>84</v>
      </c>
      <c r="I342" s="3">
        <v>0.3125</v>
      </c>
      <c r="J342" s="2">
        <v>0.375</v>
      </c>
      <c r="K342">
        <v>90</v>
      </c>
      <c r="L342" s="2">
        <v>0.313194444444444</v>
      </c>
      <c r="M342" s="2">
        <v>0.36805555555555602</v>
      </c>
      <c r="N342">
        <v>79</v>
      </c>
      <c r="O342" s="2">
        <v>0.33819444444444402</v>
      </c>
      <c r="P342" s="2">
        <v>0.36458333333333298</v>
      </c>
      <c r="Q342" s="2">
        <v>0.36805555555555602</v>
      </c>
      <c r="R342">
        <v>79</v>
      </c>
      <c r="S342">
        <v>38</v>
      </c>
      <c r="T342" s="2">
        <v>0.36944444444444402</v>
      </c>
      <c r="U342" s="2">
        <v>0.38611111111111102</v>
      </c>
      <c r="V342">
        <v>24</v>
      </c>
    </row>
    <row r="343" spans="1:25" ht="15" customHeight="1" x14ac:dyDescent="0.2">
      <c r="A343" s="1">
        <v>46247</v>
      </c>
      <c r="B343" t="s">
        <v>42</v>
      </c>
      <c r="C343" t="s">
        <v>43</v>
      </c>
      <c r="D343" t="s">
        <v>28</v>
      </c>
      <c r="E343" t="s">
        <v>29</v>
      </c>
      <c r="F343" s="2">
        <v>0.56041666666666701</v>
      </c>
      <c r="G343" s="2">
        <v>0.594444444444444</v>
      </c>
      <c r="H343">
        <v>49</v>
      </c>
      <c r="I343" s="3">
        <v>0.52083333333333304</v>
      </c>
      <c r="J343" s="2">
        <v>0.54166666666666696</v>
      </c>
      <c r="K343">
        <v>30</v>
      </c>
      <c r="L343" s="2">
        <v>0.56041666666666701</v>
      </c>
      <c r="M343" s="2">
        <v>0.59166666666666701</v>
      </c>
      <c r="N343">
        <v>45</v>
      </c>
      <c r="O343" s="2">
        <v>0.57916666666666705</v>
      </c>
      <c r="P343" s="2">
        <v>0.58680555555555602</v>
      </c>
      <c r="Q343" s="2">
        <v>0.59166666666666701</v>
      </c>
      <c r="R343">
        <v>45</v>
      </c>
      <c r="S343">
        <v>11</v>
      </c>
      <c r="T343" s="2">
        <v>0.59216435185185201</v>
      </c>
      <c r="U343" s="2">
        <v>0.61527777777777803</v>
      </c>
      <c r="V343">
        <v>34</v>
      </c>
      <c r="W343" s="2">
        <v>0.61527777777777803</v>
      </c>
      <c r="X343" s="2">
        <v>0.63541666666666696</v>
      </c>
      <c r="Y343">
        <v>29</v>
      </c>
    </row>
    <row r="344" spans="1:25" ht="15" customHeight="1" x14ac:dyDescent="0.2">
      <c r="A344" s="1">
        <v>46247</v>
      </c>
      <c r="B344" t="s">
        <v>42</v>
      </c>
      <c r="C344" t="s">
        <v>43</v>
      </c>
      <c r="D344" t="s">
        <v>28</v>
      </c>
      <c r="E344" t="s">
        <v>31</v>
      </c>
      <c r="F344" s="2">
        <v>0.3125</v>
      </c>
      <c r="G344" s="2">
        <v>0.43333333333333302</v>
      </c>
      <c r="H344">
        <v>174</v>
      </c>
      <c r="I344" s="3">
        <v>0.3125</v>
      </c>
      <c r="J344" s="2">
        <v>0.41666666666666702</v>
      </c>
      <c r="K344">
        <v>150</v>
      </c>
      <c r="L344" s="2">
        <v>0.3125</v>
      </c>
      <c r="M344" s="2">
        <v>0.42847222222222198</v>
      </c>
      <c r="N344">
        <v>167</v>
      </c>
      <c r="O344" s="2">
        <v>0.33194444444444399</v>
      </c>
      <c r="P344" s="2">
        <v>0.42638888888888898</v>
      </c>
      <c r="Q344" s="2">
        <v>0.42847222222222198</v>
      </c>
      <c r="R344">
        <v>167</v>
      </c>
      <c r="S344">
        <v>136</v>
      </c>
      <c r="T344" s="2">
        <v>0.42906250000000001</v>
      </c>
      <c r="U344" s="2">
        <v>0.45555555555555599</v>
      </c>
      <c r="V344">
        <v>39</v>
      </c>
    </row>
    <row r="345" spans="1:25" ht="15" customHeight="1" x14ac:dyDescent="0.2">
      <c r="A345" s="1">
        <v>46247</v>
      </c>
      <c r="B345" t="s">
        <v>42</v>
      </c>
      <c r="C345" t="s">
        <v>43</v>
      </c>
      <c r="D345" t="s">
        <v>28</v>
      </c>
      <c r="E345" t="s">
        <v>31</v>
      </c>
      <c r="F345" s="2">
        <v>0.61180555555555605</v>
      </c>
      <c r="G345" s="2">
        <v>0.66805555555555596</v>
      </c>
      <c r="H345">
        <v>81</v>
      </c>
      <c r="I345" s="3">
        <v>0.58333333333333304</v>
      </c>
      <c r="J345" s="2">
        <v>0.625</v>
      </c>
      <c r="K345">
        <v>60</v>
      </c>
      <c r="L345" s="2">
        <v>0.61180555555555605</v>
      </c>
      <c r="M345" s="2">
        <v>0.66319444444444398</v>
      </c>
      <c r="N345">
        <v>74</v>
      </c>
      <c r="O345" s="2">
        <v>0.64166666666666705</v>
      </c>
      <c r="P345" s="2">
        <v>0.65902777777777799</v>
      </c>
      <c r="Q345" s="2">
        <v>0.66319444444444398</v>
      </c>
      <c r="R345">
        <v>74</v>
      </c>
      <c r="S345">
        <v>25</v>
      </c>
      <c r="T345" s="2">
        <v>0.66527777777777797</v>
      </c>
      <c r="U345" s="2">
        <v>0.73263888888888895</v>
      </c>
      <c r="V345">
        <v>97</v>
      </c>
      <c r="W345" s="2">
        <v>0.73263888888888895</v>
      </c>
      <c r="X345" s="2">
        <v>0.76041666666666696</v>
      </c>
      <c r="Y345">
        <v>40</v>
      </c>
    </row>
    <row r="346" spans="1:25" ht="15" customHeight="1" x14ac:dyDescent="0.2">
      <c r="A346" s="1">
        <v>46247</v>
      </c>
      <c r="B346" t="s">
        <v>42</v>
      </c>
      <c r="C346" t="s">
        <v>43</v>
      </c>
      <c r="D346" t="s">
        <v>28</v>
      </c>
      <c r="E346" t="s">
        <v>31</v>
      </c>
      <c r="F346" s="2">
        <v>0.39791666666666697</v>
      </c>
      <c r="G346" s="2">
        <v>0.44236111111111098</v>
      </c>
      <c r="H346">
        <v>64</v>
      </c>
      <c r="I346" s="3">
        <v>0.39583333333333298</v>
      </c>
      <c r="J346" s="2">
        <v>0.4375</v>
      </c>
      <c r="K346">
        <v>60</v>
      </c>
      <c r="L346" s="2">
        <v>0.39791666666666697</v>
      </c>
      <c r="M346" s="2">
        <v>0.43611111111111101</v>
      </c>
      <c r="N346">
        <v>55</v>
      </c>
      <c r="O346" s="2">
        <v>0.40763888888888899</v>
      </c>
      <c r="P346" s="2">
        <v>0.43263888888888902</v>
      </c>
      <c r="Q346" s="2">
        <v>0.43611111111111101</v>
      </c>
      <c r="R346">
        <v>55</v>
      </c>
      <c r="S346">
        <v>36</v>
      </c>
      <c r="T346" s="2">
        <v>0.43888888888888899</v>
      </c>
      <c r="U346" s="2">
        <v>0.48194444444444401</v>
      </c>
      <c r="V346">
        <v>62</v>
      </c>
      <c r="W346" s="2">
        <v>0.48263888888888901</v>
      </c>
      <c r="X346" s="2">
        <v>0.6</v>
      </c>
      <c r="Y346">
        <v>169</v>
      </c>
    </row>
    <row r="347" spans="1:25" ht="15" customHeight="1" x14ac:dyDescent="0.2">
      <c r="A347" s="1">
        <v>46247</v>
      </c>
      <c r="B347" t="s">
        <v>42</v>
      </c>
      <c r="C347" t="s">
        <v>43</v>
      </c>
      <c r="D347" t="s">
        <v>28</v>
      </c>
      <c r="E347" t="s">
        <v>31</v>
      </c>
      <c r="F347" s="2">
        <v>0.58402777777777803</v>
      </c>
      <c r="G347" s="2">
        <v>0.64305555555555605</v>
      </c>
      <c r="H347">
        <v>85</v>
      </c>
      <c r="I347" s="3">
        <v>0.56944444444444398</v>
      </c>
      <c r="J347" s="2">
        <v>0.65277777777777801</v>
      </c>
      <c r="K347">
        <v>120</v>
      </c>
      <c r="L347" s="2">
        <v>0.58402777777777803</v>
      </c>
      <c r="M347" s="2">
        <v>0.63749999999999996</v>
      </c>
      <c r="N347">
        <v>77</v>
      </c>
      <c r="O347" s="2">
        <v>0.60347222222222197</v>
      </c>
      <c r="P347" s="2">
        <v>0.62777777777777799</v>
      </c>
      <c r="Q347" s="2">
        <v>0.63749999999999996</v>
      </c>
      <c r="R347">
        <v>77</v>
      </c>
      <c r="S347">
        <v>35</v>
      </c>
      <c r="T347" s="2">
        <v>0.63888888888888895</v>
      </c>
      <c r="U347" s="2">
        <v>0.68958333333333299</v>
      </c>
      <c r="V347">
        <v>73</v>
      </c>
    </row>
    <row r="348" spans="1:25" ht="15" customHeight="1" x14ac:dyDescent="0.2">
      <c r="A348" s="1">
        <v>46247</v>
      </c>
      <c r="B348" t="s">
        <v>42</v>
      </c>
      <c r="C348" t="s">
        <v>43</v>
      </c>
      <c r="D348" t="s">
        <v>28</v>
      </c>
      <c r="E348" t="s">
        <v>31</v>
      </c>
      <c r="F348" s="2">
        <v>0.31527777777777799</v>
      </c>
      <c r="G348" s="2">
        <v>0.39722222222222198</v>
      </c>
      <c r="H348">
        <v>118</v>
      </c>
      <c r="I348" s="3">
        <v>0.3125</v>
      </c>
      <c r="J348" s="2">
        <v>0.375</v>
      </c>
      <c r="K348">
        <v>90</v>
      </c>
      <c r="L348" s="2">
        <v>0.31527777777777799</v>
      </c>
      <c r="M348" s="2">
        <v>0.391666666666667</v>
      </c>
      <c r="N348">
        <v>110</v>
      </c>
      <c r="O348" s="2">
        <v>0.33402777777777798</v>
      </c>
      <c r="P348" s="2">
        <v>0.38680555555555601</v>
      </c>
      <c r="Q348" s="2">
        <v>0.391666666666667</v>
      </c>
      <c r="R348">
        <v>110</v>
      </c>
      <c r="S348">
        <v>76</v>
      </c>
      <c r="T348" s="2">
        <v>0.39557870370370402</v>
      </c>
      <c r="U348" s="2">
        <v>0.45833333333333298</v>
      </c>
      <c r="V348">
        <v>91</v>
      </c>
      <c r="W348" s="2">
        <v>0.45833333333333298</v>
      </c>
      <c r="X348" s="2">
        <v>0.47569444444444398</v>
      </c>
      <c r="Y348">
        <v>25</v>
      </c>
    </row>
    <row r="349" spans="1:25" ht="15" customHeight="1" x14ac:dyDescent="0.2">
      <c r="A349" s="1">
        <v>46247</v>
      </c>
      <c r="B349" t="s">
        <v>42</v>
      </c>
      <c r="C349" t="s">
        <v>43</v>
      </c>
      <c r="D349" t="s">
        <v>28</v>
      </c>
      <c r="E349" t="s">
        <v>31</v>
      </c>
      <c r="F349" s="2">
        <v>0.46250000000000002</v>
      </c>
      <c r="G349" s="2">
        <v>0.51805555555555605</v>
      </c>
      <c r="H349">
        <v>80</v>
      </c>
      <c r="I349" s="3">
        <v>0.45833333333333298</v>
      </c>
      <c r="J349" s="2">
        <v>0.52083333333333304</v>
      </c>
      <c r="K349">
        <v>90</v>
      </c>
      <c r="L349" s="2">
        <v>0.46250000000000002</v>
      </c>
      <c r="M349" s="2">
        <v>0.51180555555555596</v>
      </c>
      <c r="N349">
        <v>71</v>
      </c>
      <c r="O349" s="2">
        <v>0.47569444444444398</v>
      </c>
      <c r="P349" s="2">
        <v>0.50902777777777797</v>
      </c>
      <c r="Q349" s="2">
        <v>0.51180555555555596</v>
      </c>
      <c r="R349">
        <v>71</v>
      </c>
      <c r="S349">
        <v>48</v>
      </c>
      <c r="T349" s="2">
        <v>0.51319444444444395</v>
      </c>
      <c r="U349" s="2">
        <v>0.531944444444444</v>
      </c>
      <c r="V349">
        <v>27</v>
      </c>
      <c r="W349" s="2">
        <v>0.531944444444444</v>
      </c>
      <c r="X349" s="2">
        <v>0.55277777777777803</v>
      </c>
      <c r="Y349">
        <v>30</v>
      </c>
    </row>
    <row r="350" spans="1:25" ht="15" customHeight="1" x14ac:dyDescent="0.2">
      <c r="A350" s="1">
        <v>46247</v>
      </c>
      <c r="B350" t="s">
        <v>42</v>
      </c>
      <c r="C350" t="s">
        <v>43</v>
      </c>
      <c r="D350" t="s">
        <v>28</v>
      </c>
      <c r="E350" t="s">
        <v>31</v>
      </c>
      <c r="F350" s="2">
        <v>0.30902777777777801</v>
      </c>
      <c r="G350" s="2">
        <v>0.40347222222222201</v>
      </c>
      <c r="H350">
        <v>136</v>
      </c>
      <c r="I350" s="3">
        <v>0.3125</v>
      </c>
      <c r="J350" s="2">
        <v>0.39583333333333298</v>
      </c>
      <c r="K350">
        <v>120</v>
      </c>
      <c r="L350" s="2">
        <v>0.30902777777777801</v>
      </c>
      <c r="M350" s="2">
        <v>0.4</v>
      </c>
      <c r="N350">
        <v>131</v>
      </c>
      <c r="O350" s="2">
        <v>0.33124999999999999</v>
      </c>
      <c r="P350" s="2">
        <v>0.39652777777777798</v>
      </c>
      <c r="Q350" s="2">
        <v>0.4</v>
      </c>
      <c r="R350">
        <v>131</v>
      </c>
      <c r="S350">
        <v>94</v>
      </c>
      <c r="T350" s="2">
        <v>0.40335648148148101</v>
      </c>
      <c r="U350" s="2">
        <v>0.444930555555556</v>
      </c>
      <c r="V350">
        <v>60</v>
      </c>
      <c r="W350" s="2">
        <v>0.44513888888888897</v>
      </c>
      <c r="X350" s="2">
        <v>0.47222222222222199</v>
      </c>
      <c r="Y350">
        <v>39</v>
      </c>
    </row>
    <row r="351" spans="1:25" ht="15" customHeight="1" x14ac:dyDescent="0.2">
      <c r="A351" s="1">
        <v>46247</v>
      </c>
      <c r="B351" t="s">
        <v>42</v>
      </c>
      <c r="C351" t="s">
        <v>43</v>
      </c>
      <c r="D351" t="s">
        <v>28</v>
      </c>
      <c r="E351" t="s">
        <v>31</v>
      </c>
      <c r="F351" s="2">
        <v>0.43611111111111101</v>
      </c>
      <c r="G351" s="2">
        <v>0.50416666666666698</v>
      </c>
      <c r="H351">
        <v>98</v>
      </c>
      <c r="I351" s="3">
        <v>0.41666666666666702</v>
      </c>
      <c r="J351" s="2">
        <v>0.5</v>
      </c>
      <c r="K351">
        <v>120</v>
      </c>
      <c r="L351" s="2">
        <v>0.43402777777777801</v>
      </c>
      <c r="M351" s="2">
        <v>0.500694444444444</v>
      </c>
      <c r="N351">
        <v>96</v>
      </c>
      <c r="O351" s="2">
        <v>0.45138888888888901</v>
      </c>
      <c r="P351" s="2">
        <v>0.49791666666666701</v>
      </c>
      <c r="Q351" s="2">
        <v>0.500694444444444</v>
      </c>
      <c r="R351">
        <v>96</v>
      </c>
      <c r="S351">
        <v>67</v>
      </c>
      <c r="T351" s="2">
        <v>0.50347222222222199</v>
      </c>
      <c r="U351" s="2">
        <v>0.57569444444444395</v>
      </c>
      <c r="V351">
        <v>104</v>
      </c>
      <c r="W351" s="2">
        <v>0.57638888888888895</v>
      </c>
      <c r="X351" s="2">
        <v>0.66319444444444398</v>
      </c>
      <c r="Y351">
        <v>125</v>
      </c>
    </row>
    <row r="352" spans="1:25" ht="15" customHeight="1" x14ac:dyDescent="0.2">
      <c r="A352" s="1">
        <v>46247</v>
      </c>
      <c r="B352" t="s">
        <v>42</v>
      </c>
      <c r="C352" t="s">
        <v>43</v>
      </c>
      <c r="D352" t="s">
        <v>28</v>
      </c>
      <c r="E352" t="s">
        <v>29</v>
      </c>
      <c r="F352" s="2">
        <v>0.56666666666666698</v>
      </c>
      <c r="G352" s="2">
        <v>0.65138888888888902</v>
      </c>
      <c r="H352">
        <v>122</v>
      </c>
      <c r="I352" s="3">
        <v>0.5625</v>
      </c>
      <c r="J352" s="2">
        <v>0.60416666666666696</v>
      </c>
      <c r="K352">
        <v>60</v>
      </c>
      <c r="L352" s="2">
        <v>0.56666666666666698</v>
      </c>
      <c r="M352" s="2">
        <v>0.64722222222222203</v>
      </c>
      <c r="N352">
        <v>116</v>
      </c>
      <c r="O352" s="2">
        <v>0.58611111111111103</v>
      </c>
      <c r="P352" s="2">
        <v>0.64166666666666705</v>
      </c>
      <c r="Q352" s="2">
        <v>0.64722222222222203</v>
      </c>
      <c r="R352">
        <v>116</v>
      </c>
      <c r="S352">
        <v>80</v>
      </c>
      <c r="T352" s="2">
        <v>0.650127314814815</v>
      </c>
      <c r="U352" s="2">
        <v>0.68503472222222195</v>
      </c>
      <c r="V352">
        <v>50</v>
      </c>
      <c r="W352" s="2">
        <v>0.68505787037037003</v>
      </c>
      <c r="X352" s="2">
        <v>0.71180555555555602</v>
      </c>
      <c r="Y352">
        <v>39</v>
      </c>
    </row>
    <row r="353" spans="1:25" ht="15" customHeight="1" x14ac:dyDescent="0.2">
      <c r="A353" s="1">
        <v>46247</v>
      </c>
      <c r="B353" t="s">
        <v>42</v>
      </c>
      <c r="C353" t="s">
        <v>43</v>
      </c>
      <c r="D353" t="s">
        <v>28</v>
      </c>
      <c r="E353" t="s">
        <v>31</v>
      </c>
      <c r="F353" s="2">
        <v>0.65833333333333299</v>
      </c>
      <c r="G353" s="2">
        <v>0.70902777777777803</v>
      </c>
      <c r="H353">
        <v>73</v>
      </c>
      <c r="I353" s="3">
        <v>0.66666666666666696</v>
      </c>
      <c r="J353" s="2">
        <v>0.69791666666666696</v>
      </c>
      <c r="K353">
        <v>45</v>
      </c>
      <c r="L353" s="2">
        <v>0.65833333333333299</v>
      </c>
      <c r="M353" s="2">
        <v>0.70555555555555605</v>
      </c>
      <c r="N353">
        <v>68</v>
      </c>
      <c r="O353" s="2">
        <v>0.67569444444444404</v>
      </c>
      <c r="P353" s="2">
        <v>0.70347222222222205</v>
      </c>
      <c r="Q353" s="2">
        <v>0.70555555555555605</v>
      </c>
      <c r="R353">
        <v>68</v>
      </c>
      <c r="S353">
        <v>40</v>
      </c>
      <c r="T353" s="2">
        <v>0.70990740740740699</v>
      </c>
      <c r="U353" s="2">
        <v>0.750694444444444</v>
      </c>
      <c r="V353">
        <v>59</v>
      </c>
      <c r="W353" s="2">
        <v>0.75138888888888899</v>
      </c>
      <c r="X353" s="2">
        <v>0.76319444444444395</v>
      </c>
      <c r="Y353">
        <v>17</v>
      </c>
    </row>
    <row r="354" spans="1:25" ht="15" customHeight="1" x14ac:dyDescent="0.2">
      <c r="A354" s="1">
        <v>46247</v>
      </c>
      <c r="B354" t="s">
        <v>42</v>
      </c>
      <c r="C354" t="s">
        <v>43</v>
      </c>
      <c r="D354" t="s">
        <v>28</v>
      </c>
      <c r="E354" t="s">
        <v>31</v>
      </c>
      <c r="F354" s="2">
        <v>0.31736111111111098</v>
      </c>
      <c r="G354" s="2">
        <v>0.35694444444444401</v>
      </c>
      <c r="H354">
        <v>57</v>
      </c>
      <c r="I354" s="3">
        <v>0.3125</v>
      </c>
      <c r="J354" s="2">
        <v>0.34375</v>
      </c>
      <c r="K354">
        <v>45</v>
      </c>
      <c r="L354" s="2">
        <v>0.31736111111111098</v>
      </c>
      <c r="M354" s="2">
        <v>0.35277777777777802</v>
      </c>
      <c r="N354">
        <v>51</v>
      </c>
      <c r="O354" s="2">
        <v>0.33263888888888898</v>
      </c>
      <c r="P354" s="2">
        <v>0.34513888888888899</v>
      </c>
      <c r="Q354" s="2">
        <v>0.35277777777777802</v>
      </c>
      <c r="R354">
        <v>51</v>
      </c>
      <c r="S354">
        <v>18</v>
      </c>
      <c r="T354" s="2">
        <v>0.35620370370370402</v>
      </c>
      <c r="U354" s="2">
        <v>0.42209490740740702</v>
      </c>
      <c r="V354">
        <v>95</v>
      </c>
      <c r="W354" s="2">
        <v>0.42211805555555598</v>
      </c>
      <c r="X354" s="2">
        <v>0.57804398148148195</v>
      </c>
      <c r="Y354">
        <v>225</v>
      </c>
    </row>
    <row r="355" spans="1:25" ht="15" customHeight="1" x14ac:dyDescent="0.2">
      <c r="A355" s="1">
        <v>46247</v>
      </c>
      <c r="B355" t="s">
        <v>26</v>
      </c>
      <c r="C355" t="s">
        <v>27</v>
      </c>
      <c r="D355" t="s">
        <v>28</v>
      </c>
      <c r="E355" t="s">
        <v>29</v>
      </c>
      <c r="F355" s="2">
        <v>0.55972222222222201</v>
      </c>
      <c r="G355" s="2">
        <v>0.63055555555555598</v>
      </c>
      <c r="H355">
        <v>102</v>
      </c>
      <c r="I355" s="3">
        <v>0.54166666666666696</v>
      </c>
      <c r="J355" s="2">
        <v>0.70833333333333304</v>
      </c>
      <c r="K355">
        <v>240</v>
      </c>
      <c r="L355" s="2">
        <v>0.55972222222222201</v>
      </c>
      <c r="M355" s="2">
        <v>0.624305555555556</v>
      </c>
      <c r="N355">
        <v>93</v>
      </c>
      <c r="O355" s="2">
        <v>0.59097222222222201</v>
      </c>
      <c r="P355" s="2">
        <v>0.61597222222222203</v>
      </c>
      <c r="Q355" s="2">
        <v>0.624305555555556</v>
      </c>
      <c r="R355">
        <v>93</v>
      </c>
      <c r="S355">
        <v>36</v>
      </c>
      <c r="T355" s="2">
        <v>0.625694444444444</v>
      </c>
      <c r="U355" s="2">
        <v>0.63194444444444398</v>
      </c>
      <c r="V355">
        <v>9</v>
      </c>
    </row>
    <row r="356" spans="1:25" ht="15" customHeight="1" x14ac:dyDescent="0.2">
      <c r="A356" s="1">
        <v>46247</v>
      </c>
      <c r="B356" t="s">
        <v>42</v>
      </c>
      <c r="C356" t="s">
        <v>43</v>
      </c>
      <c r="D356" t="s">
        <v>28</v>
      </c>
      <c r="E356" t="s">
        <v>31</v>
      </c>
      <c r="F356" s="2">
        <v>0.44791666666666702</v>
      </c>
      <c r="G356" s="2">
        <v>0.49166666666666697</v>
      </c>
      <c r="H356">
        <v>63</v>
      </c>
      <c r="I356" s="3">
        <v>0.39583333333333298</v>
      </c>
      <c r="J356" s="2">
        <v>0.4375</v>
      </c>
      <c r="K356">
        <v>60</v>
      </c>
      <c r="L356" s="2">
        <v>0.44791666666666702</v>
      </c>
      <c r="M356" s="2">
        <v>0.48819444444444399</v>
      </c>
      <c r="N356">
        <v>58</v>
      </c>
      <c r="O356" s="2">
        <v>0.46666666666666701</v>
      </c>
      <c r="P356" s="2">
        <v>0.485416666666667</v>
      </c>
      <c r="Q356" s="2">
        <v>0.48819444444444399</v>
      </c>
      <c r="R356">
        <v>58</v>
      </c>
      <c r="S356">
        <v>27</v>
      </c>
      <c r="T356" s="2">
        <v>0.48958333333333298</v>
      </c>
      <c r="U356" s="2">
        <v>0.51849537037036997</v>
      </c>
      <c r="V356">
        <v>41</v>
      </c>
      <c r="W356" s="2">
        <v>0.51851851851851805</v>
      </c>
      <c r="X356" s="2">
        <v>0.58260416666666703</v>
      </c>
      <c r="Y356">
        <v>92</v>
      </c>
    </row>
    <row r="357" spans="1:25" ht="15" customHeight="1" x14ac:dyDescent="0.2">
      <c r="A357" s="1">
        <v>46247</v>
      </c>
      <c r="B357" t="s">
        <v>26</v>
      </c>
      <c r="C357" t="s">
        <v>27</v>
      </c>
      <c r="D357" t="s">
        <v>34</v>
      </c>
      <c r="E357" t="s">
        <v>36</v>
      </c>
      <c r="F357" s="2">
        <v>0.27361111111111103</v>
      </c>
      <c r="G357" s="2">
        <v>0.66458333333333297</v>
      </c>
      <c r="H357">
        <v>563</v>
      </c>
      <c r="I357" s="3">
        <v>0.26041666666666702</v>
      </c>
      <c r="J357" s="2">
        <v>0.51041666666666696</v>
      </c>
      <c r="K357">
        <v>360</v>
      </c>
      <c r="L357" s="2">
        <v>0.27361111111111103</v>
      </c>
      <c r="M357" s="2">
        <v>0.65416666666666701</v>
      </c>
      <c r="N357">
        <v>548</v>
      </c>
      <c r="O357" s="2">
        <v>0.35416666666666702</v>
      </c>
      <c r="P357" s="2">
        <v>0.64166666666666705</v>
      </c>
      <c r="Q357" s="2">
        <v>0.65416666666666701</v>
      </c>
      <c r="R357">
        <v>548</v>
      </c>
      <c r="S357">
        <v>414</v>
      </c>
    </row>
    <row r="358" spans="1:25" ht="15" customHeight="1" x14ac:dyDescent="0.2">
      <c r="A358" s="1">
        <v>46247</v>
      </c>
      <c r="B358" t="s">
        <v>26</v>
      </c>
      <c r="C358" t="s">
        <v>27</v>
      </c>
      <c r="D358" t="s">
        <v>28</v>
      </c>
      <c r="E358" t="s">
        <v>29</v>
      </c>
      <c r="F358" s="2">
        <v>0.66805555555555596</v>
      </c>
      <c r="G358" s="2">
        <v>0.74166666666666703</v>
      </c>
      <c r="H358">
        <v>106</v>
      </c>
      <c r="I358" s="3">
        <v>0.66666666666666696</v>
      </c>
      <c r="J358" s="2">
        <v>0.72916666666666696</v>
      </c>
      <c r="K358">
        <v>90</v>
      </c>
      <c r="L358" s="2">
        <v>0.66805555555555596</v>
      </c>
      <c r="M358" s="2">
        <v>0.73680555555555605</v>
      </c>
      <c r="N358">
        <v>99</v>
      </c>
      <c r="O358" s="2">
        <v>0.68611111111111101</v>
      </c>
      <c r="P358" s="2">
        <v>0.73263888888888895</v>
      </c>
      <c r="Q358" s="2">
        <v>0.73680555555555605</v>
      </c>
      <c r="R358">
        <v>99</v>
      </c>
      <c r="S358">
        <v>67</v>
      </c>
      <c r="T358" s="2">
        <v>0.74121527777777796</v>
      </c>
      <c r="U358" s="2">
        <v>0.78541666666666698</v>
      </c>
      <c r="V358">
        <v>64</v>
      </c>
    </row>
    <row r="359" spans="1:25" ht="15" customHeight="1" x14ac:dyDescent="0.2">
      <c r="A359" s="1">
        <v>46247</v>
      </c>
      <c r="B359" t="s">
        <v>26</v>
      </c>
      <c r="C359" t="s">
        <v>27</v>
      </c>
      <c r="D359" t="s">
        <v>28</v>
      </c>
      <c r="E359" t="s">
        <v>29</v>
      </c>
      <c r="F359" s="2">
        <v>0.64652777777777803</v>
      </c>
      <c r="G359" s="2">
        <v>0.68194444444444402</v>
      </c>
      <c r="H359">
        <v>51</v>
      </c>
      <c r="I359" s="3">
        <v>0.625</v>
      </c>
      <c r="J359" s="2">
        <v>0.67361111111111105</v>
      </c>
      <c r="K359">
        <v>100</v>
      </c>
      <c r="L359" s="2">
        <v>0.64652777777777803</v>
      </c>
      <c r="M359" s="2">
        <v>0.67847222222222203</v>
      </c>
      <c r="N359">
        <v>46</v>
      </c>
      <c r="O359" s="2">
        <v>0.66458333333333297</v>
      </c>
      <c r="P359" s="2">
        <v>0.67291666666666705</v>
      </c>
      <c r="Q359" s="2">
        <v>0.67847222222222203</v>
      </c>
      <c r="R359">
        <v>46</v>
      </c>
      <c r="S359">
        <v>12</v>
      </c>
      <c r="T359" s="2">
        <v>0.68055555555555602</v>
      </c>
      <c r="U359" s="2">
        <v>0.688194444444444</v>
      </c>
      <c r="V359">
        <v>11</v>
      </c>
    </row>
    <row r="360" spans="1:25" ht="15" customHeight="1" x14ac:dyDescent="0.2">
      <c r="A360" s="1">
        <v>46247</v>
      </c>
      <c r="B360" t="s">
        <v>26</v>
      </c>
      <c r="C360" t="s">
        <v>27</v>
      </c>
      <c r="D360" t="s">
        <v>28</v>
      </c>
      <c r="E360" t="s">
        <v>36</v>
      </c>
      <c r="F360" s="2">
        <v>0.48749999999999999</v>
      </c>
      <c r="G360" s="2">
        <v>0.530555555555556</v>
      </c>
      <c r="H360">
        <v>62</v>
      </c>
      <c r="I360" s="3">
        <v>0.46180555555555602</v>
      </c>
      <c r="J360" s="2">
        <v>0.51041666666666696</v>
      </c>
      <c r="K360">
        <v>100</v>
      </c>
      <c r="L360" s="2">
        <v>0.48749999999999999</v>
      </c>
      <c r="M360" s="2">
        <v>0.52638888888888902</v>
      </c>
      <c r="N360">
        <v>56</v>
      </c>
      <c r="O360" s="2">
        <v>0.50694444444444398</v>
      </c>
      <c r="P360" s="2">
        <v>0.52222222222222203</v>
      </c>
      <c r="Q360" s="2">
        <v>0.52638888888888902</v>
      </c>
      <c r="R360">
        <v>56</v>
      </c>
      <c r="S360">
        <v>22</v>
      </c>
      <c r="T360" s="2">
        <v>0.52777777777777801</v>
      </c>
      <c r="U360" s="2">
        <v>0.57638888888888895</v>
      </c>
      <c r="V360">
        <v>70</v>
      </c>
    </row>
    <row r="361" spans="1:25" ht="15" customHeight="1" x14ac:dyDescent="0.2">
      <c r="A361" s="1">
        <v>46247</v>
      </c>
      <c r="B361" t="s">
        <v>26</v>
      </c>
      <c r="C361" t="s">
        <v>27</v>
      </c>
      <c r="D361" t="s">
        <v>28</v>
      </c>
      <c r="E361" t="s">
        <v>31</v>
      </c>
      <c r="F361" s="2">
        <v>0.54861111111111105</v>
      </c>
      <c r="G361" s="2">
        <v>0.61041666666666705</v>
      </c>
      <c r="H361">
        <v>89</v>
      </c>
      <c r="I361" s="3">
        <v>0.52083333333333304</v>
      </c>
      <c r="J361" s="2">
        <v>0.59027777777777801</v>
      </c>
      <c r="K361">
        <v>100</v>
      </c>
      <c r="L361" s="2">
        <v>0.54861111111111105</v>
      </c>
      <c r="M361" s="2">
        <v>0.60763888888888895</v>
      </c>
      <c r="N361">
        <v>85</v>
      </c>
      <c r="O361" s="2">
        <v>0.57013888888888897</v>
      </c>
      <c r="P361" s="2">
        <v>0.60416666666666696</v>
      </c>
      <c r="Q361" s="2">
        <v>0.60763888888888895</v>
      </c>
      <c r="R361">
        <v>85</v>
      </c>
      <c r="S361">
        <v>49</v>
      </c>
      <c r="T361" s="2">
        <v>0.60972222222222205</v>
      </c>
      <c r="U361" s="2">
        <v>0.625694444444444</v>
      </c>
      <c r="V361">
        <v>23</v>
      </c>
    </row>
    <row r="362" spans="1:25" ht="15" customHeight="1" x14ac:dyDescent="0.2">
      <c r="A362" s="1">
        <v>46247</v>
      </c>
      <c r="B362" t="s">
        <v>26</v>
      </c>
      <c r="C362" t="s">
        <v>27</v>
      </c>
      <c r="D362" t="s">
        <v>28</v>
      </c>
      <c r="E362" t="s">
        <v>31</v>
      </c>
      <c r="F362" s="2">
        <v>0.38680555555555601</v>
      </c>
      <c r="G362" s="2">
        <v>0.42361111111111099</v>
      </c>
      <c r="H362">
        <v>53</v>
      </c>
      <c r="I362" s="3">
        <v>0.375</v>
      </c>
      <c r="J362" s="2">
        <v>0.40972222222222199</v>
      </c>
      <c r="K362">
        <v>50</v>
      </c>
      <c r="L362" s="2">
        <v>0.38680555555555601</v>
      </c>
      <c r="M362" s="2">
        <v>0.42013888888888901</v>
      </c>
      <c r="N362">
        <v>48</v>
      </c>
      <c r="O362" s="2">
        <v>0.41180555555555598</v>
      </c>
      <c r="P362" s="2">
        <v>0.41875000000000001</v>
      </c>
      <c r="Q362" s="2">
        <v>0.42013888888888901</v>
      </c>
      <c r="R362">
        <v>48</v>
      </c>
      <c r="S362">
        <v>10</v>
      </c>
      <c r="T362" s="2">
        <v>0.42371527777777801</v>
      </c>
      <c r="U362" s="2">
        <v>0.43472222222222201</v>
      </c>
      <c r="V362">
        <v>16</v>
      </c>
    </row>
    <row r="363" spans="1:25" ht="15" customHeight="1" x14ac:dyDescent="0.2">
      <c r="A363" s="1">
        <v>46247</v>
      </c>
      <c r="B363" t="s">
        <v>26</v>
      </c>
      <c r="C363" t="s">
        <v>27</v>
      </c>
      <c r="D363" t="s">
        <v>28</v>
      </c>
      <c r="E363" t="s">
        <v>29</v>
      </c>
      <c r="F363" s="2">
        <v>0.63194444444444398</v>
      </c>
      <c r="G363" s="2">
        <v>0.66666666666666696</v>
      </c>
      <c r="H363">
        <v>50</v>
      </c>
      <c r="I363" s="3">
        <v>0.61111111111111105</v>
      </c>
      <c r="J363" s="2">
        <v>0.67013888888888895</v>
      </c>
      <c r="K363">
        <v>85</v>
      </c>
      <c r="L363" s="2">
        <v>0.63194444444444398</v>
      </c>
      <c r="M363" s="2">
        <v>0.66388888888888897</v>
      </c>
      <c r="N363">
        <v>46</v>
      </c>
      <c r="O363" s="2">
        <v>0.65</v>
      </c>
      <c r="P363" s="2">
        <v>0.655555555555556</v>
      </c>
      <c r="Q363" s="2">
        <v>0.66388888888888897</v>
      </c>
      <c r="R363">
        <v>46</v>
      </c>
      <c r="S363">
        <v>8</v>
      </c>
      <c r="T363" s="2">
        <v>0.66554398148148197</v>
      </c>
      <c r="U363" s="2">
        <v>0.68402777777777801</v>
      </c>
      <c r="V363">
        <v>27</v>
      </c>
    </row>
    <row r="364" spans="1:25" ht="15" customHeight="1" x14ac:dyDescent="0.2">
      <c r="A364" s="1">
        <v>46247</v>
      </c>
      <c r="B364" t="s">
        <v>26</v>
      </c>
      <c r="C364" t="s">
        <v>27</v>
      </c>
      <c r="D364" t="s">
        <v>28</v>
      </c>
      <c r="E364" t="s">
        <v>36</v>
      </c>
      <c r="F364" s="2">
        <v>0.46875</v>
      </c>
      <c r="G364" s="2">
        <v>0.54444444444444395</v>
      </c>
      <c r="H364">
        <v>109</v>
      </c>
      <c r="I364" s="3">
        <v>0.44791666666666702</v>
      </c>
      <c r="J364" s="2">
        <v>0.52777777777777801</v>
      </c>
      <c r="K364">
        <v>115</v>
      </c>
      <c r="L364" s="2">
        <v>0.46875</v>
      </c>
      <c r="M364" s="2">
        <v>0.53749999999999998</v>
      </c>
      <c r="N364">
        <v>99</v>
      </c>
      <c r="O364" s="2">
        <v>0.49027777777777798</v>
      </c>
      <c r="P364" s="2">
        <v>0.51875000000000004</v>
      </c>
      <c r="Q364" s="2">
        <v>0.53749999999999998</v>
      </c>
      <c r="R364">
        <v>99</v>
      </c>
      <c r="S364">
        <v>41</v>
      </c>
    </row>
    <row r="365" spans="1:25" ht="15" customHeight="1" x14ac:dyDescent="0.2">
      <c r="A365" s="1">
        <v>46247</v>
      </c>
      <c r="B365" t="s">
        <v>26</v>
      </c>
      <c r="C365" t="s">
        <v>27</v>
      </c>
      <c r="D365" t="s">
        <v>28</v>
      </c>
      <c r="E365" t="s">
        <v>40</v>
      </c>
      <c r="F365" s="2">
        <v>0.41388888888888897</v>
      </c>
      <c r="G365" s="2">
        <v>0.53611111111111098</v>
      </c>
      <c r="H365">
        <v>176</v>
      </c>
      <c r="I365" s="3">
        <v>0.41666666666666702</v>
      </c>
      <c r="J365" s="2">
        <v>0.46180555555555602</v>
      </c>
      <c r="K365">
        <v>80</v>
      </c>
      <c r="L365" s="2">
        <v>0.41388888888888897</v>
      </c>
      <c r="M365" s="2">
        <v>0.52222222222222203</v>
      </c>
      <c r="N365">
        <v>156</v>
      </c>
      <c r="O365" s="2">
        <v>0.43194444444444402</v>
      </c>
      <c r="P365" s="2">
        <v>0.51041666666666696</v>
      </c>
      <c r="Q365" s="2">
        <v>0.52222222222222203</v>
      </c>
      <c r="R365">
        <v>156</v>
      </c>
      <c r="S365">
        <v>113</v>
      </c>
    </row>
    <row r="366" spans="1:25" ht="15" customHeight="1" x14ac:dyDescent="0.2">
      <c r="A366" s="1">
        <v>46247</v>
      </c>
      <c r="B366" t="s">
        <v>26</v>
      </c>
      <c r="C366" t="s">
        <v>27</v>
      </c>
      <c r="D366" t="s">
        <v>28</v>
      </c>
      <c r="E366" t="s">
        <v>36</v>
      </c>
      <c r="F366" s="2">
        <v>0.69305555555555598</v>
      </c>
      <c r="G366" s="2">
        <v>0.82361111111111096</v>
      </c>
      <c r="H366">
        <v>188</v>
      </c>
      <c r="I366" s="3">
        <v>0.66666666666666696</v>
      </c>
      <c r="J366" s="2">
        <v>0.85416666666666696</v>
      </c>
      <c r="K366">
        <v>270</v>
      </c>
      <c r="L366" s="2">
        <v>0.69305555555555598</v>
      </c>
      <c r="M366" s="2">
        <v>0.81388888888888899</v>
      </c>
      <c r="N366">
        <v>174</v>
      </c>
      <c r="O366" s="2">
        <v>0.73611111111111105</v>
      </c>
      <c r="P366" s="2">
        <v>0.80694444444444402</v>
      </c>
      <c r="Q366" s="2">
        <v>0.81388888888888899</v>
      </c>
      <c r="R366">
        <v>174</v>
      </c>
      <c r="S366">
        <v>102</v>
      </c>
    </row>
    <row r="367" spans="1:25" ht="15" customHeight="1" x14ac:dyDescent="0.2">
      <c r="A367" s="1">
        <v>46247</v>
      </c>
      <c r="B367" t="s">
        <v>42</v>
      </c>
      <c r="C367" t="s">
        <v>43</v>
      </c>
      <c r="D367" t="s">
        <v>38</v>
      </c>
      <c r="E367" t="s">
        <v>29</v>
      </c>
      <c r="F367" s="2">
        <v>0.57569444444444395</v>
      </c>
      <c r="G367" s="2">
        <v>0.63472222222222197</v>
      </c>
      <c r="H367">
        <v>85</v>
      </c>
      <c r="I367" s="3">
        <v>0.5625</v>
      </c>
      <c r="J367" s="2">
        <v>0.60416666666666696</v>
      </c>
      <c r="K367">
        <v>60</v>
      </c>
      <c r="L367" s="2">
        <v>0.57569444444444395</v>
      </c>
      <c r="M367" s="2">
        <v>0.63194444444444398</v>
      </c>
      <c r="N367">
        <v>81</v>
      </c>
      <c r="O367" s="2">
        <v>0.59027777777777801</v>
      </c>
      <c r="P367" s="2">
        <v>0.62847222222222199</v>
      </c>
      <c r="Q367" s="2">
        <v>0.63194444444444398</v>
      </c>
      <c r="R367">
        <v>81</v>
      </c>
      <c r="S367">
        <v>55</v>
      </c>
      <c r="T367" s="2">
        <v>0.63287037037036997</v>
      </c>
      <c r="U367" s="2">
        <v>0.655555555555556</v>
      </c>
      <c r="V367">
        <v>33</v>
      </c>
    </row>
    <row r="368" spans="1:25" ht="15" customHeight="1" x14ac:dyDescent="0.2">
      <c r="A368" s="1">
        <v>46247</v>
      </c>
      <c r="B368" t="s">
        <v>26</v>
      </c>
      <c r="C368" t="s">
        <v>27</v>
      </c>
      <c r="D368" t="s">
        <v>28</v>
      </c>
      <c r="E368" t="s">
        <v>31</v>
      </c>
      <c r="F368" s="2">
        <v>0.79305555555555596</v>
      </c>
      <c r="G368" s="2">
        <v>7.6388888888888895E-2</v>
      </c>
      <c r="H368">
        <v>408</v>
      </c>
      <c r="I368" s="3">
        <v>0.72916666666666696</v>
      </c>
      <c r="J368" s="2">
        <v>0.81597222222222199</v>
      </c>
      <c r="K368">
        <v>125</v>
      </c>
      <c r="L368" s="2">
        <v>0.79305555555555596</v>
      </c>
      <c r="M368" s="2">
        <v>7.2916666666666699E-2</v>
      </c>
      <c r="N368">
        <v>403</v>
      </c>
      <c r="O368" s="2">
        <v>0.80833333333333302</v>
      </c>
      <c r="P368" s="2">
        <v>6.3888888888888898E-2</v>
      </c>
      <c r="Q368" s="2">
        <v>7.2916666666666699E-2</v>
      </c>
      <c r="R368">
        <v>403</v>
      </c>
      <c r="S368">
        <v>368</v>
      </c>
      <c r="T368" s="2">
        <v>7.4999999999999997E-2</v>
      </c>
      <c r="U368" s="2">
        <v>0.119236111111111</v>
      </c>
      <c r="V368">
        <v>63</v>
      </c>
    </row>
    <row r="369" spans="1:25" ht="15" customHeight="1" x14ac:dyDescent="0.2">
      <c r="A369" s="1">
        <v>46247</v>
      </c>
      <c r="B369" t="s">
        <v>42</v>
      </c>
      <c r="C369" t="s">
        <v>43</v>
      </c>
      <c r="D369" t="s">
        <v>28</v>
      </c>
      <c r="E369" t="s">
        <v>31</v>
      </c>
      <c r="F369" s="2">
        <v>0.51458333333333295</v>
      </c>
      <c r="G369" s="2">
        <v>0.56666666666666698</v>
      </c>
      <c r="H369">
        <v>75</v>
      </c>
      <c r="I369" s="3">
        <v>0.50694444444444398</v>
      </c>
      <c r="J369" s="2">
        <v>0.54861111111111105</v>
      </c>
      <c r="K369">
        <v>60</v>
      </c>
      <c r="L369" s="2">
        <v>0.51249999999999996</v>
      </c>
      <c r="M369" s="2">
        <v>0.563194444444444</v>
      </c>
      <c r="N369">
        <v>73</v>
      </c>
      <c r="O369" s="2">
        <v>0.53888888888888897</v>
      </c>
      <c r="P369" s="2">
        <v>0.56111111111111101</v>
      </c>
      <c r="Q369" s="2">
        <v>0.563194444444444</v>
      </c>
      <c r="R369">
        <v>73</v>
      </c>
      <c r="S369">
        <v>32</v>
      </c>
      <c r="T369" s="2">
        <v>0.56364583333333296</v>
      </c>
      <c r="U369" s="2">
        <v>0.63888888888888895</v>
      </c>
      <c r="V369">
        <v>109</v>
      </c>
      <c r="W369" s="2">
        <v>0.63888888888888895</v>
      </c>
      <c r="X369" s="2">
        <v>0.70325231481481498</v>
      </c>
      <c r="Y369">
        <v>92</v>
      </c>
    </row>
    <row r="370" spans="1:25" ht="15" customHeight="1" x14ac:dyDescent="0.2">
      <c r="A370" s="1">
        <v>46248</v>
      </c>
      <c r="B370" t="s">
        <v>42</v>
      </c>
      <c r="C370" t="s">
        <v>43</v>
      </c>
      <c r="D370" t="s">
        <v>28</v>
      </c>
      <c r="E370" t="s">
        <v>29</v>
      </c>
      <c r="F370" s="2">
        <v>0.43333333333333302</v>
      </c>
      <c r="G370" s="2">
        <v>0.52291666666666703</v>
      </c>
      <c r="H370">
        <v>129</v>
      </c>
      <c r="I370" s="3">
        <v>0.41666666666666702</v>
      </c>
      <c r="J370" s="2">
        <v>0.54166666666666696</v>
      </c>
      <c r="K370">
        <v>180</v>
      </c>
      <c r="L370" s="2">
        <v>0.43333333333333302</v>
      </c>
      <c r="M370" s="2">
        <v>0.51666666666666705</v>
      </c>
      <c r="N370">
        <v>120</v>
      </c>
      <c r="O370" s="2">
        <v>0.45624999999999999</v>
      </c>
      <c r="P370" s="2">
        <v>0.50972222222222197</v>
      </c>
      <c r="Q370" s="2">
        <v>0.51666666666666705</v>
      </c>
      <c r="R370">
        <v>120</v>
      </c>
      <c r="S370">
        <v>77</v>
      </c>
      <c r="T370" s="2">
        <v>0.51880787037037002</v>
      </c>
      <c r="U370" s="2">
        <v>0.54166666666666696</v>
      </c>
      <c r="V370">
        <v>33</v>
      </c>
      <c r="W370" s="2">
        <v>0.54236111111111096</v>
      </c>
      <c r="X370" s="2">
        <v>0.57291666666666696</v>
      </c>
      <c r="Y370">
        <v>44</v>
      </c>
    </row>
    <row r="371" spans="1:25" ht="15" customHeight="1" x14ac:dyDescent="0.2">
      <c r="A371" s="1">
        <v>46248</v>
      </c>
      <c r="B371" t="s">
        <v>42</v>
      </c>
      <c r="C371" t="s">
        <v>43</v>
      </c>
      <c r="D371" t="s">
        <v>28</v>
      </c>
      <c r="E371" t="s">
        <v>31</v>
      </c>
      <c r="F371" s="2">
        <v>0.50902777777777797</v>
      </c>
      <c r="G371" s="2">
        <v>0.57152777777777797</v>
      </c>
      <c r="H371">
        <v>90</v>
      </c>
      <c r="I371" s="3">
        <v>0.5</v>
      </c>
      <c r="J371" s="2">
        <v>0.55208333333333304</v>
      </c>
      <c r="K371">
        <v>75</v>
      </c>
      <c r="L371" s="2">
        <v>0.50902777777777797</v>
      </c>
      <c r="M371" s="2">
        <v>0.56805555555555598</v>
      </c>
      <c r="N371">
        <v>85</v>
      </c>
      <c r="O371" s="2">
        <v>0.53472222222222199</v>
      </c>
      <c r="P371" s="2">
        <v>0.56527777777777799</v>
      </c>
      <c r="Q371" s="2">
        <v>0.56805555555555598</v>
      </c>
      <c r="R371">
        <v>85</v>
      </c>
      <c r="S371">
        <v>44</v>
      </c>
      <c r="T371" s="2">
        <v>0.57013888888888897</v>
      </c>
      <c r="U371" s="2">
        <v>0.60416666666666696</v>
      </c>
      <c r="V371">
        <v>49</v>
      </c>
      <c r="W371" s="2">
        <v>0.61875000000000002</v>
      </c>
      <c r="X371" s="2">
        <v>0.656944444444444</v>
      </c>
      <c r="Y371">
        <v>55</v>
      </c>
    </row>
    <row r="372" spans="1:25" ht="15" customHeight="1" x14ac:dyDescent="0.2">
      <c r="A372" s="1">
        <v>46248</v>
      </c>
      <c r="B372" t="s">
        <v>42</v>
      </c>
      <c r="C372" t="s">
        <v>43</v>
      </c>
      <c r="D372" t="s">
        <v>28</v>
      </c>
      <c r="E372" t="s">
        <v>31</v>
      </c>
      <c r="F372" s="2">
        <v>0.42708333333333298</v>
      </c>
      <c r="G372" s="2">
        <v>0.49097222222222198</v>
      </c>
      <c r="H372">
        <v>92</v>
      </c>
      <c r="I372" s="3">
        <v>0.39583333333333298</v>
      </c>
      <c r="J372" s="2">
        <v>0.47916666666666702</v>
      </c>
      <c r="K372">
        <v>120</v>
      </c>
      <c r="L372" s="2">
        <v>0.42708333333333298</v>
      </c>
      <c r="M372" s="2">
        <v>0.48749999999999999</v>
      </c>
      <c r="N372">
        <v>87</v>
      </c>
      <c r="O372" s="2">
        <v>0.44444444444444398</v>
      </c>
      <c r="P372" s="2">
        <v>0.485416666666667</v>
      </c>
      <c r="Q372" s="2">
        <v>0.48749999999999999</v>
      </c>
      <c r="R372">
        <v>87</v>
      </c>
      <c r="S372">
        <v>59</v>
      </c>
      <c r="T372" s="2">
        <v>0.48958333333333298</v>
      </c>
      <c r="U372" s="2">
        <v>0.60069444444444398</v>
      </c>
      <c r="V372">
        <v>160</v>
      </c>
      <c r="W372" s="2">
        <v>0.603217592592593</v>
      </c>
      <c r="X372" s="2">
        <v>0.64236111111111105</v>
      </c>
      <c r="Y372">
        <v>57</v>
      </c>
    </row>
    <row r="373" spans="1:25" ht="15" customHeight="1" x14ac:dyDescent="0.2">
      <c r="A373" s="1">
        <v>46248</v>
      </c>
      <c r="B373" t="s">
        <v>42</v>
      </c>
      <c r="C373" t="s">
        <v>43</v>
      </c>
      <c r="D373" t="s">
        <v>28</v>
      </c>
      <c r="E373" t="s">
        <v>29</v>
      </c>
      <c r="F373" s="2">
        <v>0.50138888888888899</v>
      </c>
      <c r="G373" s="2">
        <v>0.53888888888888897</v>
      </c>
      <c r="H373">
        <v>54</v>
      </c>
      <c r="I373" s="3">
        <v>0.47916666666666702</v>
      </c>
      <c r="J373" s="2">
        <v>0.51041666666666696</v>
      </c>
      <c r="K373">
        <v>45</v>
      </c>
      <c r="L373" s="2">
        <v>0.50138888888888899</v>
      </c>
      <c r="M373" s="2">
        <v>0.53402777777777799</v>
      </c>
      <c r="N373">
        <v>47</v>
      </c>
      <c r="O373" s="2">
        <v>0.51458333333333295</v>
      </c>
      <c r="P373" s="2">
        <v>0.52986111111111101</v>
      </c>
      <c r="Q373" s="2">
        <v>0.53402777777777799</v>
      </c>
      <c r="R373">
        <v>47</v>
      </c>
      <c r="S373">
        <v>22</v>
      </c>
      <c r="T373" s="2">
        <v>0.53749999999999998</v>
      </c>
      <c r="U373" s="2">
        <v>0.59375</v>
      </c>
      <c r="V373">
        <v>81</v>
      </c>
      <c r="W373" s="2">
        <v>0.59375</v>
      </c>
      <c r="X373" s="2">
        <v>0.73194444444444395</v>
      </c>
      <c r="Y373">
        <v>199</v>
      </c>
    </row>
    <row r="374" spans="1:25" ht="15" customHeight="1" x14ac:dyDescent="0.2">
      <c r="A374" s="1">
        <v>46248</v>
      </c>
      <c r="B374" t="s">
        <v>26</v>
      </c>
      <c r="C374" t="s">
        <v>27</v>
      </c>
      <c r="D374" t="s">
        <v>34</v>
      </c>
      <c r="E374" t="s">
        <v>29</v>
      </c>
      <c r="F374" s="2">
        <v>0.31736111111111098</v>
      </c>
      <c r="G374" s="2">
        <v>0.45624999999999999</v>
      </c>
      <c r="H374">
        <v>200</v>
      </c>
      <c r="I374" s="3">
        <v>0.3125</v>
      </c>
      <c r="J374" s="2">
        <v>0.40625</v>
      </c>
      <c r="K374">
        <v>135</v>
      </c>
      <c r="L374" s="2">
        <v>0.31736111111111098</v>
      </c>
      <c r="M374" s="2">
        <v>0.44930555555555601</v>
      </c>
      <c r="N374">
        <v>190</v>
      </c>
      <c r="O374" s="2">
        <v>0.34166666666666701</v>
      </c>
      <c r="P374" s="2">
        <v>0.44652777777777802</v>
      </c>
      <c r="Q374" s="2">
        <v>0.44930555555555601</v>
      </c>
      <c r="R374">
        <v>190</v>
      </c>
      <c r="S374">
        <v>151</v>
      </c>
      <c r="T374" s="2">
        <v>0.45247685185185199</v>
      </c>
      <c r="U374" s="2">
        <v>0.46319444444444402</v>
      </c>
      <c r="V374">
        <v>16</v>
      </c>
    </row>
    <row r="375" spans="1:25" ht="15" customHeight="1" x14ac:dyDescent="0.2">
      <c r="A375" s="1">
        <v>46248</v>
      </c>
      <c r="B375" t="s">
        <v>42</v>
      </c>
      <c r="C375" t="s">
        <v>43</v>
      </c>
      <c r="D375" t="s">
        <v>34</v>
      </c>
      <c r="E375" t="s">
        <v>29</v>
      </c>
      <c r="F375" s="2">
        <v>0.48680555555555599</v>
      </c>
      <c r="G375" s="2">
        <v>0.59583333333333299</v>
      </c>
      <c r="H375">
        <v>157</v>
      </c>
      <c r="I375" s="3">
        <v>0.42708333333333298</v>
      </c>
      <c r="J375" s="2">
        <v>0.51041666666666696</v>
      </c>
      <c r="K375">
        <v>120</v>
      </c>
      <c r="L375" s="2">
        <v>0.48680555555555599</v>
      </c>
      <c r="M375" s="2">
        <v>0.58888888888888902</v>
      </c>
      <c r="N375">
        <v>147</v>
      </c>
      <c r="O375" s="2">
        <v>0.50624999999999998</v>
      </c>
      <c r="P375" s="2">
        <v>0.58611111111111103</v>
      </c>
      <c r="Q375" s="2">
        <v>0.58888888888888902</v>
      </c>
      <c r="R375">
        <v>147</v>
      </c>
      <c r="S375">
        <v>115</v>
      </c>
      <c r="T375" s="2">
        <v>0.59026620370370397</v>
      </c>
      <c r="U375" s="2">
        <v>0.60138888888888897</v>
      </c>
      <c r="V375">
        <v>17</v>
      </c>
    </row>
    <row r="376" spans="1:25" ht="15" customHeight="1" x14ac:dyDescent="0.2">
      <c r="A376" s="1">
        <v>46248</v>
      </c>
      <c r="B376" t="s">
        <v>42</v>
      </c>
      <c r="C376" t="s">
        <v>43</v>
      </c>
      <c r="D376" t="s">
        <v>28</v>
      </c>
      <c r="E376" t="s">
        <v>31</v>
      </c>
      <c r="F376" s="2">
        <v>0.44861111111111102</v>
      </c>
      <c r="G376" s="2">
        <v>0.47916666666666702</v>
      </c>
      <c r="H376">
        <v>44</v>
      </c>
      <c r="I376" s="3">
        <v>0.38541666666666702</v>
      </c>
      <c r="J376" s="2">
        <v>0.40625</v>
      </c>
      <c r="K376">
        <v>30</v>
      </c>
      <c r="L376" s="2">
        <v>0.44861111111111102</v>
      </c>
      <c r="M376" s="2">
        <v>0.47499999999999998</v>
      </c>
      <c r="N376">
        <v>38</v>
      </c>
      <c r="O376" s="2">
        <v>0.45972222222222198</v>
      </c>
      <c r="P376" s="2">
        <v>0.469444444444444</v>
      </c>
      <c r="Q376" s="2">
        <v>0.47499999999999998</v>
      </c>
      <c r="R376">
        <v>38</v>
      </c>
      <c r="S376">
        <v>14</v>
      </c>
      <c r="T376" s="2">
        <v>0.47569444444444398</v>
      </c>
      <c r="U376" s="2">
        <v>0.52430555555555602</v>
      </c>
      <c r="V376">
        <v>70</v>
      </c>
      <c r="W376" s="2">
        <v>0.52430555555555602</v>
      </c>
      <c r="X376" s="2">
        <v>0.54163194444444396</v>
      </c>
      <c r="Y376">
        <v>24</v>
      </c>
    </row>
    <row r="377" spans="1:25" ht="15" customHeight="1" x14ac:dyDescent="0.2">
      <c r="A377" s="1">
        <v>46248</v>
      </c>
      <c r="B377" t="s">
        <v>26</v>
      </c>
      <c r="C377" t="s">
        <v>27</v>
      </c>
      <c r="D377" t="s">
        <v>34</v>
      </c>
      <c r="E377" t="s">
        <v>36</v>
      </c>
      <c r="F377" s="2">
        <v>0.26944444444444399</v>
      </c>
      <c r="G377" s="2">
        <v>0.55208333333333304</v>
      </c>
      <c r="H377">
        <v>407</v>
      </c>
      <c r="I377" s="3">
        <v>0.26041666666666702</v>
      </c>
      <c r="J377" s="2">
        <v>0.51041666666666696</v>
      </c>
      <c r="K377">
        <v>360</v>
      </c>
      <c r="L377" s="2">
        <v>0.26944444444444399</v>
      </c>
      <c r="M377" s="2">
        <v>0.53402777777777799</v>
      </c>
      <c r="N377">
        <v>381</v>
      </c>
      <c r="O377" s="2">
        <v>0.35347222222222202</v>
      </c>
      <c r="P377" s="2">
        <v>0.52847222222222201</v>
      </c>
      <c r="Q377" s="2">
        <v>0.53402777777777799</v>
      </c>
      <c r="R377">
        <v>381</v>
      </c>
      <c r="S377">
        <v>252</v>
      </c>
    </row>
    <row r="378" spans="1:25" ht="15" customHeight="1" x14ac:dyDescent="0.2">
      <c r="A378" s="1">
        <v>46248</v>
      </c>
      <c r="B378" t="s">
        <v>42</v>
      </c>
      <c r="C378" t="s">
        <v>43</v>
      </c>
      <c r="D378" t="s">
        <v>28</v>
      </c>
      <c r="E378" t="s">
        <v>31</v>
      </c>
      <c r="F378" s="2">
        <v>0.57986111111111105</v>
      </c>
      <c r="G378" s="2">
        <v>0.62638888888888899</v>
      </c>
      <c r="H378">
        <v>67</v>
      </c>
      <c r="I378" s="3">
        <v>0.57291666666666696</v>
      </c>
      <c r="J378" s="2">
        <v>0.61458333333333304</v>
      </c>
      <c r="K378">
        <v>60</v>
      </c>
      <c r="L378" s="2">
        <v>0.57986111111111105</v>
      </c>
      <c r="M378" s="2">
        <v>0.62291666666666701</v>
      </c>
      <c r="N378">
        <v>62</v>
      </c>
      <c r="O378" s="2">
        <v>0.59236111111111101</v>
      </c>
      <c r="P378" s="2">
        <v>0.62013888888888902</v>
      </c>
      <c r="Q378" s="2">
        <v>0.62291666666666701</v>
      </c>
      <c r="R378">
        <v>62</v>
      </c>
      <c r="S378">
        <v>40</v>
      </c>
      <c r="T378" s="2">
        <v>0.62839120370370405</v>
      </c>
      <c r="U378" s="2">
        <v>0.64583333333333304</v>
      </c>
      <c r="V378">
        <v>26</v>
      </c>
      <c r="W378" s="2">
        <v>0.64652777777777803</v>
      </c>
      <c r="X378" s="2">
        <v>0.72916666666666696</v>
      </c>
      <c r="Y378">
        <v>119</v>
      </c>
    </row>
    <row r="379" spans="1:25" ht="15" customHeight="1" x14ac:dyDescent="0.2">
      <c r="A379" s="1">
        <v>46248</v>
      </c>
      <c r="B379" t="s">
        <v>42</v>
      </c>
      <c r="C379" t="s">
        <v>43</v>
      </c>
      <c r="D379" t="s">
        <v>38</v>
      </c>
      <c r="E379" t="s">
        <v>29</v>
      </c>
      <c r="F379" s="2">
        <v>0.57499999999999996</v>
      </c>
      <c r="G379" s="2">
        <v>0.62847222222222199</v>
      </c>
      <c r="H379">
        <v>77</v>
      </c>
      <c r="I379" s="3">
        <v>0.58333333333333304</v>
      </c>
      <c r="J379" s="2">
        <v>0.625</v>
      </c>
      <c r="K379">
        <v>60</v>
      </c>
      <c r="L379" s="2">
        <v>0.57499999999999996</v>
      </c>
      <c r="M379" s="2">
        <v>0.625694444444444</v>
      </c>
      <c r="N379">
        <v>73</v>
      </c>
      <c r="O379" s="2">
        <v>0.59236111111111101</v>
      </c>
      <c r="P379" s="2">
        <v>0.62291666666666701</v>
      </c>
      <c r="Q379" s="2">
        <v>0.625694444444444</v>
      </c>
      <c r="R379">
        <v>73</v>
      </c>
      <c r="S379">
        <v>44</v>
      </c>
      <c r="T379" s="2">
        <v>0.63114583333333296</v>
      </c>
      <c r="U379" s="2">
        <v>0.68832175925925898</v>
      </c>
      <c r="V379">
        <v>83</v>
      </c>
      <c r="W379" s="2">
        <v>0.68835648148148099</v>
      </c>
      <c r="X379" s="2">
        <v>0.72847222222222197</v>
      </c>
      <c r="Y379">
        <v>58</v>
      </c>
    </row>
    <row r="380" spans="1:25" ht="15" customHeight="1" x14ac:dyDescent="0.2">
      <c r="A380" s="1">
        <v>46248</v>
      </c>
      <c r="B380" t="s">
        <v>42</v>
      </c>
      <c r="C380" t="s">
        <v>43</v>
      </c>
      <c r="D380" t="s">
        <v>28</v>
      </c>
      <c r="E380" t="s">
        <v>29</v>
      </c>
      <c r="F380" s="2">
        <v>0.49583333333333302</v>
      </c>
      <c r="G380" s="2">
        <v>0.56458333333333299</v>
      </c>
      <c r="H380">
        <v>99</v>
      </c>
      <c r="I380" s="3">
        <v>0.5</v>
      </c>
      <c r="J380" s="2">
        <v>0.5625</v>
      </c>
      <c r="K380">
        <v>90</v>
      </c>
      <c r="L380" s="2">
        <v>0.49583333333333302</v>
      </c>
      <c r="M380" s="2">
        <v>0.56041666666666701</v>
      </c>
      <c r="N380">
        <v>93</v>
      </c>
      <c r="O380" s="2">
        <v>0.51458333333333295</v>
      </c>
      <c r="P380" s="2">
        <v>0.54930555555555605</v>
      </c>
      <c r="Q380" s="2">
        <v>0.56041666666666701</v>
      </c>
      <c r="R380">
        <v>93</v>
      </c>
      <c r="S380">
        <v>50</v>
      </c>
      <c r="T380" s="2">
        <v>0.56331018518518505</v>
      </c>
      <c r="U380" s="2">
        <v>0.61527777777777803</v>
      </c>
      <c r="V380">
        <v>75</v>
      </c>
      <c r="W380" s="2">
        <v>0.61527777777777803</v>
      </c>
      <c r="X380" s="2">
        <v>0.63055555555555598</v>
      </c>
      <c r="Y380">
        <v>22</v>
      </c>
    </row>
    <row r="381" spans="1:25" ht="15" customHeight="1" x14ac:dyDescent="0.2">
      <c r="A381" s="1">
        <v>46248</v>
      </c>
      <c r="B381" t="s">
        <v>26</v>
      </c>
      <c r="C381" t="s">
        <v>27</v>
      </c>
      <c r="D381" t="s">
        <v>28</v>
      </c>
      <c r="E381" t="s">
        <v>31</v>
      </c>
      <c r="F381" s="2">
        <v>0.31736111111111098</v>
      </c>
      <c r="G381" s="2">
        <v>0.42708333333333298</v>
      </c>
      <c r="H381">
        <v>158</v>
      </c>
      <c r="I381" s="3">
        <v>0.3125</v>
      </c>
      <c r="J381" s="2">
        <v>0.36458333333333298</v>
      </c>
      <c r="K381">
        <v>75</v>
      </c>
      <c r="L381" s="2">
        <v>0.31736111111111098</v>
      </c>
      <c r="M381" s="2">
        <v>0.422222222222222</v>
      </c>
      <c r="N381">
        <v>151</v>
      </c>
      <c r="O381" s="2">
        <v>0.33888888888888902</v>
      </c>
      <c r="P381" s="2">
        <v>0.41597222222222202</v>
      </c>
      <c r="Q381" s="2">
        <v>0.422222222222222</v>
      </c>
      <c r="R381">
        <v>151</v>
      </c>
      <c r="S381">
        <v>111</v>
      </c>
      <c r="T381" s="2">
        <v>0.42605324074074102</v>
      </c>
      <c r="U381" s="2">
        <v>0.55625000000000002</v>
      </c>
      <c r="V381">
        <v>188</v>
      </c>
    </row>
    <row r="382" spans="1:25" ht="15" customHeight="1" x14ac:dyDescent="0.2">
      <c r="A382" s="1">
        <v>46248</v>
      </c>
      <c r="B382" t="s">
        <v>42</v>
      </c>
      <c r="C382" t="s">
        <v>43</v>
      </c>
      <c r="D382" t="s">
        <v>28</v>
      </c>
      <c r="E382" t="s">
        <v>31</v>
      </c>
      <c r="F382" s="2">
        <v>0.57222222222222197</v>
      </c>
      <c r="G382" s="2">
        <v>0.60347222222222197</v>
      </c>
      <c r="H382">
        <v>45</v>
      </c>
      <c r="I382" s="3">
        <v>0.53125</v>
      </c>
      <c r="J382" s="2">
        <v>0.5625</v>
      </c>
      <c r="K382">
        <v>45</v>
      </c>
      <c r="L382" s="2">
        <v>0.57222222222222197</v>
      </c>
      <c r="M382" s="2">
        <v>0.59861111111111098</v>
      </c>
      <c r="N382">
        <v>38</v>
      </c>
      <c r="O382" s="2">
        <v>0.58125000000000004</v>
      </c>
      <c r="P382" s="2">
        <v>0.593055555555556</v>
      </c>
      <c r="Q382" s="2">
        <v>0.59861111111111098</v>
      </c>
      <c r="R382">
        <v>38</v>
      </c>
      <c r="S382">
        <v>17</v>
      </c>
      <c r="T382" s="2">
        <v>0.59915509259259303</v>
      </c>
      <c r="U382" s="2">
        <v>0.67986111111111103</v>
      </c>
      <c r="V382">
        <v>117</v>
      </c>
      <c r="W382" s="2">
        <v>0.68055555555555602</v>
      </c>
      <c r="X382" s="2">
        <v>0.79166666666666696</v>
      </c>
      <c r="Y382">
        <v>160</v>
      </c>
    </row>
    <row r="383" spans="1:25" ht="15" customHeight="1" x14ac:dyDescent="0.2">
      <c r="A383" s="1">
        <v>46248</v>
      </c>
      <c r="B383" t="s">
        <v>42</v>
      </c>
      <c r="C383" t="s">
        <v>43</v>
      </c>
      <c r="D383" t="s">
        <v>38</v>
      </c>
      <c r="E383" t="s">
        <v>31</v>
      </c>
      <c r="F383" s="2">
        <v>0.64791666666666703</v>
      </c>
      <c r="G383" s="2">
        <v>0.69097222222222199</v>
      </c>
      <c r="H383">
        <v>62</v>
      </c>
      <c r="I383" s="3">
        <v>0.64583333333333304</v>
      </c>
      <c r="J383" s="2">
        <v>0.67708333333333304</v>
      </c>
      <c r="K383">
        <v>45</v>
      </c>
      <c r="L383" s="2">
        <v>0.64791666666666703</v>
      </c>
      <c r="M383" s="2">
        <v>0.688194444444444</v>
      </c>
      <c r="N383">
        <v>58</v>
      </c>
      <c r="O383" s="2">
        <v>0.65763888888888899</v>
      </c>
      <c r="P383" s="2">
        <v>0.68541666666666701</v>
      </c>
      <c r="Q383" s="2">
        <v>0.688194444444444</v>
      </c>
      <c r="R383">
        <v>58</v>
      </c>
      <c r="S383">
        <v>40</v>
      </c>
      <c r="T383" s="2">
        <v>0.69097222222222199</v>
      </c>
      <c r="U383" s="2">
        <v>0.73263888888888895</v>
      </c>
      <c r="V383">
        <v>60</v>
      </c>
      <c r="W383" s="2">
        <v>0.73263888888888895</v>
      </c>
      <c r="X383" s="2">
        <v>0.75</v>
      </c>
      <c r="Y383">
        <v>25</v>
      </c>
    </row>
    <row r="384" spans="1:25" ht="15" customHeight="1" x14ac:dyDescent="0.2">
      <c r="A384" s="1">
        <v>46248</v>
      </c>
      <c r="B384" t="s">
        <v>42</v>
      </c>
      <c r="C384" t="s">
        <v>43</v>
      </c>
      <c r="D384" t="s">
        <v>28</v>
      </c>
      <c r="E384" t="s">
        <v>31</v>
      </c>
      <c r="F384" s="2">
        <v>0.63680555555555596</v>
      </c>
      <c r="G384" s="2">
        <v>0.67847222222222203</v>
      </c>
      <c r="H384">
        <v>60</v>
      </c>
      <c r="I384" s="3">
        <v>0.63541666666666696</v>
      </c>
      <c r="J384" s="2">
        <v>0.67708333333333304</v>
      </c>
      <c r="K384">
        <v>60</v>
      </c>
      <c r="L384" s="2">
        <v>0.63680555555555596</v>
      </c>
      <c r="M384" s="2">
        <v>0.67500000000000004</v>
      </c>
      <c r="N384">
        <v>55</v>
      </c>
      <c r="O384" s="2">
        <v>0.65486111111111101</v>
      </c>
      <c r="P384" s="2">
        <v>0.67291666666666705</v>
      </c>
      <c r="Q384" s="2">
        <v>0.67500000000000004</v>
      </c>
      <c r="R384">
        <v>55</v>
      </c>
      <c r="S384">
        <v>26</v>
      </c>
      <c r="T384" s="2">
        <v>0.67798611111111096</v>
      </c>
      <c r="U384" s="2">
        <v>0.69791666666666696</v>
      </c>
      <c r="V384">
        <v>29</v>
      </c>
      <c r="W384" s="2">
        <v>0.69861111111111096</v>
      </c>
      <c r="X384" s="2">
        <v>0.75694444444444398</v>
      </c>
      <c r="Y384">
        <v>84</v>
      </c>
    </row>
    <row r="385" spans="1:25" ht="15" customHeight="1" x14ac:dyDescent="0.2">
      <c r="A385" s="1">
        <v>46248</v>
      </c>
      <c r="B385" t="s">
        <v>42</v>
      </c>
      <c r="C385" t="s">
        <v>43</v>
      </c>
      <c r="D385" t="s">
        <v>28</v>
      </c>
      <c r="E385" t="s">
        <v>29</v>
      </c>
      <c r="F385" s="2">
        <v>0.30416666666666697</v>
      </c>
      <c r="G385" s="2">
        <v>0.343055555555556</v>
      </c>
      <c r="H385">
        <v>56</v>
      </c>
      <c r="I385" s="3">
        <v>0.3125</v>
      </c>
      <c r="J385" s="2">
        <v>0.34375</v>
      </c>
      <c r="K385">
        <v>45</v>
      </c>
      <c r="L385" s="2">
        <v>0.30416666666666697</v>
      </c>
      <c r="M385" s="2">
        <v>0.33611111111111103</v>
      </c>
      <c r="N385">
        <v>46</v>
      </c>
      <c r="O385" s="2">
        <v>0.32569444444444401</v>
      </c>
      <c r="P385" s="2">
        <v>0.33124999999999999</v>
      </c>
      <c r="Q385" s="2">
        <v>0.33611111111111103</v>
      </c>
      <c r="R385">
        <v>46</v>
      </c>
      <c r="S385">
        <v>8</v>
      </c>
      <c r="T385" s="2">
        <v>0.33920138888888901</v>
      </c>
      <c r="U385" s="2">
        <v>0.4</v>
      </c>
      <c r="V385">
        <v>88</v>
      </c>
      <c r="W385" s="2">
        <v>0.40069444444444402</v>
      </c>
      <c r="X385" s="2">
        <v>0.42916666666666697</v>
      </c>
      <c r="Y385">
        <v>41</v>
      </c>
    </row>
    <row r="386" spans="1:25" ht="15" customHeight="1" x14ac:dyDescent="0.2">
      <c r="A386" s="1">
        <v>46248</v>
      </c>
      <c r="B386" t="s">
        <v>26</v>
      </c>
      <c r="C386" t="s">
        <v>27</v>
      </c>
      <c r="D386" t="s">
        <v>28</v>
      </c>
      <c r="E386" t="s">
        <v>36</v>
      </c>
      <c r="F386" s="2">
        <v>0.32500000000000001</v>
      </c>
      <c r="G386" s="2">
        <v>0.56388888888888899</v>
      </c>
      <c r="H386">
        <v>344</v>
      </c>
      <c r="I386" s="3">
        <v>0.3125</v>
      </c>
      <c r="J386" s="2">
        <v>0.5625</v>
      </c>
      <c r="K386">
        <v>360</v>
      </c>
      <c r="L386" s="2">
        <v>0.32500000000000001</v>
      </c>
      <c r="M386" s="2">
        <v>0.55625000000000002</v>
      </c>
      <c r="N386">
        <v>333</v>
      </c>
      <c r="O386" s="2">
        <v>0.375694444444444</v>
      </c>
      <c r="P386" s="2">
        <v>0.53472222222222199</v>
      </c>
      <c r="Q386" s="2">
        <v>0.55625000000000002</v>
      </c>
      <c r="R386">
        <v>333</v>
      </c>
      <c r="S386">
        <v>229</v>
      </c>
    </row>
    <row r="387" spans="1:25" ht="15" customHeight="1" x14ac:dyDescent="0.2">
      <c r="A387" s="1">
        <v>46248</v>
      </c>
      <c r="B387" t="s">
        <v>26</v>
      </c>
      <c r="C387" t="s">
        <v>27</v>
      </c>
      <c r="D387" t="s">
        <v>28</v>
      </c>
      <c r="E387" t="s">
        <v>29</v>
      </c>
      <c r="F387" s="2">
        <v>0.3125</v>
      </c>
      <c r="G387" s="2">
        <v>0.45833333333333298</v>
      </c>
      <c r="H387">
        <v>210</v>
      </c>
      <c r="I387" s="3">
        <v>0.3125</v>
      </c>
      <c r="J387" s="2">
        <v>0.39583333333333298</v>
      </c>
      <c r="K387">
        <v>120</v>
      </c>
      <c r="L387" s="2">
        <v>0.3125</v>
      </c>
      <c r="M387" s="2">
        <v>0.452777777777778</v>
      </c>
      <c r="N387">
        <v>202</v>
      </c>
      <c r="O387" s="2">
        <v>0.34652777777777799</v>
      </c>
      <c r="P387" s="2">
        <v>0.44930555555555601</v>
      </c>
      <c r="Q387" s="2">
        <v>0.452777777777778</v>
      </c>
      <c r="R387">
        <v>202</v>
      </c>
      <c r="S387">
        <v>148</v>
      </c>
      <c r="T387" s="2">
        <v>0.45388888888888901</v>
      </c>
      <c r="U387" s="2">
        <v>0.47986111111111102</v>
      </c>
      <c r="V387">
        <v>38</v>
      </c>
    </row>
    <row r="388" spans="1:25" ht="15" customHeight="1" x14ac:dyDescent="0.2">
      <c r="A388" s="1">
        <v>46248</v>
      </c>
      <c r="B388" t="s">
        <v>26</v>
      </c>
      <c r="C388" t="s">
        <v>27</v>
      </c>
      <c r="D388" t="s">
        <v>28</v>
      </c>
      <c r="E388" t="s">
        <v>29</v>
      </c>
      <c r="F388" s="2">
        <v>0.31111111111111101</v>
      </c>
      <c r="G388" s="2">
        <v>0.42986111111111103</v>
      </c>
      <c r="H388">
        <v>171</v>
      </c>
      <c r="I388" s="3">
        <v>0.3125</v>
      </c>
      <c r="J388" s="2">
        <v>0.39583333333333298</v>
      </c>
      <c r="K388">
        <v>120</v>
      </c>
      <c r="L388" s="2">
        <v>0.31111111111111101</v>
      </c>
      <c r="M388" s="2">
        <v>0.422916666666667</v>
      </c>
      <c r="N388">
        <v>161</v>
      </c>
      <c r="O388" s="2">
        <v>0.33958333333333302</v>
      </c>
      <c r="P388" s="2">
        <v>0.41805555555555601</v>
      </c>
      <c r="Q388" s="2">
        <v>0.422916666666667</v>
      </c>
      <c r="R388">
        <v>161</v>
      </c>
      <c r="S388">
        <v>113</v>
      </c>
      <c r="T388" s="2">
        <v>0.42430555555555599</v>
      </c>
      <c r="U388" s="2">
        <v>0.45833333333333298</v>
      </c>
      <c r="V388">
        <v>49</v>
      </c>
    </row>
    <row r="389" spans="1:25" ht="15" customHeight="1" x14ac:dyDescent="0.2">
      <c r="A389" s="1">
        <v>46248</v>
      </c>
      <c r="B389" t="s">
        <v>42</v>
      </c>
      <c r="C389" t="s">
        <v>43</v>
      </c>
      <c r="D389" t="s">
        <v>28</v>
      </c>
      <c r="E389" t="s">
        <v>31</v>
      </c>
      <c r="F389" s="2">
        <v>0.42986111111111103</v>
      </c>
      <c r="G389" s="2">
        <v>0.48194444444444401</v>
      </c>
      <c r="H389">
        <v>75</v>
      </c>
      <c r="I389" s="3">
        <v>0.41666666666666702</v>
      </c>
      <c r="J389" s="2">
        <v>0.47916666666666702</v>
      </c>
      <c r="K389">
        <v>90</v>
      </c>
      <c r="L389" s="2">
        <v>0.42986111111111103</v>
      </c>
      <c r="M389" s="2">
        <v>0.47777777777777802</v>
      </c>
      <c r="N389">
        <v>69</v>
      </c>
      <c r="O389" s="2">
        <v>0.44652777777777802</v>
      </c>
      <c r="P389" s="2">
        <v>0.47083333333333299</v>
      </c>
      <c r="Q389" s="2">
        <v>0.47777777777777802</v>
      </c>
      <c r="R389">
        <v>69</v>
      </c>
      <c r="S389">
        <v>35</v>
      </c>
      <c r="T389" s="2">
        <v>0.47956018518518501</v>
      </c>
      <c r="U389" s="2">
        <v>0.52430555555555602</v>
      </c>
      <c r="V389">
        <v>65</v>
      </c>
      <c r="W389" s="2">
        <v>0.52430555555555602</v>
      </c>
      <c r="X389" s="2">
        <v>0.61416666666666697</v>
      </c>
      <c r="Y389">
        <v>129</v>
      </c>
    </row>
    <row r="390" spans="1:25" ht="15" customHeight="1" x14ac:dyDescent="0.2">
      <c r="A390" s="1">
        <v>46248</v>
      </c>
      <c r="B390" t="s">
        <v>26</v>
      </c>
      <c r="C390" t="s">
        <v>27</v>
      </c>
      <c r="D390" t="s">
        <v>28</v>
      </c>
      <c r="E390" t="s">
        <v>29</v>
      </c>
      <c r="F390" s="2">
        <v>0.57291666666666696</v>
      </c>
      <c r="G390" s="2">
        <v>0.70347222222222205</v>
      </c>
      <c r="H390">
        <v>188</v>
      </c>
      <c r="I390" s="3">
        <v>0.52083333333333304</v>
      </c>
      <c r="J390" s="2">
        <v>0.60416666666666696</v>
      </c>
      <c r="K390">
        <v>120</v>
      </c>
      <c r="L390" s="2">
        <v>0.57291666666666696</v>
      </c>
      <c r="M390" s="2">
        <v>0.69652777777777797</v>
      </c>
      <c r="N390">
        <v>178</v>
      </c>
      <c r="O390" s="2">
        <v>0.59861111111111098</v>
      </c>
      <c r="P390" s="2">
        <v>0.69166666666666698</v>
      </c>
      <c r="Q390" s="2">
        <v>0.69652777777777797</v>
      </c>
      <c r="R390">
        <v>178</v>
      </c>
      <c r="S390">
        <v>134</v>
      </c>
    </row>
    <row r="391" spans="1:25" ht="15" customHeight="1" x14ac:dyDescent="0.2">
      <c r="A391" s="1">
        <v>46248</v>
      </c>
      <c r="B391" t="s">
        <v>26</v>
      </c>
      <c r="C391" t="s">
        <v>27</v>
      </c>
      <c r="D391" t="s">
        <v>28</v>
      </c>
      <c r="E391" t="s">
        <v>29</v>
      </c>
      <c r="F391" s="2">
        <v>0.71875</v>
      </c>
      <c r="G391" s="2">
        <v>0.79583333333333295</v>
      </c>
      <c r="H391">
        <v>111</v>
      </c>
      <c r="I391" s="3">
        <v>0.625</v>
      </c>
      <c r="J391" s="2">
        <v>0.70833333333333304</v>
      </c>
      <c r="K391">
        <v>120</v>
      </c>
      <c r="L391" s="2">
        <v>0.71875</v>
      </c>
      <c r="M391" s="2">
        <v>0.79236111111111096</v>
      </c>
      <c r="N391">
        <v>106</v>
      </c>
      <c r="O391" s="2">
        <v>0.74166666666666703</v>
      </c>
      <c r="P391" s="2">
        <v>0.78402777777777799</v>
      </c>
      <c r="Q391" s="2">
        <v>0.79236111111111096</v>
      </c>
      <c r="R391">
        <v>106</v>
      </c>
      <c r="S391">
        <v>61</v>
      </c>
      <c r="T391" s="2">
        <v>0.79357638888888904</v>
      </c>
      <c r="U391" s="2">
        <v>0.83541666666666703</v>
      </c>
      <c r="V391">
        <v>61</v>
      </c>
    </row>
    <row r="392" spans="1:25" ht="15" customHeight="1" x14ac:dyDescent="0.2">
      <c r="A392" s="1">
        <v>46248</v>
      </c>
      <c r="B392" t="s">
        <v>26</v>
      </c>
      <c r="C392" t="s">
        <v>27</v>
      </c>
      <c r="D392" t="s">
        <v>34</v>
      </c>
      <c r="E392" t="s">
        <v>29</v>
      </c>
      <c r="F392" s="2">
        <v>0.45486111111111099</v>
      </c>
      <c r="G392" s="2">
        <v>0.54861111111111105</v>
      </c>
      <c r="H392">
        <v>135</v>
      </c>
      <c r="I392" s="3">
        <v>0.41666666666666702</v>
      </c>
      <c r="J392" s="2">
        <v>0.5</v>
      </c>
      <c r="K392">
        <v>120</v>
      </c>
      <c r="L392" s="2">
        <v>0.45486111111111099</v>
      </c>
      <c r="M392" s="2">
        <v>0.54305555555555596</v>
      </c>
      <c r="N392">
        <v>127</v>
      </c>
      <c r="O392" s="2">
        <v>0.48680555555555599</v>
      </c>
      <c r="P392" s="2">
        <v>0.53888888888888897</v>
      </c>
      <c r="Q392" s="2">
        <v>0.54305555555555596</v>
      </c>
      <c r="R392">
        <v>127</v>
      </c>
      <c r="S392">
        <v>75</v>
      </c>
      <c r="T392" s="2">
        <v>0.54387731481481505</v>
      </c>
      <c r="U392" s="2">
        <v>0.563194444444444</v>
      </c>
      <c r="V392">
        <v>28</v>
      </c>
    </row>
    <row r="393" spans="1:25" ht="15" customHeight="1" x14ac:dyDescent="0.2">
      <c r="A393" s="1">
        <v>46248</v>
      </c>
      <c r="B393" t="s">
        <v>26</v>
      </c>
      <c r="C393" t="s">
        <v>27</v>
      </c>
      <c r="D393" t="s">
        <v>28</v>
      </c>
      <c r="E393" t="s">
        <v>31</v>
      </c>
      <c r="F393" s="2">
        <v>0.49583333333333302</v>
      </c>
      <c r="G393" s="2">
        <v>0.66180555555555598</v>
      </c>
      <c r="H393">
        <v>239</v>
      </c>
      <c r="I393" s="3">
        <v>0.43055555555555602</v>
      </c>
      <c r="J393" s="2">
        <v>0.59722222222222199</v>
      </c>
      <c r="K393">
        <v>240</v>
      </c>
      <c r="L393" s="2">
        <v>0.49583333333333302</v>
      </c>
      <c r="M393" s="2">
        <v>0.65347222222222201</v>
      </c>
      <c r="N393">
        <v>227</v>
      </c>
      <c r="O393" s="2">
        <v>0.54583333333333295</v>
      </c>
      <c r="P393" s="2">
        <v>0.64166666666666705</v>
      </c>
      <c r="Q393" s="2">
        <v>0.65347222222222201</v>
      </c>
      <c r="R393">
        <v>227</v>
      </c>
      <c r="S393">
        <v>138</v>
      </c>
    </row>
    <row r="394" spans="1:25" ht="15" customHeight="1" x14ac:dyDescent="0.2">
      <c r="A394" s="1">
        <v>46248</v>
      </c>
      <c r="B394" t="s">
        <v>26</v>
      </c>
      <c r="C394" t="s">
        <v>27</v>
      </c>
      <c r="D394" t="s">
        <v>28</v>
      </c>
      <c r="E394" t="s">
        <v>36</v>
      </c>
      <c r="F394" s="2">
        <v>0.73055555555555596</v>
      </c>
      <c r="G394" s="2">
        <v>0.87222222222222201</v>
      </c>
      <c r="H394">
        <v>204</v>
      </c>
      <c r="I394" s="3">
        <v>0.69791666666666696</v>
      </c>
      <c r="J394" s="2">
        <v>0.82291666666666696</v>
      </c>
      <c r="K394">
        <v>180</v>
      </c>
      <c r="L394" s="2">
        <v>0.73055555555555596</v>
      </c>
      <c r="M394" s="2">
        <v>0.86597222222222203</v>
      </c>
      <c r="N394">
        <v>195</v>
      </c>
      <c r="O394" s="2">
        <v>0.76249999999999996</v>
      </c>
      <c r="P394" s="2">
        <v>0.85972222222222205</v>
      </c>
      <c r="Q394" s="2">
        <v>0.86597222222222203</v>
      </c>
      <c r="R394">
        <v>195</v>
      </c>
      <c r="S394">
        <v>140</v>
      </c>
    </row>
    <row r="395" spans="1:25" ht="15" customHeight="1" x14ac:dyDescent="0.2">
      <c r="A395" s="1">
        <v>46248</v>
      </c>
      <c r="B395" t="s">
        <v>42</v>
      </c>
      <c r="C395" t="s">
        <v>43</v>
      </c>
      <c r="D395" t="s">
        <v>38</v>
      </c>
      <c r="E395" t="s">
        <v>31</v>
      </c>
      <c r="F395" s="2">
        <v>0.31041666666666701</v>
      </c>
      <c r="G395" s="2">
        <v>0.33541666666666697</v>
      </c>
      <c r="H395">
        <v>36</v>
      </c>
      <c r="I395" s="3">
        <v>0.3125</v>
      </c>
      <c r="J395" s="2">
        <v>0.35416666666666702</v>
      </c>
      <c r="K395">
        <v>60</v>
      </c>
      <c r="L395" s="2">
        <v>0.31041666666666701</v>
      </c>
      <c r="M395" s="2">
        <v>0.33124999999999999</v>
      </c>
      <c r="N395">
        <v>30</v>
      </c>
      <c r="O395" s="2">
        <v>0.31805555555555598</v>
      </c>
      <c r="P395" s="2">
        <v>0.329166666666667</v>
      </c>
      <c r="Q395" s="2">
        <v>0.33124999999999999</v>
      </c>
      <c r="R395">
        <v>30</v>
      </c>
      <c r="S395">
        <v>16</v>
      </c>
      <c r="T395" s="2">
        <v>0.33604166666666702</v>
      </c>
      <c r="U395" s="2">
        <v>0.35416666666666702</v>
      </c>
      <c r="V395">
        <v>27</v>
      </c>
      <c r="W395" s="2">
        <v>0.35486111111111102</v>
      </c>
      <c r="X395" s="2">
        <v>0.37847222222222199</v>
      </c>
      <c r="Y395">
        <v>34</v>
      </c>
    </row>
    <row r="396" spans="1:25" ht="15" customHeight="1" x14ac:dyDescent="0.2">
      <c r="A396" s="1">
        <v>46248</v>
      </c>
      <c r="B396" t="s">
        <v>26</v>
      </c>
      <c r="C396" t="s">
        <v>27</v>
      </c>
      <c r="D396" t="s">
        <v>28</v>
      </c>
      <c r="E396" t="s">
        <v>36</v>
      </c>
      <c r="F396" s="2">
        <v>0.36805555555555602</v>
      </c>
      <c r="G396" s="2">
        <v>0.42847222222222198</v>
      </c>
      <c r="H396">
        <v>87</v>
      </c>
      <c r="I396" s="3">
        <v>0.375</v>
      </c>
      <c r="J396" s="2">
        <v>0.42013888888888901</v>
      </c>
      <c r="K396">
        <v>65</v>
      </c>
      <c r="L396" s="2">
        <v>0.37638888888888899</v>
      </c>
      <c r="M396" s="2">
        <v>0.42569444444444399</v>
      </c>
      <c r="N396">
        <v>71</v>
      </c>
      <c r="O396" s="2">
        <v>0.390972222222222</v>
      </c>
      <c r="P396" s="2">
        <v>0.40763888888888899</v>
      </c>
      <c r="Q396" s="2">
        <v>0.42569444444444399</v>
      </c>
      <c r="R396">
        <v>71</v>
      </c>
      <c r="S396">
        <v>24</v>
      </c>
    </row>
    <row r="397" spans="1:25" ht="15" customHeight="1" x14ac:dyDescent="0.2">
      <c r="A397" s="1">
        <v>46248</v>
      </c>
      <c r="B397" t="s">
        <v>26</v>
      </c>
      <c r="C397" t="s">
        <v>27</v>
      </c>
      <c r="D397" t="s">
        <v>28</v>
      </c>
      <c r="E397" t="s">
        <v>35</v>
      </c>
      <c r="F397" s="2">
        <v>0.59375</v>
      </c>
      <c r="G397" s="2">
        <v>0.656944444444444</v>
      </c>
      <c r="H397">
        <v>91</v>
      </c>
      <c r="I397" s="3">
        <v>0.58333333333333304</v>
      </c>
      <c r="J397" s="2">
        <v>0.63888888888888895</v>
      </c>
      <c r="K397">
        <v>110</v>
      </c>
      <c r="L397" s="2">
        <v>0.59375</v>
      </c>
      <c r="M397" s="2">
        <v>0.65347222222222201</v>
      </c>
      <c r="N397">
        <v>86</v>
      </c>
      <c r="O397" s="2">
        <v>0.61180555555555605</v>
      </c>
      <c r="P397" s="2">
        <v>0.64652777777777803</v>
      </c>
      <c r="Q397" s="2">
        <v>0.65347222222222201</v>
      </c>
      <c r="R397">
        <v>86</v>
      </c>
      <c r="S397">
        <v>50</v>
      </c>
      <c r="T397" s="2">
        <v>0.65430555555555603</v>
      </c>
      <c r="U397" s="2">
        <v>0.67777777777777803</v>
      </c>
      <c r="V397">
        <v>34</v>
      </c>
    </row>
    <row r="398" spans="1:25" ht="15" customHeight="1" x14ac:dyDescent="0.2">
      <c r="A398" s="1">
        <v>46248</v>
      </c>
      <c r="B398" t="s">
        <v>26</v>
      </c>
      <c r="C398" t="s">
        <v>27</v>
      </c>
      <c r="D398" t="s">
        <v>28</v>
      </c>
      <c r="E398" t="s">
        <v>31</v>
      </c>
      <c r="F398" s="2">
        <v>0.452083333333333</v>
      </c>
      <c r="G398" s="2">
        <v>0.500694444444444</v>
      </c>
      <c r="H398">
        <v>70</v>
      </c>
      <c r="I398" s="3">
        <v>0.4375</v>
      </c>
      <c r="J398" s="2">
        <v>0.47222222222222199</v>
      </c>
      <c r="K398">
        <v>80</v>
      </c>
      <c r="L398" s="2">
        <v>0.452083333333333</v>
      </c>
      <c r="M398" s="2">
        <v>0.49652777777777801</v>
      </c>
      <c r="N398">
        <v>64</v>
      </c>
      <c r="O398" s="2">
        <v>0.47013888888888899</v>
      </c>
      <c r="P398" s="2">
        <v>0.484027777777778</v>
      </c>
      <c r="Q398" s="2">
        <v>0.49652777777777801</v>
      </c>
      <c r="R398">
        <v>64</v>
      </c>
      <c r="S398">
        <v>20</v>
      </c>
      <c r="T398" s="2">
        <v>0.49791666666666701</v>
      </c>
      <c r="U398" s="2">
        <v>0.51041666666666696</v>
      </c>
      <c r="V398">
        <v>18</v>
      </c>
    </row>
    <row r="399" spans="1:25" ht="15" customHeight="1" x14ac:dyDescent="0.2">
      <c r="A399" s="1">
        <v>46248</v>
      </c>
      <c r="B399" t="s">
        <v>26</v>
      </c>
      <c r="C399" t="s">
        <v>27</v>
      </c>
      <c r="D399" t="s">
        <v>28</v>
      </c>
      <c r="E399" t="s">
        <v>36</v>
      </c>
      <c r="F399" s="2">
        <v>0.82638888888888895</v>
      </c>
      <c r="G399" s="2">
        <v>0.86875000000000002</v>
      </c>
      <c r="H399">
        <v>61</v>
      </c>
      <c r="I399" s="3">
        <v>0.83333333333333304</v>
      </c>
      <c r="J399" s="2">
        <v>0.85416666666666696</v>
      </c>
      <c r="K399">
        <v>60</v>
      </c>
      <c r="L399" s="2">
        <v>0.82638888888888895</v>
      </c>
      <c r="M399" s="2">
        <v>0.86180555555555605</v>
      </c>
      <c r="N399">
        <v>51</v>
      </c>
      <c r="O399" s="2">
        <v>0.83819444444444402</v>
      </c>
      <c r="P399" s="2">
        <v>0.85763888888888895</v>
      </c>
      <c r="Q399" s="2">
        <v>0.86180555555555605</v>
      </c>
      <c r="R399">
        <v>51</v>
      </c>
      <c r="S399">
        <v>28</v>
      </c>
      <c r="T399" s="2">
        <v>0.86319444444444404</v>
      </c>
      <c r="U399" s="2">
        <v>0.88817129629629599</v>
      </c>
      <c r="V399">
        <v>35</v>
      </c>
    </row>
    <row r="400" spans="1:25" ht="15" customHeight="1" x14ac:dyDescent="0.2">
      <c r="A400" s="1">
        <v>46248</v>
      </c>
      <c r="B400" t="s">
        <v>26</v>
      </c>
      <c r="C400" t="s">
        <v>27</v>
      </c>
      <c r="D400" t="s">
        <v>28</v>
      </c>
      <c r="E400" t="s">
        <v>50</v>
      </c>
      <c r="F400" s="2">
        <v>0.67361111111111105</v>
      </c>
      <c r="G400" s="2">
        <v>0.76249999999999996</v>
      </c>
      <c r="H400">
        <v>128</v>
      </c>
      <c r="I400" s="3">
        <v>0.66666666666666696</v>
      </c>
      <c r="J400" s="2">
        <v>0.81597222222222199</v>
      </c>
      <c r="K400">
        <v>245</v>
      </c>
      <c r="L400" s="2">
        <v>0.68472222222222201</v>
      </c>
      <c r="M400" s="2">
        <v>0.88124999999999998</v>
      </c>
      <c r="N400">
        <v>283</v>
      </c>
      <c r="O400" s="2">
        <v>0.69374999999999998</v>
      </c>
      <c r="P400" s="2">
        <v>0.76041666666666696</v>
      </c>
      <c r="Q400" s="2">
        <v>0.88124999999999998</v>
      </c>
      <c r="R400">
        <v>283</v>
      </c>
      <c r="S400">
        <v>96</v>
      </c>
    </row>
    <row r="401" spans="1:25" ht="15" customHeight="1" x14ac:dyDescent="0.2">
      <c r="A401" s="1">
        <v>46248</v>
      </c>
      <c r="B401" t="s">
        <v>42</v>
      </c>
      <c r="C401" t="s">
        <v>43</v>
      </c>
      <c r="D401" t="s">
        <v>28</v>
      </c>
      <c r="E401" t="s">
        <v>31</v>
      </c>
      <c r="F401" s="2">
        <v>0.359027777777778</v>
      </c>
      <c r="G401" s="2">
        <v>0.391666666666667</v>
      </c>
      <c r="H401">
        <v>47</v>
      </c>
      <c r="I401" s="3">
        <v>0.36458333333333298</v>
      </c>
      <c r="J401" s="2">
        <v>0.39583333333333298</v>
      </c>
      <c r="K401">
        <v>45</v>
      </c>
      <c r="L401" s="2">
        <v>0.359027777777778</v>
      </c>
      <c r="M401" s="2">
        <v>0.38611111111111102</v>
      </c>
      <c r="N401">
        <v>39</v>
      </c>
      <c r="O401" s="2">
        <v>0.37361111111111101</v>
      </c>
      <c r="P401" s="2">
        <v>0.37986111111111098</v>
      </c>
      <c r="Q401" s="2">
        <v>0.38611111111111102</v>
      </c>
      <c r="R401">
        <v>39</v>
      </c>
      <c r="S401">
        <v>9</v>
      </c>
      <c r="T401" s="2">
        <v>0.38888888888888901</v>
      </c>
      <c r="U401" s="2">
        <v>0.47847222222222202</v>
      </c>
      <c r="V401">
        <v>129</v>
      </c>
      <c r="W401" s="2">
        <v>0.47875000000000001</v>
      </c>
      <c r="X401" s="2">
        <v>0.486643518518519</v>
      </c>
      <c r="Y401">
        <v>11</v>
      </c>
    </row>
    <row r="402" spans="1:25" ht="15" customHeight="1" x14ac:dyDescent="0.2">
      <c r="A402" s="1">
        <v>46248</v>
      </c>
      <c r="B402" t="s">
        <v>26</v>
      </c>
      <c r="C402" t="s">
        <v>27</v>
      </c>
      <c r="D402" t="s">
        <v>28</v>
      </c>
      <c r="E402" t="s">
        <v>29</v>
      </c>
      <c r="F402" s="2">
        <v>0.63263888888888897</v>
      </c>
      <c r="G402" s="2">
        <v>0.66527777777777797</v>
      </c>
      <c r="H402">
        <v>47</v>
      </c>
      <c r="I402" s="3">
        <v>0.625</v>
      </c>
      <c r="J402" s="2">
        <v>0.65625</v>
      </c>
      <c r="K402">
        <v>45</v>
      </c>
      <c r="L402" s="2">
        <v>0.63263888888888897</v>
      </c>
      <c r="M402" s="2">
        <v>0.66111111111111098</v>
      </c>
      <c r="N402">
        <v>41</v>
      </c>
      <c r="O402" s="2">
        <v>0.64652777777777803</v>
      </c>
      <c r="P402" s="2">
        <v>0.655555555555556</v>
      </c>
      <c r="Q402" s="2">
        <v>0.66111111111111098</v>
      </c>
      <c r="R402">
        <v>41</v>
      </c>
      <c r="S402">
        <v>13</v>
      </c>
      <c r="T402" s="2">
        <v>0.66319444444444398</v>
      </c>
      <c r="U402" s="2">
        <v>0.6875</v>
      </c>
      <c r="V402">
        <v>35</v>
      </c>
    </row>
    <row r="403" spans="1:25" ht="15" customHeight="1" x14ac:dyDescent="0.2">
      <c r="A403" s="1">
        <v>46248</v>
      </c>
      <c r="B403" t="s">
        <v>26</v>
      </c>
      <c r="C403" t="s">
        <v>27</v>
      </c>
      <c r="D403" t="s">
        <v>28</v>
      </c>
      <c r="E403" t="s">
        <v>29</v>
      </c>
      <c r="F403" s="2">
        <v>0.90486111111111101</v>
      </c>
      <c r="G403" s="2">
        <v>0.97013888888888899</v>
      </c>
      <c r="H403">
        <v>94</v>
      </c>
      <c r="I403" s="3">
        <v>0.875</v>
      </c>
      <c r="J403" s="2">
        <v>0.92361111111111105</v>
      </c>
      <c r="K403">
        <v>70</v>
      </c>
      <c r="L403" s="2">
        <v>0.90486111111111101</v>
      </c>
      <c r="M403" s="2">
        <v>0.968055555555556</v>
      </c>
      <c r="N403">
        <v>91</v>
      </c>
      <c r="O403" s="2">
        <v>0.92916666666666703</v>
      </c>
      <c r="P403" s="2">
        <v>0.96180555555555602</v>
      </c>
      <c r="Q403" s="2">
        <v>0.968055555555556</v>
      </c>
      <c r="R403">
        <v>91</v>
      </c>
      <c r="S403">
        <v>47</v>
      </c>
      <c r="T403" s="2">
        <v>0.969444444444444</v>
      </c>
      <c r="U403" s="2">
        <v>0.99515046296296295</v>
      </c>
      <c r="V403">
        <v>37</v>
      </c>
    </row>
    <row r="404" spans="1:25" ht="15" customHeight="1" x14ac:dyDescent="0.2">
      <c r="A404" s="1">
        <v>46248</v>
      </c>
      <c r="B404" t="s">
        <v>42</v>
      </c>
      <c r="C404" t="s">
        <v>43</v>
      </c>
      <c r="D404" t="s">
        <v>28</v>
      </c>
      <c r="E404" t="s">
        <v>29</v>
      </c>
      <c r="F404" s="2">
        <v>0.31874999999999998</v>
      </c>
      <c r="G404" s="2">
        <v>0.40208333333333302</v>
      </c>
      <c r="H404">
        <v>120</v>
      </c>
      <c r="I404" s="3">
        <v>0.3125</v>
      </c>
      <c r="J404" s="2">
        <v>0.375</v>
      </c>
      <c r="K404">
        <v>90</v>
      </c>
      <c r="L404" s="2">
        <v>0.31874999999999998</v>
      </c>
      <c r="M404" s="2">
        <v>0.39861111111111103</v>
      </c>
      <c r="N404">
        <v>115</v>
      </c>
      <c r="O404" s="2">
        <v>0.34583333333333299</v>
      </c>
      <c r="P404" s="2">
        <v>0.39583333333333298</v>
      </c>
      <c r="Q404" s="2">
        <v>0.39861111111111103</v>
      </c>
      <c r="R404">
        <v>115</v>
      </c>
      <c r="S404">
        <v>72</v>
      </c>
      <c r="T404" s="2">
        <v>0.40222222222222198</v>
      </c>
      <c r="U404" s="2">
        <v>0.5</v>
      </c>
      <c r="V404">
        <v>141</v>
      </c>
    </row>
    <row r="405" spans="1:25" ht="15" customHeight="1" x14ac:dyDescent="0.2">
      <c r="A405" s="1">
        <v>46248</v>
      </c>
      <c r="B405" t="s">
        <v>42</v>
      </c>
      <c r="C405" t="s">
        <v>43</v>
      </c>
      <c r="D405" t="s">
        <v>28</v>
      </c>
      <c r="E405" t="s">
        <v>29</v>
      </c>
      <c r="F405" s="2">
        <v>0.31666666666666698</v>
      </c>
      <c r="G405" s="2">
        <v>0.40277777777777801</v>
      </c>
      <c r="H405">
        <v>124</v>
      </c>
      <c r="I405" s="3">
        <v>0.3125</v>
      </c>
      <c r="J405" s="2">
        <v>0.39583333333333298</v>
      </c>
      <c r="K405">
        <v>120</v>
      </c>
      <c r="L405" s="2">
        <v>0.31666666666666698</v>
      </c>
      <c r="M405" s="2">
        <v>0.39930555555555602</v>
      </c>
      <c r="N405">
        <v>119</v>
      </c>
      <c r="O405" s="2">
        <v>0.33472222222222198</v>
      </c>
      <c r="P405" s="2">
        <v>0.39444444444444399</v>
      </c>
      <c r="Q405" s="2">
        <v>0.39930555555555602</v>
      </c>
      <c r="R405">
        <v>119</v>
      </c>
      <c r="S405">
        <v>86</v>
      </c>
      <c r="T405" s="2">
        <v>0.40427083333333302</v>
      </c>
      <c r="U405" s="2">
        <v>0.44090277777777798</v>
      </c>
      <c r="V405">
        <v>52</v>
      </c>
      <c r="W405" s="2">
        <v>0.440925925925926</v>
      </c>
      <c r="X405" s="2">
        <v>0.46891203703703699</v>
      </c>
      <c r="Y405">
        <v>41</v>
      </c>
    </row>
    <row r="406" spans="1:25" ht="15" customHeight="1" x14ac:dyDescent="0.2">
      <c r="A406" s="1">
        <v>46249</v>
      </c>
      <c r="B406" t="s">
        <v>26</v>
      </c>
      <c r="C406" t="s">
        <v>27</v>
      </c>
      <c r="D406" t="s">
        <v>28</v>
      </c>
      <c r="E406" t="s">
        <v>29</v>
      </c>
      <c r="F406" s="2">
        <v>0.31111111111111101</v>
      </c>
      <c r="G406" s="2">
        <v>0.39583333333333298</v>
      </c>
      <c r="H406">
        <v>122</v>
      </c>
      <c r="I406" s="3">
        <v>0.3125</v>
      </c>
      <c r="J406" s="2">
        <v>0.4375</v>
      </c>
      <c r="K406">
        <v>180</v>
      </c>
      <c r="L406" s="2">
        <v>0.31111111111111101</v>
      </c>
      <c r="M406" s="2">
        <v>0.39305555555555599</v>
      </c>
      <c r="N406">
        <v>118</v>
      </c>
      <c r="O406" s="2">
        <v>0.33055555555555599</v>
      </c>
      <c r="P406" s="2">
        <v>0.38611111111111102</v>
      </c>
      <c r="Q406" s="2">
        <v>0.39305555555555599</v>
      </c>
      <c r="R406">
        <v>118</v>
      </c>
      <c r="S406">
        <v>80</v>
      </c>
      <c r="T406" s="2">
        <v>0.39650462962963001</v>
      </c>
      <c r="U406" s="2">
        <v>0.42408564814814798</v>
      </c>
      <c r="V406">
        <v>40</v>
      </c>
    </row>
    <row r="407" spans="1:25" ht="15" customHeight="1" x14ac:dyDescent="0.2">
      <c r="A407" s="1">
        <v>46249</v>
      </c>
      <c r="B407" t="s">
        <v>26</v>
      </c>
      <c r="C407" t="s">
        <v>27</v>
      </c>
      <c r="D407" t="s">
        <v>28</v>
      </c>
      <c r="E407" t="s">
        <v>29</v>
      </c>
      <c r="F407" s="2">
        <v>0.313194444444444</v>
      </c>
      <c r="G407" s="2">
        <v>0.40069444444444402</v>
      </c>
      <c r="H407">
        <v>126</v>
      </c>
      <c r="I407" s="3">
        <v>0.3125</v>
      </c>
      <c r="J407" s="2">
        <v>0.40625</v>
      </c>
      <c r="K407">
        <v>135</v>
      </c>
      <c r="L407" s="2">
        <v>0.313194444444444</v>
      </c>
      <c r="M407" s="2">
        <v>0.39374999999999999</v>
      </c>
      <c r="N407">
        <v>116</v>
      </c>
      <c r="O407" s="2">
        <v>0.33958333333333302</v>
      </c>
      <c r="P407" s="2">
        <v>0.38541666666666702</v>
      </c>
      <c r="Q407" s="2">
        <v>0.39374999999999999</v>
      </c>
      <c r="R407">
        <v>116</v>
      </c>
      <c r="S407">
        <v>66</v>
      </c>
      <c r="T407" s="2">
        <v>0.39543981481481499</v>
      </c>
      <c r="U407" s="2">
        <v>0.45447916666666699</v>
      </c>
      <c r="V407">
        <v>85</v>
      </c>
    </row>
    <row r="408" spans="1:25" ht="15" customHeight="1" x14ac:dyDescent="0.2">
      <c r="A408" s="1">
        <v>46249</v>
      </c>
      <c r="B408" t="s">
        <v>26</v>
      </c>
      <c r="C408" t="s">
        <v>27</v>
      </c>
      <c r="D408" t="s">
        <v>28</v>
      </c>
      <c r="E408" t="s">
        <v>36</v>
      </c>
      <c r="F408" s="2">
        <v>0.421527777777778</v>
      </c>
      <c r="G408" s="2">
        <v>0.52569444444444402</v>
      </c>
      <c r="H408">
        <v>150</v>
      </c>
      <c r="I408" s="3">
        <v>0.42708333333333298</v>
      </c>
      <c r="J408" s="2">
        <v>0.52083333333333304</v>
      </c>
      <c r="K408">
        <v>135</v>
      </c>
      <c r="L408" s="2">
        <v>0.421527777777778</v>
      </c>
      <c r="M408" s="2">
        <v>0.51944444444444404</v>
      </c>
      <c r="N408">
        <v>141</v>
      </c>
      <c r="O408" s="2">
        <v>0.44861111111111102</v>
      </c>
      <c r="P408" s="2">
        <v>0.51458333333333295</v>
      </c>
      <c r="Q408" s="2">
        <v>0.51944444444444404</v>
      </c>
      <c r="R408">
        <v>141</v>
      </c>
      <c r="S408">
        <v>95</v>
      </c>
      <c r="T408" s="2">
        <v>0.52083333333333304</v>
      </c>
      <c r="U408" s="2">
        <v>0.55655092592592603</v>
      </c>
      <c r="V408">
        <v>51</v>
      </c>
    </row>
    <row r="409" spans="1:25" ht="15" customHeight="1" x14ac:dyDescent="0.2">
      <c r="A409" s="1">
        <v>46249</v>
      </c>
      <c r="B409" t="s">
        <v>26</v>
      </c>
      <c r="C409" t="s">
        <v>27</v>
      </c>
      <c r="D409" t="s">
        <v>28</v>
      </c>
      <c r="E409" t="s">
        <v>29</v>
      </c>
      <c r="F409" s="2">
        <v>0.52638888888888902</v>
      </c>
      <c r="G409" s="2">
        <v>0.62847222222222199</v>
      </c>
      <c r="H409">
        <v>147</v>
      </c>
      <c r="I409" s="3">
        <v>0.54166666666666696</v>
      </c>
      <c r="J409" s="2">
        <v>0.63194444444444398</v>
      </c>
      <c r="K409">
        <v>160</v>
      </c>
      <c r="L409" s="2">
        <v>0.52638888888888902</v>
      </c>
      <c r="M409" s="2">
        <v>0.62291666666666701</v>
      </c>
      <c r="N409">
        <v>139</v>
      </c>
      <c r="O409" s="2">
        <v>0.54791666666666705</v>
      </c>
      <c r="P409" s="2">
        <v>0.61875000000000002</v>
      </c>
      <c r="Q409" s="2">
        <v>0.62291666666666701</v>
      </c>
      <c r="R409">
        <v>139</v>
      </c>
      <c r="S409">
        <v>102</v>
      </c>
      <c r="T409" s="2">
        <v>0.62394675925925902</v>
      </c>
      <c r="U409" s="2">
        <v>0.67006944444444405</v>
      </c>
      <c r="V409">
        <v>66</v>
      </c>
    </row>
    <row r="410" spans="1:25" ht="15" customHeight="1" x14ac:dyDescent="0.2">
      <c r="A410" s="1">
        <v>46249</v>
      </c>
      <c r="B410" t="s">
        <v>26</v>
      </c>
      <c r="C410" t="s">
        <v>27</v>
      </c>
      <c r="D410" t="s">
        <v>28</v>
      </c>
      <c r="E410" t="s">
        <v>40</v>
      </c>
      <c r="F410" s="2">
        <v>0.125</v>
      </c>
      <c r="G410" s="2">
        <v>0.19097222222222199</v>
      </c>
      <c r="H410">
        <v>95</v>
      </c>
      <c r="I410" s="3">
        <v>0.15277777777777801</v>
      </c>
      <c r="J410" s="2">
        <v>0.19791666666666699</v>
      </c>
      <c r="K410">
        <v>80</v>
      </c>
      <c r="L410" s="2">
        <v>0.125</v>
      </c>
      <c r="M410" s="2">
        <v>0.18541666666666701</v>
      </c>
      <c r="N410">
        <v>87</v>
      </c>
      <c r="O410" s="2">
        <v>0.131944444444444</v>
      </c>
      <c r="P410" s="2">
        <v>0.179166666666667</v>
      </c>
      <c r="Q410" s="2">
        <v>0.18541666666666701</v>
      </c>
      <c r="R410">
        <v>87</v>
      </c>
      <c r="S410">
        <v>68</v>
      </c>
    </row>
    <row r="411" spans="1:25" ht="15" customHeight="1" x14ac:dyDescent="0.2">
      <c r="A411" s="1">
        <v>46250</v>
      </c>
      <c r="B411" t="s">
        <v>26</v>
      </c>
      <c r="C411" t="s">
        <v>27</v>
      </c>
      <c r="D411" t="s">
        <v>34</v>
      </c>
      <c r="E411" t="s">
        <v>31</v>
      </c>
      <c r="F411" s="2">
        <v>0.30902777777777801</v>
      </c>
      <c r="G411" s="2">
        <v>0.42708333333333298</v>
      </c>
      <c r="H411">
        <v>170</v>
      </c>
      <c r="I411" s="3">
        <v>0.3125</v>
      </c>
      <c r="J411" s="2">
        <v>0.39583333333333298</v>
      </c>
      <c r="K411">
        <v>150</v>
      </c>
      <c r="L411" s="2">
        <v>0.30902777777777801</v>
      </c>
      <c r="M411" s="2">
        <v>0.42361111111111099</v>
      </c>
      <c r="N411">
        <v>165</v>
      </c>
      <c r="O411" s="2">
        <v>0.33333333333333298</v>
      </c>
      <c r="P411" s="2">
        <v>0.40972222222222199</v>
      </c>
      <c r="Q411" s="2">
        <v>0.42361111111111099</v>
      </c>
      <c r="R411">
        <v>165</v>
      </c>
      <c r="S411">
        <v>110</v>
      </c>
      <c r="T411" s="2">
        <v>0.42469907407407398</v>
      </c>
      <c r="U411" s="2">
        <v>0.50278935185185203</v>
      </c>
      <c r="V411">
        <v>113</v>
      </c>
    </row>
    <row r="412" spans="1:25" ht="15" customHeight="1" x14ac:dyDescent="0.2">
      <c r="A412" s="1">
        <v>46250</v>
      </c>
      <c r="B412" t="s">
        <v>26</v>
      </c>
      <c r="C412" t="s">
        <v>27</v>
      </c>
      <c r="D412" t="s">
        <v>28</v>
      </c>
      <c r="E412" t="s">
        <v>31</v>
      </c>
      <c r="F412" s="2">
        <v>0.31111111111111101</v>
      </c>
      <c r="G412" s="2">
        <v>0.44513888888888897</v>
      </c>
      <c r="H412">
        <v>193</v>
      </c>
      <c r="I412" s="3">
        <v>0.3125</v>
      </c>
      <c r="J412" s="2">
        <v>0.41319444444444398</v>
      </c>
      <c r="K412">
        <v>175</v>
      </c>
      <c r="L412" s="2">
        <v>0.31111111111111101</v>
      </c>
      <c r="M412" s="2">
        <v>0.44166666666666698</v>
      </c>
      <c r="N412">
        <v>188</v>
      </c>
      <c r="O412" s="2">
        <v>0.35625000000000001</v>
      </c>
      <c r="P412" s="2">
        <v>0.43611111111111101</v>
      </c>
      <c r="Q412" s="2">
        <v>0.44166666666666698</v>
      </c>
      <c r="R412">
        <v>188</v>
      </c>
      <c r="S412">
        <v>115</v>
      </c>
      <c r="T412" s="2">
        <v>0.443275462962963</v>
      </c>
      <c r="U412" s="2">
        <v>0.48611111111111099</v>
      </c>
      <c r="V412">
        <v>62</v>
      </c>
    </row>
    <row r="413" spans="1:25" ht="15" customHeight="1" x14ac:dyDescent="0.2">
      <c r="A413" s="1">
        <v>46250</v>
      </c>
      <c r="B413" t="s">
        <v>26</v>
      </c>
      <c r="C413" t="s">
        <v>27</v>
      </c>
      <c r="D413" t="s">
        <v>28</v>
      </c>
      <c r="E413" t="s">
        <v>29</v>
      </c>
      <c r="F413" s="2">
        <v>0.64791666666666703</v>
      </c>
      <c r="G413" s="2">
        <v>0.70138888888888895</v>
      </c>
      <c r="H413">
        <v>77</v>
      </c>
      <c r="I413" s="3">
        <v>0.64583333333333304</v>
      </c>
      <c r="J413" s="2">
        <v>0.69097222222222199</v>
      </c>
      <c r="K413">
        <v>95</v>
      </c>
      <c r="L413" s="2">
        <v>0.64791666666666703</v>
      </c>
      <c r="M413" s="2">
        <v>0.69791666666666696</v>
      </c>
      <c r="N413">
        <v>72</v>
      </c>
      <c r="O413" s="2">
        <v>0.66874999999999996</v>
      </c>
      <c r="P413" s="2">
        <v>0.68958333333333299</v>
      </c>
      <c r="Q413" s="2">
        <v>0.69791666666666696</v>
      </c>
      <c r="R413">
        <v>72</v>
      </c>
      <c r="S413">
        <v>30</v>
      </c>
      <c r="T413" s="2">
        <v>0.69892361111111101</v>
      </c>
      <c r="U413" s="2">
        <v>0.75902777777777797</v>
      </c>
      <c r="V413">
        <v>87</v>
      </c>
    </row>
    <row r="414" spans="1:25" ht="15" customHeight="1" x14ac:dyDescent="0.2">
      <c r="A414" s="1">
        <v>46250</v>
      </c>
      <c r="B414" t="s">
        <v>26</v>
      </c>
      <c r="C414" t="s">
        <v>27</v>
      </c>
      <c r="D414" t="s">
        <v>28</v>
      </c>
      <c r="E414" t="s">
        <v>29</v>
      </c>
      <c r="F414" s="2">
        <v>0.54583333333333295</v>
      </c>
      <c r="G414" s="2">
        <v>0.59513888888888899</v>
      </c>
      <c r="H414">
        <v>71</v>
      </c>
      <c r="I414" s="3">
        <v>0.53125</v>
      </c>
      <c r="J414" s="2">
        <v>0.58333333333333304</v>
      </c>
      <c r="K414">
        <v>105</v>
      </c>
      <c r="L414" s="2">
        <v>0.54583333333333295</v>
      </c>
      <c r="M414" s="2">
        <v>0.59166666666666701</v>
      </c>
      <c r="N414">
        <v>66</v>
      </c>
      <c r="O414" s="2">
        <v>0.563194444444444</v>
      </c>
      <c r="P414" s="2">
        <v>0.58750000000000002</v>
      </c>
      <c r="Q414" s="2">
        <v>0.59166666666666701</v>
      </c>
      <c r="R414">
        <v>66</v>
      </c>
      <c r="S414">
        <v>35</v>
      </c>
      <c r="T414" s="2">
        <v>0.59326388888888903</v>
      </c>
      <c r="U414" s="2">
        <v>0.62847222222222199</v>
      </c>
      <c r="V414">
        <v>51</v>
      </c>
    </row>
    <row r="415" spans="1:25" ht="15" customHeight="1" x14ac:dyDescent="0.2">
      <c r="A415" s="1">
        <v>46250</v>
      </c>
      <c r="B415" t="s">
        <v>26</v>
      </c>
      <c r="C415" t="s">
        <v>27</v>
      </c>
      <c r="D415" t="s">
        <v>28</v>
      </c>
      <c r="E415" t="s">
        <v>29</v>
      </c>
      <c r="F415" s="2">
        <v>0.43958333333333299</v>
      </c>
      <c r="G415" s="2">
        <v>0.50486111111111098</v>
      </c>
      <c r="H415">
        <v>94</v>
      </c>
      <c r="I415" s="3">
        <v>0.41666666666666702</v>
      </c>
      <c r="J415" s="2">
        <v>0.47569444444444398</v>
      </c>
      <c r="K415">
        <v>115</v>
      </c>
      <c r="L415" s="2">
        <v>0.43958333333333299</v>
      </c>
      <c r="M415" s="2">
        <v>0.50208333333333299</v>
      </c>
      <c r="N415">
        <v>90</v>
      </c>
      <c r="O415" s="2">
        <v>0.46250000000000002</v>
      </c>
      <c r="P415" s="2">
        <v>0.49791666666666701</v>
      </c>
      <c r="Q415" s="2">
        <v>0.50208333333333299</v>
      </c>
      <c r="R415">
        <v>90</v>
      </c>
      <c r="S415">
        <v>51</v>
      </c>
      <c r="T415" s="2">
        <v>0.507349537037037</v>
      </c>
      <c r="U415" s="2">
        <v>0.56696759259259299</v>
      </c>
      <c r="V415">
        <v>86</v>
      </c>
    </row>
    <row r="416" spans="1:25" ht="15" customHeight="1" x14ac:dyDescent="0.2">
      <c r="A416" s="1">
        <v>46250</v>
      </c>
      <c r="B416" t="s">
        <v>26</v>
      </c>
      <c r="C416" t="s">
        <v>27</v>
      </c>
      <c r="D416" t="s">
        <v>28</v>
      </c>
      <c r="E416" t="s">
        <v>29</v>
      </c>
      <c r="F416" s="2">
        <v>0.47499999999999998</v>
      </c>
      <c r="G416" s="2">
        <v>0.51458333333333295</v>
      </c>
      <c r="H416">
        <v>57</v>
      </c>
      <c r="I416" s="3">
        <v>0.46875</v>
      </c>
      <c r="J416" s="2">
        <v>0.52083333333333304</v>
      </c>
      <c r="K416">
        <v>105</v>
      </c>
      <c r="L416" s="2">
        <v>0.47499999999999998</v>
      </c>
      <c r="M416" s="2">
        <v>0.51249999999999996</v>
      </c>
      <c r="N416">
        <v>54</v>
      </c>
      <c r="O416" s="2">
        <v>0.48958333333333298</v>
      </c>
      <c r="P416" s="2">
        <v>0.50763888888888897</v>
      </c>
      <c r="Q416" s="2">
        <v>0.51249999999999996</v>
      </c>
      <c r="R416">
        <v>54</v>
      </c>
      <c r="S416">
        <v>26</v>
      </c>
      <c r="T416" s="2">
        <v>0.51371527777777803</v>
      </c>
      <c r="U416" s="2">
        <v>0.55694444444444402</v>
      </c>
      <c r="V416">
        <v>63</v>
      </c>
    </row>
    <row r="417" spans="1:25" ht="15" customHeight="1" x14ac:dyDescent="0.2">
      <c r="A417" s="1">
        <v>46250</v>
      </c>
      <c r="B417" t="s">
        <v>26</v>
      </c>
      <c r="C417" t="s">
        <v>27</v>
      </c>
      <c r="D417" t="s">
        <v>28</v>
      </c>
      <c r="E417" t="s">
        <v>29</v>
      </c>
      <c r="F417" s="2">
        <v>0.42708333333333298</v>
      </c>
      <c r="G417" s="2">
        <v>0.45763888888888898</v>
      </c>
      <c r="H417">
        <v>44</v>
      </c>
      <c r="I417" s="3">
        <v>0.43402777777777801</v>
      </c>
      <c r="J417" s="2">
        <v>0.46527777777777801</v>
      </c>
      <c r="K417">
        <v>75</v>
      </c>
      <c r="L417" s="2">
        <v>0.42708333333333298</v>
      </c>
      <c r="M417" s="2">
        <v>0.45069444444444401</v>
      </c>
      <c r="N417">
        <v>34</v>
      </c>
      <c r="O417" s="2">
        <v>0.44236111111111098</v>
      </c>
      <c r="P417" s="2">
        <v>0.44791666666666702</v>
      </c>
      <c r="Q417" s="2">
        <v>0.45069444444444401</v>
      </c>
      <c r="R417">
        <v>34</v>
      </c>
      <c r="S417">
        <v>8</v>
      </c>
      <c r="T417" s="2">
        <v>0.46144675925925899</v>
      </c>
      <c r="U417" s="2">
        <v>0.49027777777777798</v>
      </c>
      <c r="V417">
        <v>42</v>
      </c>
    </row>
    <row r="418" spans="1:25" ht="15" customHeight="1" x14ac:dyDescent="0.2">
      <c r="A418" s="1">
        <v>46250</v>
      </c>
      <c r="B418" t="s">
        <v>42</v>
      </c>
      <c r="C418" t="s">
        <v>43</v>
      </c>
      <c r="D418" t="s">
        <v>28</v>
      </c>
      <c r="E418" t="s">
        <v>29</v>
      </c>
      <c r="F418" s="2">
        <v>0.61319444444444404</v>
      </c>
      <c r="G418" s="2">
        <v>0.63472222222222197</v>
      </c>
      <c r="H418">
        <v>31</v>
      </c>
      <c r="I418" s="3">
        <v>0.54166666666666696</v>
      </c>
      <c r="J418" s="2">
        <v>0.56597222222222199</v>
      </c>
      <c r="K418">
        <v>65</v>
      </c>
      <c r="L418" s="2">
        <v>0.61319444444444404</v>
      </c>
      <c r="M418" s="2">
        <v>0.63194444444444398</v>
      </c>
      <c r="N418">
        <v>27</v>
      </c>
      <c r="O418" s="2">
        <v>0.62083333333333302</v>
      </c>
      <c r="P418" s="2">
        <v>0.62708333333333299</v>
      </c>
      <c r="Q418" s="2">
        <v>0.63194444444444398</v>
      </c>
      <c r="R418">
        <v>27</v>
      </c>
      <c r="S418">
        <v>9</v>
      </c>
      <c r="T418" s="2">
        <v>0.64518518518518497</v>
      </c>
      <c r="U418" s="2">
        <v>0.65891203703703705</v>
      </c>
      <c r="V418">
        <v>19</v>
      </c>
    </row>
    <row r="419" spans="1:25" ht="15" customHeight="1" x14ac:dyDescent="0.2">
      <c r="A419" s="1">
        <v>46250</v>
      </c>
      <c r="B419" t="s">
        <v>26</v>
      </c>
      <c r="C419" t="s">
        <v>27</v>
      </c>
      <c r="D419" t="s">
        <v>28</v>
      </c>
      <c r="E419" t="s">
        <v>35</v>
      </c>
      <c r="F419" s="2">
        <v>1.18055555555556E-2</v>
      </c>
      <c r="G419" s="2">
        <v>6.9444444444444406E-2</v>
      </c>
      <c r="H419">
        <v>83</v>
      </c>
      <c r="I419" s="3">
        <v>1.0416666666666701E-2</v>
      </c>
      <c r="J419" s="2">
        <v>6.5972222222222196E-2</v>
      </c>
      <c r="K419">
        <v>110</v>
      </c>
      <c r="L419" s="2">
        <v>1.18055555555556E-2</v>
      </c>
      <c r="M419" s="2">
        <v>6.5972222222222196E-2</v>
      </c>
      <c r="N419">
        <v>78</v>
      </c>
      <c r="O419" s="2">
        <v>2.9166666666666698E-2</v>
      </c>
      <c r="P419" s="2">
        <v>6.1111111111111102E-2</v>
      </c>
      <c r="Q419" s="2">
        <v>6.5972222222222196E-2</v>
      </c>
      <c r="R419">
        <v>78</v>
      </c>
      <c r="S419">
        <v>46</v>
      </c>
      <c r="T419" s="2">
        <v>6.6782407407407401E-2</v>
      </c>
      <c r="U419" s="2">
        <v>8.4027777777777798E-2</v>
      </c>
      <c r="V419">
        <v>25</v>
      </c>
    </row>
    <row r="420" spans="1:25" ht="15" customHeight="1" x14ac:dyDescent="0.2">
      <c r="A420" s="1">
        <v>46250</v>
      </c>
      <c r="B420" t="s">
        <v>26</v>
      </c>
      <c r="C420" t="s">
        <v>27</v>
      </c>
      <c r="D420" t="s">
        <v>34</v>
      </c>
      <c r="E420" t="s">
        <v>29</v>
      </c>
      <c r="F420" s="2">
        <v>0.70972222222222203</v>
      </c>
      <c r="G420" s="2">
        <v>0.80625000000000002</v>
      </c>
      <c r="H420">
        <v>139</v>
      </c>
      <c r="I420" s="3">
        <v>0.67013888888888895</v>
      </c>
      <c r="J420" s="2">
        <v>0.77777777777777801</v>
      </c>
      <c r="K420">
        <v>185</v>
      </c>
      <c r="L420" s="2">
        <v>0.70972222222222203</v>
      </c>
      <c r="M420" s="2">
        <v>0.79930555555555605</v>
      </c>
      <c r="N420">
        <v>129</v>
      </c>
      <c r="O420" s="2">
        <v>0.73819444444444404</v>
      </c>
      <c r="P420" s="2">
        <v>0.79513888888888895</v>
      </c>
      <c r="Q420" s="2">
        <v>0.79930555555555605</v>
      </c>
      <c r="R420">
        <v>129</v>
      </c>
      <c r="S420">
        <v>82</v>
      </c>
      <c r="T420" s="2">
        <v>0.80094907407407401</v>
      </c>
      <c r="U420" s="2">
        <v>0.82950231481481496</v>
      </c>
      <c r="V420">
        <v>41</v>
      </c>
    </row>
    <row r="421" spans="1:25" ht="15" customHeight="1" x14ac:dyDescent="0.2">
      <c r="A421" s="1">
        <v>46251</v>
      </c>
      <c r="B421" t="s">
        <v>42</v>
      </c>
      <c r="C421" t="s">
        <v>43</v>
      </c>
      <c r="D421" t="s">
        <v>28</v>
      </c>
      <c r="E421" t="s">
        <v>31</v>
      </c>
      <c r="F421" s="2">
        <v>0.32638888888888901</v>
      </c>
      <c r="G421" s="2">
        <v>0.37916666666666698</v>
      </c>
      <c r="H421">
        <v>76</v>
      </c>
      <c r="I421" s="3">
        <v>0.33333333333333298</v>
      </c>
      <c r="J421" s="2">
        <v>0.41666666666666702</v>
      </c>
      <c r="K421">
        <v>120</v>
      </c>
      <c r="L421" s="2">
        <v>0.32638888888888901</v>
      </c>
      <c r="M421" s="2">
        <v>0.374305555555556</v>
      </c>
      <c r="N421">
        <v>69</v>
      </c>
      <c r="O421" s="2">
        <v>0.34861111111111098</v>
      </c>
      <c r="P421" s="2">
        <v>0.37222222222222201</v>
      </c>
      <c r="Q421" s="2">
        <v>0.374305555555556</v>
      </c>
      <c r="R421">
        <v>69</v>
      </c>
      <c r="S421">
        <v>34</v>
      </c>
      <c r="T421" s="2">
        <v>0.37583333333333302</v>
      </c>
      <c r="U421" s="2">
        <v>0.38611111111111102</v>
      </c>
      <c r="V421">
        <v>15</v>
      </c>
      <c r="W421" s="2">
        <v>0.38680555555555601</v>
      </c>
      <c r="X421" s="2">
        <v>0.41666666666666702</v>
      </c>
      <c r="Y421">
        <v>43</v>
      </c>
    </row>
    <row r="422" spans="1:25" ht="15" customHeight="1" x14ac:dyDescent="0.2">
      <c r="A422" s="1">
        <v>46251</v>
      </c>
      <c r="B422" t="s">
        <v>42</v>
      </c>
      <c r="C422" t="s">
        <v>43</v>
      </c>
      <c r="D422" t="s">
        <v>28</v>
      </c>
      <c r="E422" t="s">
        <v>29</v>
      </c>
      <c r="F422" s="2">
        <v>0.343055555555556</v>
      </c>
      <c r="G422" s="2">
        <v>0.436805555555556</v>
      </c>
      <c r="H422">
        <v>135</v>
      </c>
      <c r="I422" s="3">
        <v>0.33333333333333298</v>
      </c>
      <c r="J422" s="2">
        <v>0.4375</v>
      </c>
      <c r="K422">
        <v>150</v>
      </c>
      <c r="L422" s="2">
        <v>0.343055555555556</v>
      </c>
      <c r="M422" s="2">
        <v>0.43125000000000002</v>
      </c>
      <c r="N422">
        <v>127</v>
      </c>
      <c r="O422" s="2">
        <v>0.36736111111111103</v>
      </c>
      <c r="P422" s="2">
        <v>0.42847222222222198</v>
      </c>
      <c r="Q422" s="2">
        <v>0.43125000000000002</v>
      </c>
      <c r="R422">
        <v>127</v>
      </c>
      <c r="S422">
        <v>88</v>
      </c>
      <c r="T422" s="2">
        <v>0.43879629629629602</v>
      </c>
      <c r="U422" s="2">
        <v>0.47916666666666702</v>
      </c>
      <c r="V422">
        <v>59</v>
      </c>
      <c r="W422" s="2">
        <v>0.47986111111111102</v>
      </c>
      <c r="X422" s="2">
        <v>0.49252314814814802</v>
      </c>
      <c r="Y422">
        <v>18</v>
      </c>
    </row>
    <row r="423" spans="1:25" ht="15" customHeight="1" x14ac:dyDescent="0.2">
      <c r="A423" s="1">
        <v>46251</v>
      </c>
      <c r="B423" t="s">
        <v>42</v>
      </c>
      <c r="C423" t="s">
        <v>43</v>
      </c>
      <c r="D423" t="s">
        <v>28</v>
      </c>
      <c r="E423" t="s">
        <v>29</v>
      </c>
      <c r="F423" s="2">
        <v>0.46180555555555602</v>
      </c>
      <c r="G423" s="2">
        <v>0.55416666666666703</v>
      </c>
      <c r="H423">
        <v>133</v>
      </c>
      <c r="I423" s="3">
        <v>0.45833333333333298</v>
      </c>
      <c r="J423" s="2">
        <v>0.5625</v>
      </c>
      <c r="K423">
        <v>150</v>
      </c>
      <c r="L423" s="2">
        <v>0.46180555555555602</v>
      </c>
      <c r="M423" s="2">
        <v>0.54930555555555605</v>
      </c>
      <c r="N423">
        <v>126</v>
      </c>
      <c r="O423" s="2">
        <v>0.483333333333333</v>
      </c>
      <c r="P423" s="2">
        <v>0.54652777777777795</v>
      </c>
      <c r="Q423" s="2">
        <v>0.54930555555555605</v>
      </c>
      <c r="R423">
        <v>126</v>
      </c>
      <c r="S423">
        <v>91</v>
      </c>
      <c r="T423" s="2">
        <v>0.55263888888888901</v>
      </c>
      <c r="U423" s="2">
        <v>0.56874999999999998</v>
      </c>
      <c r="V423">
        <v>24</v>
      </c>
      <c r="W423" s="2">
        <v>0.56874999999999998</v>
      </c>
      <c r="X423" s="2">
        <v>0.63541666666666696</v>
      </c>
      <c r="Y423">
        <v>96</v>
      </c>
    </row>
    <row r="424" spans="1:25" ht="15" customHeight="1" x14ac:dyDescent="0.2">
      <c r="A424" s="1">
        <v>46251</v>
      </c>
      <c r="B424" t="s">
        <v>42</v>
      </c>
      <c r="C424" t="s">
        <v>43</v>
      </c>
      <c r="D424" t="s">
        <v>38</v>
      </c>
      <c r="E424" t="s">
        <v>35</v>
      </c>
      <c r="F424" s="2">
        <v>0.40138888888888902</v>
      </c>
      <c r="G424" s="2">
        <v>0.454166666666667</v>
      </c>
      <c r="H424">
        <v>76</v>
      </c>
      <c r="I424" s="3">
        <v>0.41666666666666702</v>
      </c>
      <c r="J424" s="2">
        <v>0.47916666666666702</v>
      </c>
      <c r="K424">
        <v>90</v>
      </c>
      <c r="L424" s="2">
        <v>0.40138888888888902</v>
      </c>
      <c r="M424" s="2">
        <v>0.45138888888888901</v>
      </c>
      <c r="N424">
        <v>72</v>
      </c>
      <c r="O424" s="2">
        <v>0.420833333333333</v>
      </c>
      <c r="P424" s="2">
        <v>0.45</v>
      </c>
      <c r="Q424" s="2">
        <v>0.45138888888888901</v>
      </c>
      <c r="R424">
        <v>72</v>
      </c>
      <c r="S424">
        <v>42</v>
      </c>
      <c r="T424" s="2">
        <v>0.452083333333333</v>
      </c>
      <c r="U424" s="2">
        <v>0.47986111111111102</v>
      </c>
      <c r="V424">
        <v>40</v>
      </c>
      <c r="W424" s="2">
        <v>0.47986111111111102</v>
      </c>
      <c r="X424" s="2">
        <v>0.49722222222222201</v>
      </c>
      <c r="Y424">
        <v>25</v>
      </c>
    </row>
    <row r="425" spans="1:25" ht="15" customHeight="1" x14ac:dyDescent="0.2">
      <c r="A425" s="1">
        <v>46251</v>
      </c>
      <c r="B425" t="s">
        <v>42</v>
      </c>
      <c r="C425" t="s">
        <v>43</v>
      </c>
      <c r="D425" t="s">
        <v>28</v>
      </c>
      <c r="E425" t="s">
        <v>31</v>
      </c>
      <c r="F425" s="2">
        <v>0.47361111111111098</v>
      </c>
      <c r="G425" s="2">
        <v>0.55347222222222203</v>
      </c>
      <c r="H425">
        <v>115</v>
      </c>
      <c r="I425" s="3">
        <v>0.5</v>
      </c>
      <c r="J425" s="2">
        <v>0.60416666666666696</v>
      </c>
      <c r="K425">
        <v>150</v>
      </c>
      <c r="L425" s="2">
        <v>0.47361111111111098</v>
      </c>
      <c r="M425" s="2">
        <v>0.55138888888888904</v>
      </c>
      <c r="N425">
        <v>112</v>
      </c>
      <c r="O425" s="2">
        <v>0.49375000000000002</v>
      </c>
      <c r="P425" s="2">
        <v>0.54861111111111105</v>
      </c>
      <c r="Q425" s="2">
        <v>0.55138888888888904</v>
      </c>
      <c r="R425">
        <v>112</v>
      </c>
      <c r="S425">
        <v>79</v>
      </c>
      <c r="T425" s="2">
        <v>0.55315972222222198</v>
      </c>
      <c r="U425" s="2">
        <v>0.57361111111111096</v>
      </c>
      <c r="V425">
        <v>30</v>
      </c>
      <c r="W425" s="2">
        <v>0.57430555555555596</v>
      </c>
      <c r="X425" s="2">
        <v>0.62152777777777801</v>
      </c>
      <c r="Y425">
        <v>68</v>
      </c>
    </row>
    <row r="426" spans="1:25" ht="15" customHeight="1" x14ac:dyDescent="0.2">
      <c r="A426" s="1">
        <v>46251</v>
      </c>
      <c r="B426" t="s">
        <v>26</v>
      </c>
      <c r="C426" t="s">
        <v>27</v>
      </c>
      <c r="D426" t="s">
        <v>28</v>
      </c>
      <c r="E426" t="s">
        <v>29</v>
      </c>
      <c r="F426" s="2">
        <v>0.33055555555555599</v>
      </c>
      <c r="G426" s="2">
        <v>0.46111111111111103</v>
      </c>
      <c r="H426">
        <v>188</v>
      </c>
      <c r="I426" s="3">
        <v>0.33333333333333298</v>
      </c>
      <c r="J426" s="2">
        <v>0.42708333333333298</v>
      </c>
      <c r="K426">
        <v>135</v>
      </c>
      <c r="L426" s="2">
        <v>0.33055555555555599</v>
      </c>
      <c r="M426" s="2">
        <v>0.45833333333333298</v>
      </c>
      <c r="N426">
        <v>184</v>
      </c>
      <c r="O426" s="2">
        <v>0.35694444444444401</v>
      </c>
      <c r="P426" s="2">
        <v>0.44791666666666702</v>
      </c>
      <c r="Q426" s="2">
        <v>0.45833333333333298</v>
      </c>
      <c r="R426">
        <v>184</v>
      </c>
      <c r="S426">
        <v>131</v>
      </c>
      <c r="T426" s="2">
        <v>0.45972222222222198</v>
      </c>
      <c r="U426" s="2">
        <v>0.47518518518518499</v>
      </c>
      <c r="V426">
        <v>22</v>
      </c>
    </row>
    <row r="427" spans="1:25" ht="15" customHeight="1" x14ac:dyDescent="0.2">
      <c r="A427" s="1">
        <v>46251</v>
      </c>
      <c r="B427" t="s">
        <v>42</v>
      </c>
      <c r="C427" t="s">
        <v>43</v>
      </c>
      <c r="D427" t="s">
        <v>28</v>
      </c>
      <c r="E427" t="s">
        <v>29</v>
      </c>
      <c r="F427" s="2">
        <v>0.60208333333333297</v>
      </c>
      <c r="G427" s="2">
        <v>0.70069444444444395</v>
      </c>
      <c r="H427">
        <v>142</v>
      </c>
      <c r="I427" s="3">
        <v>0.57291666666666696</v>
      </c>
      <c r="J427" s="2">
        <v>0.69791666666666696</v>
      </c>
      <c r="K427">
        <v>180</v>
      </c>
      <c r="L427" s="2">
        <v>0.60208333333333297</v>
      </c>
      <c r="M427" s="2">
        <v>0.69722222222222197</v>
      </c>
      <c r="N427">
        <v>137</v>
      </c>
      <c r="O427" s="2">
        <v>0.63680555555555596</v>
      </c>
      <c r="P427" s="2">
        <v>0.69374999999999998</v>
      </c>
      <c r="Q427" s="2">
        <v>0.69722222222222197</v>
      </c>
      <c r="R427">
        <v>137</v>
      </c>
      <c r="S427">
        <v>82</v>
      </c>
      <c r="T427" s="2">
        <v>0.69795138888888897</v>
      </c>
      <c r="U427" s="2">
        <v>0.72850694444444397</v>
      </c>
      <c r="V427">
        <v>44</v>
      </c>
    </row>
    <row r="428" spans="1:25" ht="15" customHeight="1" x14ac:dyDescent="0.2">
      <c r="A428" s="1">
        <v>46251</v>
      </c>
      <c r="B428" t="s">
        <v>42</v>
      </c>
      <c r="C428" t="s">
        <v>43</v>
      </c>
      <c r="D428" t="s">
        <v>34</v>
      </c>
      <c r="E428" t="s">
        <v>31</v>
      </c>
      <c r="F428" s="2">
        <v>0.39236111111111099</v>
      </c>
      <c r="G428" s="2">
        <v>0.53472222222222199</v>
      </c>
      <c r="H428">
        <v>205</v>
      </c>
      <c r="I428" s="3">
        <v>0.33333333333333298</v>
      </c>
      <c r="J428" s="2">
        <v>0.45833333333333298</v>
      </c>
      <c r="K428">
        <v>180</v>
      </c>
      <c r="L428" s="2">
        <v>0.39236111111111099</v>
      </c>
      <c r="M428" s="2">
        <v>0.53125</v>
      </c>
      <c r="N428">
        <v>200</v>
      </c>
      <c r="O428" s="2">
        <v>0.41388888888888897</v>
      </c>
      <c r="P428" s="2">
        <v>0.52569444444444402</v>
      </c>
      <c r="Q428" s="2">
        <v>0.53125</v>
      </c>
      <c r="R428">
        <v>200</v>
      </c>
      <c r="S428">
        <v>161</v>
      </c>
      <c r="T428" s="2">
        <v>0.53263888888888899</v>
      </c>
      <c r="U428" s="2">
        <v>0.58038194444444402</v>
      </c>
      <c r="V428">
        <v>68</v>
      </c>
      <c r="W428" s="2">
        <v>0.58763888888888904</v>
      </c>
      <c r="X428" s="2">
        <v>0.76458333333333295</v>
      </c>
      <c r="Y428">
        <v>255</v>
      </c>
    </row>
    <row r="429" spans="1:25" ht="15" customHeight="1" x14ac:dyDescent="0.2">
      <c r="A429" s="1">
        <v>46251</v>
      </c>
      <c r="B429" t="s">
        <v>26</v>
      </c>
      <c r="C429" t="s">
        <v>27</v>
      </c>
      <c r="D429" t="s">
        <v>28</v>
      </c>
      <c r="E429" t="s">
        <v>31</v>
      </c>
      <c r="F429" s="2">
        <v>0.51666666666666705</v>
      </c>
      <c r="G429" s="2">
        <v>0.64305555555555605</v>
      </c>
      <c r="H429">
        <v>182</v>
      </c>
      <c r="I429" s="3">
        <v>0.46875</v>
      </c>
      <c r="J429" s="2">
        <v>0.5625</v>
      </c>
      <c r="K429">
        <v>135</v>
      </c>
      <c r="L429" s="2">
        <v>0.51666666666666705</v>
      </c>
      <c r="M429" s="2">
        <v>0.63958333333333295</v>
      </c>
      <c r="N429">
        <v>177</v>
      </c>
      <c r="O429" s="2">
        <v>0.54027777777777797</v>
      </c>
      <c r="P429" s="2">
        <v>0.63611111111111096</v>
      </c>
      <c r="Q429" s="2">
        <v>0.63958333333333295</v>
      </c>
      <c r="R429">
        <v>177</v>
      </c>
      <c r="S429">
        <v>138</v>
      </c>
      <c r="T429" s="2">
        <v>0.64034722222222196</v>
      </c>
      <c r="U429" s="2">
        <v>0.69791666666666696</v>
      </c>
      <c r="V429">
        <v>83</v>
      </c>
    </row>
    <row r="430" spans="1:25" ht="15" customHeight="1" x14ac:dyDescent="0.2">
      <c r="A430" s="1">
        <v>46251</v>
      </c>
      <c r="B430" t="s">
        <v>26</v>
      </c>
      <c r="C430" t="s">
        <v>27</v>
      </c>
      <c r="D430" t="s">
        <v>34</v>
      </c>
      <c r="E430" t="s">
        <v>36</v>
      </c>
      <c r="F430" s="2">
        <v>0.26319444444444401</v>
      </c>
      <c r="G430" s="2">
        <v>0.53125</v>
      </c>
      <c r="H430">
        <v>386</v>
      </c>
      <c r="I430" s="3">
        <v>0.26041666666666702</v>
      </c>
      <c r="J430" s="2">
        <v>0.46875</v>
      </c>
      <c r="K430">
        <v>300</v>
      </c>
      <c r="L430" s="2">
        <v>0.26319444444444401</v>
      </c>
      <c r="M430" s="2">
        <v>0.51944444444444404</v>
      </c>
      <c r="N430">
        <v>369</v>
      </c>
      <c r="O430" s="2">
        <v>0.34861111111111098</v>
      </c>
      <c r="P430" s="2">
        <v>0.51458333333333295</v>
      </c>
      <c r="Q430" s="2">
        <v>0.51944444444444404</v>
      </c>
      <c r="R430">
        <v>369</v>
      </c>
      <c r="S430">
        <v>239</v>
      </c>
    </row>
    <row r="431" spans="1:25" ht="15" customHeight="1" x14ac:dyDescent="0.2">
      <c r="A431" s="1">
        <v>46251</v>
      </c>
      <c r="B431" t="s">
        <v>42</v>
      </c>
      <c r="C431" t="s">
        <v>43</v>
      </c>
      <c r="D431" t="s">
        <v>28</v>
      </c>
      <c r="E431" t="s">
        <v>29</v>
      </c>
      <c r="F431" s="2">
        <v>0.48125000000000001</v>
      </c>
      <c r="G431" s="2">
        <v>0.50694444444444398</v>
      </c>
      <c r="H431">
        <v>37</v>
      </c>
      <c r="I431" s="3">
        <v>0.46527777777777801</v>
      </c>
      <c r="J431" s="2">
        <v>0.49652777777777801</v>
      </c>
      <c r="K431">
        <v>45</v>
      </c>
      <c r="L431" s="2">
        <v>0.48125000000000001</v>
      </c>
      <c r="M431" s="2">
        <v>0.50486111111111098</v>
      </c>
      <c r="N431">
        <v>34</v>
      </c>
      <c r="O431" s="2">
        <v>0.49583333333333302</v>
      </c>
      <c r="P431" s="2">
        <v>0.500694444444444</v>
      </c>
      <c r="Q431" s="2">
        <v>0.50486111111111098</v>
      </c>
      <c r="R431">
        <v>34</v>
      </c>
      <c r="S431">
        <v>7</v>
      </c>
      <c r="T431" s="2">
        <v>0.50859953703703698</v>
      </c>
      <c r="U431" s="2">
        <v>0.55277777777777803</v>
      </c>
      <c r="V431">
        <v>64</v>
      </c>
      <c r="W431" s="2">
        <v>0.55347222222222203</v>
      </c>
      <c r="X431" s="2">
        <v>0.60613425925925901</v>
      </c>
      <c r="Y431">
        <v>75</v>
      </c>
    </row>
    <row r="432" spans="1:25" ht="15" customHeight="1" x14ac:dyDescent="0.2">
      <c r="A432" s="1">
        <v>46251</v>
      </c>
      <c r="B432" t="s">
        <v>26</v>
      </c>
      <c r="C432" t="s">
        <v>27</v>
      </c>
      <c r="D432" t="s">
        <v>28</v>
      </c>
      <c r="E432" t="s">
        <v>35</v>
      </c>
      <c r="F432" s="2">
        <v>0.33055555555555599</v>
      </c>
      <c r="G432" s="2">
        <v>0.454166666666667</v>
      </c>
      <c r="H432">
        <v>178</v>
      </c>
      <c r="I432" s="3">
        <v>0.33333333333333298</v>
      </c>
      <c r="J432" s="2">
        <v>0.41666666666666702</v>
      </c>
      <c r="K432">
        <v>120</v>
      </c>
      <c r="L432" s="2">
        <v>0.33055555555555599</v>
      </c>
      <c r="M432" s="2">
        <v>0.45</v>
      </c>
      <c r="N432">
        <v>172</v>
      </c>
      <c r="O432" s="2">
        <v>0.36458333333333298</v>
      </c>
      <c r="P432" s="2">
        <v>0.43958333333333299</v>
      </c>
      <c r="Q432" s="2">
        <v>0.45</v>
      </c>
      <c r="R432">
        <v>172</v>
      </c>
      <c r="S432">
        <v>108</v>
      </c>
      <c r="T432" s="2">
        <v>0.45107638888888901</v>
      </c>
      <c r="U432" s="2">
        <v>0.47099537037036998</v>
      </c>
      <c r="V432">
        <v>29</v>
      </c>
    </row>
    <row r="433" spans="1:25" ht="15" customHeight="1" x14ac:dyDescent="0.2">
      <c r="A433" s="1">
        <v>46251</v>
      </c>
      <c r="B433" t="s">
        <v>26</v>
      </c>
      <c r="C433" t="s">
        <v>27</v>
      </c>
      <c r="D433" t="s">
        <v>28</v>
      </c>
      <c r="E433" t="s">
        <v>31</v>
      </c>
      <c r="F433" s="2">
        <v>0.53263888888888899</v>
      </c>
      <c r="G433" s="2">
        <v>0.57222222222222197</v>
      </c>
      <c r="H433">
        <v>57</v>
      </c>
      <c r="I433" s="3">
        <v>0.5</v>
      </c>
      <c r="J433" s="2">
        <v>0.54166666666666696</v>
      </c>
      <c r="K433">
        <v>60</v>
      </c>
      <c r="L433" s="2">
        <v>0.53263888888888899</v>
      </c>
      <c r="M433" s="2">
        <v>0.56944444444444398</v>
      </c>
      <c r="N433">
        <v>53</v>
      </c>
      <c r="O433" s="2">
        <v>0.55138888888888904</v>
      </c>
      <c r="P433" s="2">
        <v>0.56527777777777799</v>
      </c>
      <c r="Q433" s="2">
        <v>0.56944444444444398</v>
      </c>
      <c r="R433">
        <v>53</v>
      </c>
      <c r="S433">
        <v>20</v>
      </c>
      <c r="T433" s="2">
        <v>0.57083333333333297</v>
      </c>
      <c r="U433" s="2">
        <v>0.60180555555555604</v>
      </c>
      <c r="V433">
        <v>44</v>
      </c>
    </row>
    <row r="434" spans="1:25" ht="15" customHeight="1" x14ac:dyDescent="0.2">
      <c r="A434" s="1">
        <v>46251</v>
      </c>
      <c r="B434" t="s">
        <v>26</v>
      </c>
      <c r="C434" t="s">
        <v>27</v>
      </c>
      <c r="D434" t="s">
        <v>28</v>
      </c>
      <c r="E434" t="s">
        <v>29</v>
      </c>
      <c r="F434" s="2">
        <v>0.33680555555555602</v>
      </c>
      <c r="G434" s="2">
        <v>0.422222222222222</v>
      </c>
      <c r="H434">
        <v>123</v>
      </c>
      <c r="I434" s="3">
        <v>0.33333333333333298</v>
      </c>
      <c r="J434" s="2">
        <v>0.42708333333333298</v>
      </c>
      <c r="K434">
        <v>135</v>
      </c>
      <c r="L434" s="2">
        <v>0.33680555555555602</v>
      </c>
      <c r="M434" s="2">
        <v>0.41527777777777802</v>
      </c>
      <c r="N434">
        <v>113</v>
      </c>
      <c r="O434" s="2">
        <v>0.35416666666666702</v>
      </c>
      <c r="P434" s="2">
        <v>0.40972222222222199</v>
      </c>
      <c r="Q434" s="2">
        <v>0.41527777777777802</v>
      </c>
      <c r="R434">
        <v>113</v>
      </c>
      <c r="S434">
        <v>80</v>
      </c>
      <c r="T434" s="2">
        <v>0.41873842592592603</v>
      </c>
      <c r="U434" s="2">
        <v>0.43888888888888899</v>
      </c>
      <c r="V434">
        <v>30</v>
      </c>
    </row>
    <row r="435" spans="1:25" ht="15" customHeight="1" x14ac:dyDescent="0.2">
      <c r="A435" s="1">
        <v>46251</v>
      </c>
      <c r="B435" t="s">
        <v>26</v>
      </c>
      <c r="C435" t="s">
        <v>27</v>
      </c>
      <c r="D435" t="s">
        <v>28</v>
      </c>
      <c r="E435" t="s">
        <v>29</v>
      </c>
      <c r="F435" s="2">
        <v>0.54791666666666705</v>
      </c>
      <c r="G435" s="2">
        <v>0.61527777777777803</v>
      </c>
      <c r="H435">
        <v>97</v>
      </c>
      <c r="I435" s="3">
        <v>0.55208333333333304</v>
      </c>
      <c r="J435" s="2">
        <v>0.625</v>
      </c>
      <c r="K435">
        <v>105</v>
      </c>
      <c r="L435" s="2">
        <v>0.54791666666666705</v>
      </c>
      <c r="M435" s="2">
        <v>0.60833333333333295</v>
      </c>
      <c r="N435">
        <v>87</v>
      </c>
      <c r="O435" s="2">
        <v>0.57013888888888897</v>
      </c>
      <c r="P435" s="2">
        <v>0.60416666666666696</v>
      </c>
      <c r="Q435" s="2">
        <v>0.60833333333333295</v>
      </c>
      <c r="R435">
        <v>87</v>
      </c>
      <c r="S435">
        <v>49</v>
      </c>
      <c r="T435" s="2">
        <v>0.61250000000000004</v>
      </c>
      <c r="U435" s="2">
        <v>0.67569444444444404</v>
      </c>
      <c r="V435">
        <v>91</v>
      </c>
    </row>
    <row r="436" spans="1:25" ht="15" customHeight="1" x14ac:dyDescent="0.2">
      <c r="A436" s="1">
        <v>46251</v>
      </c>
      <c r="B436" t="s">
        <v>42</v>
      </c>
      <c r="C436" t="s">
        <v>43</v>
      </c>
      <c r="D436" t="s">
        <v>28</v>
      </c>
      <c r="E436" t="s">
        <v>31</v>
      </c>
      <c r="F436" s="2">
        <v>0.33055555555555599</v>
      </c>
      <c r="G436" s="2">
        <v>0.35625000000000001</v>
      </c>
      <c r="H436">
        <v>37</v>
      </c>
      <c r="I436" s="3">
        <v>0.33333333333333298</v>
      </c>
      <c r="J436" s="2">
        <v>0.375</v>
      </c>
      <c r="K436">
        <v>60</v>
      </c>
      <c r="L436" s="2">
        <v>0.33055555555555599</v>
      </c>
      <c r="M436" s="2">
        <v>0.35277777777777802</v>
      </c>
      <c r="N436">
        <v>32</v>
      </c>
      <c r="O436" s="2">
        <v>0.344444444444444</v>
      </c>
      <c r="P436" s="2">
        <v>0.35</v>
      </c>
      <c r="Q436" s="2">
        <v>0.35277777777777802</v>
      </c>
      <c r="R436">
        <v>32</v>
      </c>
      <c r="S436">
        <v>8</v>
      </c>
      <c r="T436" s="2">
        <v>0.353680555555556</v>
      </c>
      <c r="U436" s="2">
        <v>0.36805555555555602</v>
      </c>
      <c r="V436">
        <v>21</v>
      </c>
      <c r="W436" s="2">
        <v>0.36875000000000002</v>
      </c>
      <c r="X436" s="2">
        <v>0.40069444444444402</v>
      </c>
      <c r="Y436">
        <v>46</v>
      </c>
    </row>
    <row r="437" spans="1:25" ht="15" customHeight="1" x14ac:dyDescent="0.2">
      <c r="A437" s="1">
        <v>46251</v>
      </c>
      <c r="B437" t="s">
        <v>42</v>
      </c>
      <c r="C437" t="s">
        <v>43</v>
      </c>
      <c r="D437" t="s">
        <v>28</v>
      </c>
      <c r="E437" t="s">
        <v>31</v>
      </c>
      <c r="F437" s="2">
        <v>0.45138888888888901</v>
      </c>
      <c r="G437" s="2">
        <v>0.50902777777777797</v>
      </c>
      <c r="H437">
        <v>83</v>
      </c>
      <c r="I437" s="3">
        <v>0.44791666666666702</v>
      </c>
      <c r="J437" s="2">
        <v>0.53125</v>
      </c>
      <c r="K437">
        <v>120</v>
      </c>
      <c r="L437" s="2">
        <v>0.45138888888888901</v>
      </c>
      <c r="M437" s="2">
        <v>0.50208333333333299</v>
      </c>
      <c r="N437">
        <v>73</v>
      </c>
      <c r="O437" s="2">
        <v>0.47222222222222199</v>
      </c>
      <c r="P437" s="2">
        <v>0.49444444444444402</v>
      </c>
      <c r="Q437" s="2">
        <v>0.50208333333333299</v>
      </c>
      <c r="R437">
        <v>73</v>
      </c>
      <c r="S437">
        <v>32</v>
      </c>
      <c r="T437" s="2">
        <v>0.50353009259259296</v>
      </c>
      <c r="U437" s="2">
        <v>0.52152777777777803</v>
      </c>
      <c r="V437">
        <v>26</v>
      </c>
      <c r="W437" s="2">
        <v>0.55208333333333304</v>
      </c>
      <c r="X437" s="2">
        <v>0.593055555555556</v>
      </c>
      <c r="Y437">
        <v>59</v>
      </c>
    </row>
    <row r="438" spans="1:25" ht="15" customHeight="1" x14ac:dyDescent="0.2">
      <c r="A438" s="1">
        <v>46251</v>
      </c>
      <c r="B438" t="s">
        <v>42</v>
      </c>
      <c r="C438" t="s">
        <v>43</v>
      </c>
      <c r="D438" t="s">
        <v>28</v>
      </c>
      <c r="E438" t="s">
        <v>29</v>
      </c>
      <c r="F438" s="2">
        <v>0.47986111111111102</v>
      </c>
      <c r="G438" s="2">
        <v>0.53819444444444398</v>
      </c>
      <c r="H438">
        <v>84</v>
      </c>
      <c r="I438" s="3">
        <v>0.4375</v>
      </c>
      <c r="J438" s="2">
        <v>0.48958333333333298</v>
      </c>
      <c r="K438">
        <v>75</v>
      </c>
      <c r="L438" s="2">
        <v>0.47986111111111102</v>
      </c>
      <c r="M438" s="2">
        <v>0.53263888888888899</v>
      </c>
      <c r="N438">
        <v>76</v>
      </c>
      <c r="O438" s="2">
        <v>0.5</v>
      </c>
      <c r="P438" s="2">
        <v>0.52847222222222201</v>
      </c>
      <c r="Q438" s="2">
        <v>0.53263888888888899</v>
      </c>
      <c r="R438">
        <v>76</v>
      </c>
      <c r="S438">
        <v>41</v>
      </c>
      <c r="T438" s="2">
        <v>0.53785879629629596</v>
      </c>
      <c r="U438" s="2">
        <v>0.57222222222222197</v>
      </c>
      <c r="V438">
        <v>50</v>
      </c>
      <c r="W438" s="2">
        <v>0.57291666666666696</v>
      </c>
      <c r="X438" s="2">
        <v>0.58837962962962997</v>
      </c>
      <c r="Y438">
        <v>22</v>
      </c>
    </row>
    <row r="439" spans="1:25" ht="15" customHeight="1" x14ac:dyDescent="0.2">
      <c r="A439" s="1">
        <v>46251</v>
      </c>
      <c r="B439" t="s">
        <v>26</v>
      </c>
      <c r="C439" t="s">
        <v>27</v>
      </c>
      <c r="D439" t="s">
        <v>34</v>
      </c>
      <c r="E439" t="s">
        <v>31</v>
      </c>
      <c r="F439" s="2">
        <v>0.67638888888888904</v>
      </c>
      <c r="G439" s="2">
        <v>0.75833333333333297</v>
      </c>
      <c r="H439">
        <v>118</v>
      </c>
      <c r="I439" s="3">
        <v>0.66666666666666696</v>
      </c>
      <c r="J439" s="2">
        <v>0.75</v>
      </c>
      <c r="K439">
        <v>120</v>
      </c>
      <c r="L439" s="2">
        <v>0.67638888888888904</v>
      </c>
      <c r="M439" s="2">
        <v>0.75416666666666698</v>
      </c>
      <c r="N439">
        <v>112</v>
      </c>
      <c r="O439" s="2">
        <v>0.70069444444444395</v>
      </c>
      <c r="P439" s="2">
        <v>0.750694444444444</v>
      </c>
      <c r="Q439" s="2">
        <v>0.75416666666666698</v>
      </c>
      <c r="R439">
        <v>112</v>
      </c>
      <c r="S439">
        <v>72</v>
      </c>
      <c r="T439" s="2">
        <v>0.75521990740740697</v>
      </c>
      <c r="U439" s="2">
        <v>0.80208333333333304</v>
      </c>
      <c r="V439">
        <v>68</v>
      </c>
    </row>
    <row r="440" spans="1:25" ht="15" customHeight="1" x14ac:dyDescent="0.2">
      <c r="A440" s="1">
        <v>46251</v>
      </c>
      <c r="B440" t="s">
        <v>42</v>
      </c>
      <c r="C440" t="s">
        <v>43</v>
      </c>
      <c r="D440" t="s">
        <v>28</v>
      </c>
      <c r="E440" t="s">
        <v>29</v>
      </c>
      <c r="F440" s="2">
        <v>0.55625000000000002</v>
      </c>
      <c r="G440" s="2">
        <v>0.58472222222222203</v>
      </c>
      <c r="H440">
        <v>41</v>
      </c>
      <c r="I440" s="3">
        <v>0.5625</v>
      </c>
      <c r="J440" s="2">
        <v>0.59375</v>
      </c>
      <c r="K440">
        <v>45</v>
      </c>
      <c r="L440" s="2">
        <v>0.55625000000000002</v>
      </c>
      <c r="M440" s="2">
        <v>0.58125000000000004</v>
      </c>
      <c r="N440">
        <v>36</v>
      </c>
      <c r="O440" s="2">
        <v>0.57430555555555596</v>
      </c>
      <c r="P440" s="2">
        <v>0.57916666666666705</v>
      </c>
      <c r="Q440" s="2">
        <v>0.58125000000000004</v>
      </c>
      <c r="R440">
        <v>36</v>
      </c>
      <c r="S440">
        <v>7</v>
      </c>
      <c r="T440" s="2">
        <v>0.58252314814814798</v>
      </c>
      <c r="U440" s="2">
        <v>0.62152777777777801</v>
      </c>
      <c r="V440">
        <v>57</v>
      </c>
      <c r="W440" s="2">
        <v>0.62152777777777801</v>
      </c>
      <c r="X440" s="2">
        <v>0.64652777777777803</v>
      </c>
      <c r="Y440">
        <v>36</v>
      </c>
    </row>
    <row r="441" spans="1:25" ht="15" customHeight="1" x14ac:dyDescent="0.2">
      <c r="A441" s="1">
        <v>46251</v>
      </c>
      <c r="B441" t="s">
        <v>26</v>
      </c>
      <c r="C441" t="s">
        <v>27</v>
      </c>
      <c r="D441" t="s">
        <v>28</v>
      </c>
      <c r="E441" t="s">
        <v>36</v>
      </c>
      <c r="F441" s="2">
        <v>0.66458333333333297</v>
      </c>
      <c r="G441" s="2">
        <v>0.81111111111111101</v>
      </c>
      <c r="H441">
        <v>211</v>
      </c>
      <c r="I441" s="3">
        <v>0.51041666666666696</v>
      </c>
      <c r="J441" s="2">
        <v>0.65625</v>
      </c>
      <c r="K441">
        <v>210</v>
      </c>
      <c r="L441" s="2">
        <v>0.66458333333333297</v>
      </c>
      <c r="M441" s="2">
        <v>0.80555555555555602</v>
      </c>
      <c r="N441">
        <v>203</v>
      </c>
      <c r="O441" s="2">
        <v>0.72222222222222199</v>
      </c>
      <c r="P441" s="2">
        <v>0.79930555555555605</v>
      </c>
      <c r="Q441" s="2">
        <v>0.80555555555555602</v>
      </c>
      <c r="R441">
        <v>203</v>
      </c>
      <c r="S441">
        <v>111</v>
      </c>
    </row>
    <row r="442" spans="1:25" ht="15" customHeight="1" x14ac:dyDescent="0.2">
      <c r="A442" s="1">
        <v>46251</v>
      </c>
      <c r="B442" t="s">
        <v>26</v>
      </c>
      <c r="C442" t="s">
        <v>27</v>
      </c>
      <c r="D442" t="s">
        <v>28</v>
      </c>
      <c r="E442" t="s">
        <v>31</v>
      </c>
      <c r="F442" s="2">
        <v>0.33888888888888902</v>
      </c>
      <c r="G442" s="2">
        <v>0.39374999999999999</v>
      </c>
      <c r="H442">
        <v>79</v>
      </c>
      <c r="I442" s="3">
        <v>0.33333333333333298</v>
      </c>
      <c r="J442" s="2">
        <v>0.40277777777777801</v>
      </c>
      <c r="K442">
        <v>130</v>
      </c>
      <c r="L442" s="2">
        <v>0.33333333333333298</v>
      </c>
      <c r="M442" s="2">
        <v>0.390277777777778</v>
      </c>
      <c r="N442">
        <v>82</v>
      </c>
      <c r="O442" s="2">
        <v>0.35555555555555601</v>
      </c>
      <c r="P442" s="2">
        <v>0.38055555555555598</v>
      </c>
      <c r="Q442" s="2">
        <v>0.390277777777778</v>
      </c>
      <c r="R442">
        <v>82</v>
      </c>
      <c r="S442">
        <v>36</v>
      </c>
      <c r="T442" s="2">
        <v>0.390972222222222</v>
      </c>
      <c r="U442" s="2">
        <v>0.41875000000000001</v>
      </c>
      <c r="V442">
        <v>40</v>
      </c>
    </row>
    <row r="443" spans="1:25" ht="15" customHeight="1" x14ac:dyDescent="0.2">
      <c r="A443" s="1">
        <v>46251</v>
      </c>
      <c r="B443" t="s">
        <v>42</v>
      </c>
      <c r="C443" t="s">
        <v>43</v>
      </c>
      <c r="D443" t="s">
        <v>28</v>
      </c>
      <c r="E443" t="s">
        <v>31</v>
      </c>
      <c r="F443" s="2">
        <v>0.43541666666666701</v>
      </c>
      <c r="G443" s="2">
        <v>0.50555555555555598</v>
      </c>
      <c r="H443">
        <v>101</v>
      </c>
      <c r="I443" s="3">
        <v>0.42708333333333298</v>
      </c>
      <c r="J443" s="2">
        <v>0.49305555555555602</v>
      </c>
      <c r="K443">
        <v>125</v>
      </c>
      <c r="L443" s="2">
        <v>0.43541666666666701</v>
      </c>
      <c r="M443" s="2">
        <v>0.50208333333333299</v>
      </c>
      <c r="N443">
        <v>96</v>
      </c>
      <c r="O443" s="2">
        <v>0.44930555555555601</v>
      </c>
      <c r="P443" s="2">
        <v>0.49722222222222201</v>
      </c>
      <c r="Q443" s="2">
        <v>0.50208333333333299</v>
      </c>
      <c r="R443">
        <v>96</v>
      </c>
      <c r="S443">
        <v>69</v>
      </c>
      <c r="T443" s="2">
        <v>0.50320601851851898</v>
      </c>
      <c r="U443" s="2">
        <v>0.531944444444444</v>
      </c>
      <c r="V443">
        <v>42</v>
      </c>
    </row>
    <row r="444" spans="1:25" ht="15" customHeight="1" x14ac:dyDescent="0.2">
      <c r="A444" s="1">
        <v>46251</v>
      </c>
      <c r="B444" t="s">
        <v>26</v>
      </c>
      <c r="C444" t="s">
        <v>27</v>
      </c>
      <c r="D444" t="s">
        <v>34</v>
      </c>
      <c r="E444" t="s">
        <v>36</v>
      </c>
      <c r="F444" s="2">
        <v>0.41319444444444398</v>
      </c>
      <c r="G444" s="2">
        <v>0.61458333333333304</v>
      </c>
      <c r="H444">
        <v>290</v>
      </c>
      <c r="I444" s="3">
        <v>0.41666666666666702</v>
      </c>
      <c r="J444" s="2">
        <v>0.55208333333333304</v>
      </c>
      <c r="K444">
        <v>225</v>
      </c>
      <c r="L444" s="2">
        <v>0.42638888888888898</v>
      </c>
      <c r="M444" s="2">
        <v>0.60277777777777797</v>
      </c>
      <c r="N444">
        <v>254</v>
      </c>
      <c r="O444" s="2">
        <v>0.48194444444444401</v>
      </c>
      <c r="P444" s="2">
        <v>0.57777777777777795</v>
      </c>
      <c r="Q444" s="2">
        <v>0.60277777777777797</v>
      </c>
      <c r="R444">
        <v>254</v>
      </c>
      <c r="S444">
        <v>138</v>
      </c>
    </row>
    <row r="445" spans="1:25" ht="15" customHeight="1" x14ac:dyDescent="0.2">
      <c r="A445" s="1">
        <v>46251</v>
      </c>
      <c r="B445" t="s">
        <v>26</v>
      </c>
      <c r="C445" t="s">
        <v>27</v>
      </c>
      <c r="D445" t="s">
        <v>38</v>
      </c>
      <c r="E445" t="s">
        <v>29</v>
      </c>
      <c r="F445" s="2">
        <v>0.60347222222222197</v>
      </c>
      <c r="G445" s="2">
        <v>0.655555555555556</v>
      </c>
      <c r="H445">
        <v>75</v>
      </c>
      <c r="I445" s="3">
        <v>0.59722222222222199</v>
      </c>
      <c r="J445" s="2">
        <v>0.64583333333333304</v>
      </c>
      <c r="K445">
        <v>100</v>
      </c>
      <c r="L445" s="2">
        <v>0.60347222222222197</v>
      </c>
      <c r="M445" s="2">
        <v>0.65138888888888902</v>
      </c>
      <c r="N445">
        <v>69</v>
      </c>
      <c r="O445" s="2">
        <v>0.62847222222222199</v>
      </c>
      <c r="P445" s="2">
        <v>0.64722222222222203</v>
      </c>
      <c r="Q445" s="2">
        <v>0.65138888888888902</v>
      </c>
      <c r="R445">
        <v>69</v>
      </c>
      <c r="S445">
        <v>27</v>
      </c>
      <c r="T445" s="2">
        <v>0.65597222222222196</v>
      </c>
      <c r="U445" s="2">
        <v>0.69236111111111098</v>
      </c>
      <c r="V445">
        <v>53</v>
      </c>
    </row>
    <row r="446" spans="1:25" ht="15" customHeight="1" x14ac:dyDescent="0.2">
      <c r="A446" s="1">
        <v>46251</v>
      </c>
      <c r="B446" t="s">
        <v>26</v>
      </c>
      <c r="C446" t="s">
        <v>27</v>
      </c>
      <c r="D446" t="s">
        <v>34</v>
      </c>
      <c r="E446" t="s">
        <v>29</v>
      </c>
      <c r="F446" s="2">
        <v>0.62777777777777799</v>
      </c>
      <c r="G446" s="2">
        <v>0.72430555555555598</v>
      </c>
      <c r="H446">
        <v>139</v>
      </c>
      <c r="I446" s="3">
        <v>0.625</v>
      </c>
      <c r="J446" s="2">
        <v>0.73263888888888895</v>
      </c>
      <c r="K446">
        <v>185</v>
      </c>
      <c r="L446" s="2">
        <v>0.62777777777777799</v>
      </c>
      <c r="M446" s="2">
        <v>0.71736111111111101</v>
      </c>
      <c r="N446">
        <v>129</v>
      </c>
      <c r="O446" s="2">
        <v>0.65833333333333299</v>
      </c>
      <c r="P446" s="2">
        <v>0.71527777777777801</v>
      </c>
      <c r="Q446" s="2">
        <v>0.71736111111111101</v>
      </c>
      <c r="R446">
        <v>129</v>
      </c>
      <c r="S446">
        <v>82</v>
      </c>
      <c r="T446" s="2">
        <v>0.719444444444444</v>
      </c>
      <c r="U446" s="2">
        <v>0.87152777777777801</v>
      </c>
      <c r="V446">
        <v>219</v>
      </c>
    </row>
    <row r="447" spans="1:25" ht="15" customHeight="1" x14ac:dyDescent="0.2">
      <c r="A447" s="1">
        <v>46251</v>
      </c>
      <c r="B447" t="s">
        <v>26</v>
      </c>
      <c r="C447" t="s">
        <v>27</v>
      </c>
      <c r="D447" t="s">
        <v>28</v>
      </c>
      <c r="E447" t="s">
        <v>29</v>
      </c>
      <c r="F447" s="2">
        <v>0.43194444444444402</v>
      </c>
      <c r="G447" s="2">
        <v>0.51249999999999996</v>
      </c>
      <c r="H447">
        <v>116</v>
      </c>
      <c r="I447" s="3">
        <v>0.44791666666666702</v>
      </c>
      <c r="J447" s="2">
        <v>0.54513888888888895</v>
      </c>
      <c r="K447">
        <v>170</v>
      </c>
      <c r="L447" s="2">
        <v>0.43194444444444402</v>
      </c>
      <c r="M447" s="2">
        <v>0.50972222222222197</v>
      </c>
      <c r="N447">
        <v>112</v>
      </c>
      <c r="O447" s="2">
        <v>0.453472222222222</v>
      </c>
      <c r="P447" s="2">
        <v>0.50624999999999998</v>
      </c>
      <c r="Q447" s="2">
        <v>0.50972222222222197</v>
      </c>
      <c r="R447">
        <v>112</v>
      </c>
      <c r="S447">
        <v>76</v>
      </c>
      <c r="T447" s="2">
        <v>0.51059027777777799</v>
      </c>
      <c r="U447" s="2">
        <v>0.56736111111111098</v>
      </c>
      <c r="V447">
        <v>82</v>
      </c>
    </row>
    <row r="448" spans="1:25" ht="15" customHeight="1" x14ac:dyDescent="0.2">
      <c r="A448" s="1">
        <v>46251</v>
      </c>
      <c r="B448" t="s">
        <v>26</v>
      </c>
      <c r="C448" t="s">
        <v>27</v>
      </c>
      <c r="D448" t="s">
        <v>34</v>
      </c>
      <c r="E448" t="s">
        <v>29</v>
      </c>
      <c r="F448" s="2">
        <v>0.56944444444444398</v>
      </c>
      <c r="G448" s="2">
        <v>0.69166666666666698</v>
      </c>
      <c r="H448">
        <v>176</v>
      </c>
      <c r="I448" s="3">
        <v>0.52430555555555602</v>
      </c>
      <c r="J448" s="2">
        <v>0.63194444444444398</v>
      </c>
      <c r="K448">
        <v>185</v>
      </c>
      <c r="L448" s="2">
        <v>0.56944444444444398</v>
      </c>
      <c r="M448" s="2">
        <v>0.688194444444444</v>
      </c>
      <c r="N448">
        <v>171</v>
      </c>
      <c r="O448" s="2">
        <v>0.59027777777777801</v>
      </c>
      <c r="P448" s="2">
        <v>0.67222222222222205</v>
      </c>
      <c r="Q448" s="2">
        <v>0.688194444444444</v>
      </c>
      <c r="R448">
        <v>171</v>
      </c>
      <c r="S448">
        <v>118</v>
      </c>
      <c r="T448" s="2">
        <v>0.68888888888888899</v>
      </c>
      <c r="U448" s="2">
        <v>0.83333333333333304</v>
      </c>
      <c r="V448">
        <v>208</v>
      </c>
    </row>
    <row r="449" spans="1:25" ht="15" customHeight="1" x14ac:dyDescent="0.2">
      <c r="A449" s="1">
        <v>46251</v>
      </c>
      <c r="B449" t="s">
        <v>26</v>
      </c>
      <c r="C449" t="s">
        <v>27</v>
      </c>
      <c r="D449" t="s">
        <v>28</v>
      </c>
      <c r="E449" t="s">
        <v>29</v>
      </c>
      <c r="F449" s="2">
        <v>0.25208333333333299</v>
      </c>
      <c r="G449" s="2">
        <v>0.28888888888888897</v>
      </c>
      <c r="H449">
        <v>53</v>
      </c>
      <c r="I449" s="3">
        <v>0.25</v>
      </c>
      <c r="J449" s="2">
        <v>0.29513888888888901</v>
      </c>
      <c r="K449">
        <v>95</v>
      </c>
      <c r="L449" s="2">
        <v>0.25208333333333299</v>
      </c>
      <c r="M449" s="2">
        <v>0.281944444444444</v>
      </c>
      <c r="N449">
        <v>43</v>
      </c>
      <c r="O449" s="2">
        <v>0.27152777777777798</v>
      </c>
      <c r="P449" s="2">
        <v>0.27777777777777801</v>
      </c>
      <c r="Q449" s="2">
        <v>0.281944444444444</v>
      </c>
      <c r="R449">
        <v>43</v>
      </c>
      <c r="S449">
        <v>9</v>
      </c>
      <c r="T449" s="2">
        <v>0.28853009259259299</v>
      </c>
      <c r="U449" s="2">
        <v>0.30208333333333298</v>
      </c>
      <c r="V449">
        <v>20</v>
      </c>
      <c r="W449" s="2">
        <v>0.30208333333333298</v>
      </c>
      <c r="X449" s="2">
        <v>0.36501157407407397</v>
      </c>
      <c r="Y449">
        <v>90</v>
      </c>
    </row>
    <row r="450" spans="1:25" ht="15" customHeight="1" x14ac:dyDescent="0.2">
      <c r="A450" s="1">
        <v>46251</v>
      </c>
      <c r="B450" t="s">
        <v>26</v>
      </c>
      <c r="C450" t="s">
        <v>27</v>
      </c>
      <c r="D450" t="s">
        <v>34</v>
      </c>
      <c r="E450" t="s">
        <v>29</v>
      </c>
      <c r="F450" s="2">
        <v>0.75486111111111098</v>
      </c>
      <c r="G450" s="2">
        <v>0.83263888888888904</v>
      </c>
      <c r="H450">
        <v>112</v>
      </c>
      <c r="I450" s="3">
        <v>0.73958333333333304</v>
      </c>
      <c r="J450" s="2">
        <v>0.875</v>
      </c>
      <c r="K450">
        <v>225</v>
      </c>
      <c r="L450" s="2">
        <v>0.75486111111111098</v>
      </c>
      <c r="M450" s="2">
        <v>0.82708333333333295</v>
      </c>
      <c r="N450">
        <v>104</v>
      </c>
      <c r="O450" s="2">
        <v>0.77986111111111101</v>
      </c>
      <c r="P450" s="2">
        <v>0.81527777777777799</v>
      </c>
      <c r="Q450" s="2">
        <v>0.82708333333333295</v>
      </c>
      <c r="R450">
        <v>104</v>
      </c>
      <c r="S450">
        <v>51</v>
      </c>
      <c r="T450" s="2">
        <v>0.82797453703703705</v>
      </c>
      <c r="U450" s="2">
        <v>0.87814814814814801</v>
      </c>
      <c r="V450">
        <v>72</v>
      </c>
    </row>
    <row r="451" spans="1:25" ht="15" customHeight="1" x14ac:dyDescent="0.2">
      <c r="A451" s="1">
        <v>46251</v>
      </c>
      <c r="B451" t="s">
        <v>42</v>
      </c>
      <c r="C451" t="s">
        <v>43</v>
      </c>
      <c r="D451" t="s">
        <v>28</v>
      </c>
      <c r="E451" t="s">
        <v>29</v>
      </c>
      <c r="F451" s="2">
        <v>0.46388888888888902</v>
      </c>
      <c r="G451" s="2">
        <v>0.63888888888888895</v>
      </c>
      <c r="H451">
        <v>252</v>
      </c>
      <c r="I451" s="3">
        <v>0.48958333333333298</v>
      </c>
      <c r="J451" s="2">
        <v>0.73958333333333304</v>
      </c>
      <c r="K451">
        <v>360</v>
      </c>
      <c r="L451" s="2">
        <v>0.46388888888888902</v>
      </c>
      <c r="M451" s="2">
        <v>0.63402777777777797</v>
      </c>
      <c r="N451">
        <v>245</v>
      </c>
      <c r="O451" s="2">
        <v>0.48611111111111099</v>
      </c>
      <c r="P451" s="2">
        <v>0.62708333333333299</v>
      </c>
      <c r="Q451" s="2">
        <v>0.63402777777777797</v>
      </c>
      <c r="R451">
        <v>245</v>
      </c>
      <c r="S451">
        <v>203</v>
      </c>
      <c r="T451" s="2">
        <v>0.635393518518519</v>
      </c>
      <c r="U451" s="2">
        <v>0.68405092592592598</v>
      </c>
      <c r="V451">
        <v>71</v>
      </c>
    </row>
    <row r="452" spans="1:25" ht="15" customHeight="1" x14ac:dyDescent="0.2">
      <c r="A452" s="1">
        <v>46251</v>
      </c>
      <c r="B452" t="s">
        <v>42</v>
      </c>
      <c r="C452" t="s">
        <v>43</v>
      </c>
      <c r="D452" t="s">
        <v>28</v>
      </c>
      <c r="E452" t="s">
        <v>29</v>
      </c>
      <c r="F452" s="2">
        <v>0.37638888888888899</v>
      </c>
      <c r="G452" s="2">
        <v>0.40763888888888899</v>
      </c>
      <c r="H452">
        <v>45</v>
      </c>
      <c r="I452" s="3">
        <v>0.39583333333333298</v>
      </c>
      <c r="J452" s="2">
        <v>0.42708333333333298</v>
      </c>
      <c r="K452">
        <v>45</v>
      </c>
      <c r="L452" s="2">
        <v>0.37638888888888899</v>
      </c>
      <c r="M452" s="2">
        <v>0.40486111111111101</v>
      </c>
      <c r="N452">
        <v>41</v>
      </c>
      <c r="O452" s="2">
        <v>0.39444444444444399</v>
      </c>
      <c r="P452" s="2">
        <v>0.40277777777777801</v>
      </c>
      <c r="Q452" s="2">
        <v>0.40486111111111101</v>
      </c>
      <c r="R452">
        <v>41</v>
      </c>
      <c r="S452">
        <v>12</v>
      </c>
      <c r="T452" s="2">
        <v>0.40486111111111101</v>
      </c>
      <c r="U452" s="2">
        <v>0.43402777777777801</v>
      </c>
      <c r="V452">
        <v>42</v>
      </c>
      <c r="W452" s="2">
        <v>0.43402777777777801</v>
      </c>
      <c r="X452" s="2">
        <v>0.44305555555555598</v>
      </c>
      <c r="Y452">
        <v>13</v>
      </c>
    </row>
    <row r="453" spans="1:25" ht="15" customHeight="1" x14ac:dyDescent="0.2">
      <c r="A453" s="1">
        <v>46251</v>
      </c>
      <c r="B453" t="s">
        <v>26</v>
      </c>
      <c r="C453" t="s">
        <v>27</v>
      </c>
      <c r="D453" t="s">
        <v>28</v>
      </c>
      <c r="E453" t="s">
        <v>31</v>
      </c>
      <c r="F453" s="2">
        <v>0.33333333333333298</v>
      </c>
      <c r="G453" s="2">
        <v>0.52222222222222203</v>
      </c>
      <c r="H453">
        <v>272</v>
      </c>
      <c r="I453" s="3">
        <v>0.33333333333333298</v>
      </c>
      <c r="J453" s="2">
        <v>0.5</v>
      </c>
      <c r="K453">
        <v>240</v>
      </c>
      <c r="L453" s="2">
        <v>0.33333333333333298</v>
      </c>
      <c r="M453" s="2">
        <v>0.51666666666666705</v>
      </c>
      <c r="N453">
        <v>264</v>
      </c>
      <c r="O453" s="2">
        <v>0.35416666666666702</v>
      </c>
      <c r="P453" s="2">
        <v>0.50902777777777797</v>
      </c>
      <c r="Q453" s="2">
        <v>0.51666666666666705</v>
      </c>
      <c r="R453">
        <v>264</v>
      </c>
      <c r="S453">
        <v>223</v>
      </c>
      <c r="T453" s="2">
        <v>0.51736111111111105</v>
      </c>
      <c r="U453" s="2">
        <v>0.54722222222222205</v>
      </c>
      <c r="V453">
        <v>43</v>
      </c>
    </row>
    <row r="454" spans="1:25" ht="15" customHeight="1" x14ac:dyDescent="0.2">
      <c r="A454" s="1">
        <v>46251</v>
      </c>
      <c r="B454" t="s">
        <v>42</v>
      </c>
      <c r="C454" t="s">
        <v>43</v>
      </c>
      <c r="D454" t="s">
        <v>28</v>
      </c>
      <c r="E454" t="s">
        <v>31</v>
      </c>
      <c r="F454" s="2">
        <v>0.32986111111111099</v>
      </c>
      <c r="G454" s="2">
        <v>0.43541666666666701</v>
      </c>
      <c r="H454">
        <v>152</v>
      </c>
      <c r="I454" s="3">
        <v>0.33333333333333298</v>
      </c>
      <c r="J454" s="2">
        <v>0.46875</v>
      </c>
      <c r="K454">
        <v>195</v>
      </c>
      <c r="L454" s="2">
        <v>0.32986111111111099</v>
      </c>
      <c r="M454" s="2">
        <v>0.43194444444444402</v>
      </c>
      <c r="N454">
        <v>147</v>
      </c>
      <c r="O454" s="2">
        <v>0.34861111111111098</v>
      </c>
      <c r="P454" s="2">
        <v>0.42986111111111103</v>
      </c>
      <c r="Q454" s="2">
        <v>0.43194444444444402</v>
      </c>
      <c r="R454">
        <v>147</v>
      </c>
      <c r="S454">
        <v>117</v>
      </c>
      <c r="T454" s="2">
        <v>0.43406250000000002</v>
      </c>
      <c r="U454" s="2">
        <v>0.47986111111111102</v>
      </c>
      <c r="V454">
        <v>66</v>
      </c>
      <c r="W454" s="2">
        <v>0.48055555555555601</v>
      </c>
      <c r="X454" s="2">
        <v>0.52430555555555602</v>
      </c>
      <c r="Y454">
        <v>63</v>
      </c>
    </row>
    <row r="455" spans="1:25" ht="15" customHeight="1" x14ac:dyDescent="0.2">
      <c r="A455" s="1">
        <v>46252</v>
      </c>
      <c r="B455" t="s">
        <v>42</v>
      </c>
      <c r="C455" t="s">
        <v>43</v>
      </c>
      <c r="D455" t="s">
        <v>28</v>
      </c>
      <c r="E455" t="s">
        <v>31</v>
      </c>
      <c r="F455" s="2">
        <v>0.32013888888888897</v>
      </c>
      <c r="G455" s="2">
        <v>0.38263888888888897</v>
      </c>
      <c r="H455">
        <v>90</v>
      </c>
      <c r="I455" s="3">
        <v>0.3125</v>
      </c>
      <c r="J455" s="2">
        <v>0.375</v>
      </c>
      <c r="K455">
        <v>90</v>
      </c>
      <c r="L455" s="2">
        <v>0.32013888888888897</v>
      </c>
      <c r="M455" s="2">
        <v>0.37638888888888899</v>
      </c>
      <c r="N455">
        <v>81</v>
      </c>
      <c r="O455" s="2">
        <v>0.34097222222222201</v>
      </c>
      <c r="P455" s="2">
        <v>0.37152777777777801</v>
      </c>
      <c r="Q455" s="2">
        <v>0.37638888888888899</v>
      </c>
      <c r="R455">
        <v>81</v>
      </c>
      <c r="S455">
        <v>44</v>
      </c>
      <c r="T455" s="2">
        <v>0.37777777777777799</v>
      </c>
      <c r="U455" s="2">
        <v>0.40208333333333302</v>
      </c>
      <c r="V455">
        <v>35</v>
      </c>
      <c r="W455" s="2">
        <v>0.40208333333333302</v>
      </c>
      <c r="X455" s="2">
        <v>0.45958333333333301</v>
      </c>
      <c r="Y455">
        <v>82</v>
      </c>
    </row>
    <row r="456" spans="1:25" ht="15" customHeight="1" x14ac:dyDescent="0.2">
      <c r="A456" s="1">
        <v>46252</v>
      </c>
      <c r="B456" t="s">
        <v>26</v>
      </c>
      <c r="C456" t="s">
        <v>27</v>
      </c>
      <c r="D456" t="s">
        <v>28</v>
      </c>
      <c r="E456" t="s">
        <v>29</v>
      </c>
      <c r="F456" s="2">
        <v>0.53125</v>
      </c>
      <c r="G456" s="2">
        <v>0.624305555555556</v>
      </c>
      <c r="H456">
        <v>134</v>
      </c>
      <c r="I456" s="3">
        <v>0.5</v>
      </c>
      <c r="J456" s="2">
        <v>0.59375</v>
      </c>
      <c r="K456">
        <v>135</v>
      </c>
      <c r="L456" s="2">
        <v>0.53125</v>
      </c>
      <c r="M456" s="2">
        <v>0.62152777777777801</v>
      </c>
      <c r="N456">
        <v>130</v>
      </c>
      <c r="O456" s="2">
        <v>0.55486111111111103</v>
      </c>
      <c r="P456" s="2">
        <v>0.61875000000000002</v>
      </c>
      <c r="Q456" s="2">
        <v>0.62152777777777801</v>
      </c>
      <c r="R456">
        <v>130</v>
      </c>
      <c r="S456">
        <v>92</v>
      </c>
      <c r="T456" s="2">
        <v>0.62244212962962997</v>
      </c>
      <c r="U456" s="2">
        <v>0.64027777777777795</v>
      </c>
      <c r="V456">
        <v>26</v>
      </c>
    </row>
    <row r="457" spans="1:25" ht="15" customHeight="1" x14ac:dyDescent="0.2">
      <c r="A457" s="1">
        <v>46252</v>
      </c>
      <c r="B457" t="s">
        <v>42</v>
      </c>
      <c r="C457" t="s">
        <v>43</v>
      </c>
      <c r="D457" t="s">
        <v>28</v>
      </c>
      <c r="E457" t="s">
        <v>29</v>
      </c>
      <c r="F457" s="2">
        <v>0.39652777777777798</v>
      </c>
      <c r="G457" s="2">
        <v>0.44722222222222202</v>
      </c>
      <c r="H457">
        <v>73</v>
      </c>
      <c r="I457" s="3">
        <v>0.39583333333333298</v>
      </c>
      <c r="J457" s="2">
        <v>0.42708333333333298</v>
      </c>
      <c r="K457">
        <v>45</v>
      </c>
      <c r="L457" s="2">
        <v>0.39652777777777798</v>
      </c>
      <c r="M457" s="2">
        <v>0.44097222222222199</v>
      </c>
      <c r="N457">
        <v>64</v>
      </c>
      <c r="O457" s="2">
        <v>0.41388888888888897</v>
      </c>
      <c r="P457" s="2">
        <v>0.43402777777777801</v>
      </c>
      <c r="Q457" s="2">
        <v>0.44097222222222199</v>
      </c>
      <c r="R457">
        <v>64</v>
      </c>
      <c r="S457">
        <v>29</v>
      </c>
      <c r="T457" s="2">
        <v>0.44645833333333301</v>
      </c>
      <c r="U457" s="2">
        <v>0.45833333333333298</v>
      </c>
      <c r="V457">
        <v>18</v>
      </c>
      <c r="W457" s="2">
        <v>0.45902777777777798</v>
      </c>
      <c r="X457" s="2">
        <v>0.47361111111111098</v>
      </c>
      <c r="Y457">
        <v>21</v>
      </c>
    </row>
    <row r="458" spans="1:25" ht="15" customHeight="1" x14ac:dyDescent="0.2">
      <c r="A458" s="1">
        <v>46252</v>
      </c>
      <c r="B458" t="s">
        <v>26</v>
      </c>
      <c r="C458" t="s">
        <v>27</v>
      </c>
      <c r="D458" t="s">
        <v>34</v>
      </c>
      <c r="E458" t="s">
        <v>36</v>
      </c>
      <c r="F458" s="2">
        <v>0.26736111111111099</v>
      </c>
      <c r="G458" s="2">
        <v>0.5625</v>
      </c>
      <c r="H458">
        <v>425</v>
      </c>
      <c r="I458" s="3">
        <v>0.26041666666666702</v>
      </c>
      <c r="J458" s="2">
        <v>0.51041666666666696</v>
      </c>
      <c r="K458">
        <v>360</v>
      </c>
      <c r="L458" s="2">
        <v>0.26736111111111099</v>
      </c>
      <c r="M458" s="2">
        <v>0.55555555555555602</v>
      </c>
      <c r="N458">
        <v>415</v>
      </c>
      <c r="O458" s="2">
        <v>0.35416666666666702</v>
      </c>
      <c r="P458" s="2">
        <v>0.52430555555555602</v>
      </c>
      <c r="Q458" s="2">
        <v>0.55555555555555602</v>
      </c>
      <c r="R458">
        <v>415</v>
      </c>
      <c r="S458">
        <v>245</v>
      </c>
    </row>
    <row r="459" spans="1:25" ht="15" customHeight="1" x14ac:dyDescent="0.2">
      <c r="A459" s="1">
        <v>46252</v>
      </c>
      <c r="B459" t="s">
        <v>42</v>
      </c>
      <c r="C459" t="s">
        <v>43</v>
      </c>
      <c r="D459" t="s">
        <v>28</v>
      </c>
      <c r="E459" t="s">
        <v>29</v>
      </c>
      <c r="F459" s="2">
        <v>0.46250000000000002</v>
      </c>
      <c r="G459" s="2">
        <v>0.53888888888888897</v>
      </c>
      <c r="H459">
        <v>110</v>
      </c>
      <c r="I459" s="3">
        <v>0.44791666666666702</v>
      </c>
      <c r="J459" s="2">
        <v>0.51041666666666696</v>
      </c>
      <c r="K459">
        <v>90</v>
      </c>
      <c r="L459" s="2">
        <v>0.46250000000000002</v>
      </c>
      <c r="M459" s="2">
        <v>0.53263888888888899</v>
      </c>
      <c r="N459">
        <v>101</v>
      </c>
      <c r="O459" s="2">
        <v>0.483333333333333</v>
      </c>
      <c r="P459" s="2">
        <v>0.52361111111111103</v>
      </c>
      <c r="Q459" s="2">
        <v>0.53263888888888899</v>
      </c>
      <c r="R459">
        <v>101</v>
      </c>
      <c r="S459">
        <v>58</v>
      </c>
      <c r="T459" s="2">
        <v>0.53348379629629605</v>
      </c>
      <c r="U459" s="2">
        <v>0.56689814814814798</v>
      </c>
      <c r="V459">
        <v>48</v>
      </c>
      <c r="W459" s="2">
        <v>0.56666666666666698</v>
      </c>
      <c r="X459" s="2">
        <v>0.64067129629629604</v>
      </c>
      <c r="Y459">
        <v>106</v>
      </c>
    </row>
    <row r="460" spans="1:25" ht="15" customHeight="1" x14ac:dyDescent="0.2">
      <c r="A460" s="1">
        <v>46252</v>
      </c>
      <c r="B460" t="s">
        <v>26</v>
      </c>
      <c r="C460" t="s">
        <v>27</v>
      </c>
      <c r="D460" t="s">
        <v>28</v>
      </c>
      <c r="E460" t="s">
        <v>29</v>
      </c>
      <c r="F460" s="2">
        <v>0.31527777777777799</v>
      </c>
      <c r="G460" s="2">
        <v>0.45</v>
      </c>
      <c r="H460">
        <v>194</v>
      </c>
      <c r="I460" s="3">
        <v>0.3125</v>
      </c>
      <c r="J460" s="2">
        <v>0.45833333333333298</v>
      </c>
      <c r="K460">
        <v>210</v>
      </c>
      <c r="L460" s="2">
        <v>0.31527777777777799</v>
      </c>
      <c r="M460" s="2">
        <v>0.44374999999999998</v>
      </c>
      <c r="N460">
        <v>185</v>
      </c>
      <c r="O460" s="2">
        <v>0.328472222222222</v>
      </c>
      <c r="P460" s="2">
        <v>0.44097222222222199</v>
      </c>
      <c r="Q460" s="2">
        <v>0.44374999999999998</v>
      </c>
      <c r="R460">
        <v>185</v>
      </c>
      <c r="S460">
        <v>162</v>
      </c>
      <c r="T460" s="2">
        <v>0.44653935185185201</v>
      </c>
      <c r="U460" s="2">
        <v>0.469444444444444</v>
      </c>
      <c r="V460">
        <v>33</v>
      </c>
    </row>
    <row r="461" spans="1:25" ht="15" customHeight="1" x14ac:dyDescent="0.2">
      <c r="A461" s="1">
        <v>46252</v>
      </c>
      <c r="B461" t="s">
        <v>42</v>
      </c>
      <c r="C461" t="s">
        <v>43</v>
      </c>
      <c r="D461" t="s">
        <v>28</v>
      </c>
      <c r="E461" t="s">
        <v>31</v>
      </c>
      <c r="F461" s="2">
        <v>0.3125</v>
      </c>
      <c r="G461" s="2">
        <v>0.46875</v>
      </c>
      <c r="H461">
        <v>225</v>
      </c>
      <c r="I461" s="3">
        <v>0.3125</v>
      </c>
      <c r="J461" s="2">
        <v>0.41666666666666702</v>
      </c>
      <c r="K461">
        <v>150</v>
      </c>
      <c r="L461" s="2">
        <v>0.3125</v>
      </c>
      <c r="M461" s="2">
        <v>0.46180555555555602</v>
      </c>
      <c r="N461">
        <v>215</v>
      </c>
      <c r="O461" s="2">
        <v>0.33333333333333298</v>
      </c>
      <c r="P461" s="2">
        <v>0.45694444444444399</v>
      </c>
      <c r="Q461" s="2">
        <v>0.46180555555555602</v>
      </c>
      <c r="R461">
        <v>215</v>
      </c>
      <c r="S461">
        <v>178</v>
      </c>
      <c r="T461" s="2">
        <v>0.46300925925925901</v>
      </c>
      <c r="U461" s="2">
        <v>0.53408564814814796</v>
      </c>
      <c r="V461">
        <v>103</v>
      </c>
    </row>
    <row r="462" spans="1:25" ht="15" customHeight="1" x14ac:dyDescent="0.2">
      <c r="A462" s="1">
        <v>46252</v>
      </c>
      <c r="B462" t="s">
        <v>42</v>
      </c>
      <c r="C462" t="s">
        <v>43</v>
      </c>
      <c r="D462" t="s">
        <v>28</v>
      </c>
      <c r="E462" t="s">
        <v>29</v>
      </c>
      <c r="F462" s="2">
        <v>0.31666666666666698</v>
      </c>
      <c r="G462" s="2">
        <v>0.35486111111111102</v>
      </c>
      <c r="H462">
        <v>55</v>
      </c>
      <c r="I462" s="3">
        <v>0.3125</v>
      </c>
      <c r="J462" s="2">
        <v>0.35416666666666702</v>
      </c>
      <c r="K462">
        <v>60</v>
      </c>
      <c r="L462" s="2">
        <v>0.31666666666666698</v>
      </c>
      <c r="M462" s="2">
        <v>0.35208333333333303</v>
      </c>
      <c r="N462">
        <v>51</v>
      </c>
      <c r="O462" s="2">
        <v>0.33402777777777798</v>
      </c>
      <c r="P462" s="2">
        <v>0.34583333333333299</v>
      </c>
      <c r="Q462" s="2">
        <v>0.35208333333333303</v>
      </c>
      <c r="R462">
        <v>51</v>
      </c>
      <c r="S462">
        <v>17</v>
      </c>
      <c r="T462" s="2">
        <v>0.35277777777777802</v>
      </c>
      <c r="U462" s="2">
        <v>0.37456018518518502</v>
      </c>
      <c r="V462">
        <v>31</v>
      </c>
      <c r="W462" s="2">
        <v>0.37458333333333299</v>
      </c>
      <c r="X462" s="2">
        <v>0.40972222222222199</v>
      </c>
      <c r="Y462">
        <v>51</v>
      </c>
    </row>
    <row r="463" spans="1:25" ht="15" customHeight="1" x14ac:dyDescent="0.2">
      <c r="A463" s="1">
        <v>46252</v>
      </c>
      <c r="B463" t="s">
        <v>42</v>
      </c>
      <c r="C463" t="s">
        <v>43</v>
      </c>
      <c r="D463" t="s">
        <v>34</v>
      </c>
      <c r="E463" t="s">
        <v>31</v>
      </c>
      <c r="F463" s="2">
        <v>0.64097222222222205</v>
      </c>
      <c r="G463" s="2">
        <v>0.75555555555555598</v>
      </c>
      <c r="H463">
        <v>165</v>
      </c>
      <c r="I463" s="3">
        <v>0.61805555555555602</v>
      </c>
      <c r="J463" s="2">
        <v>0.73263888888888895</v>
      </c>
      <c r="K463">
        <v>165</v>
      </c>
      <c r="L463" s="2">
        <v>0.64097222222222205</v>
      </c>
      <c r="M463" s="2">
        <v>0.75208333333333299</v>
      </c>
      <c r="N463">
        <v>160</v>
      </c>
      <c r="O463" s="2">
        <v>0.66944444444444395</v>
      </c>
      <c r="P463" s="2">
        <v>0.749305555555556</v>
      </c>
      <c r="Q463" s="2">
        <v>0.75208333333333299</v>
      </c>
      <c r="R463">
        <v>160</v>
      </c>
      <c r="S463">
        <v>115</v>
      </c>
      <c r="T463" s="2">
        <v>0.75425925925925896</v>
      </c>
      <c r="U463" s="2">
        <v>0.79768518518518505</v>
      </c>
      <c r="V463">
        <v>62</v>
      </c>
      <c r="W463" s="2">
        <v>0.80957175925925895</v>
      </c>
      <c r="X463" s="2">
        <v>0.84027777777777801</v>
      </c>
      <c r="Y463">
        <v>45</v>
      </c>
    </row>
    <row r="464" spans="1:25" ht="15" customHeight="1" x14ac:dyDescent="0.2">
      <c r="A464" s="1">
        <v>46252</v>
      </c>
      <c r="B464" t="s">
        <v>42</v>
      </c>
      <c r="C464" t="s">
        <v>43</v>
      </c>
      <c r="D464" t="s">
        <v>28</v>
      </c>
      <c r="E464" t="s">
        <v>29</v>
      </c>
      <c r="F464" s="2">
        <v>0.49097222222222198</v>
      </c>
      <c r="G464" s="2">
        <v>0.56805555555555598</v>
      </c>
      <c r="H464">
        <v>111</v>
      </c>
      <c r="I464" s="3">
        <v>0.47916666666666702</v>
      </c>
      <c r="J464" s="2">
        <v>0.54166666666666696</v>
      </c>
      <c r="K464">
        <v>90</v>
      </c>
      <c r="L464" s="2">
        <v>0.49097222222222198</v>
      </c>
      <c r="M464" s="2">
        <v>0.563194444444444</v>
      </c>
      <c r="N464">
        <v>104</v>
      </c>
      <c r="O464" s="2">
        <v>0.50624999999999998</v>
      </c>
      <c r="P464" s="2">
        <v>0.55972222222222201</v>
      </c>
      <c r="Q464" s="2">
        <v>0.563194444444444</v>
      </c>
      <c r="R464">
        <v>104</v>
      </c>
      <c r="S464">
        <v>77</v>
      </c>
      <c r="T464" s="2">
        <v>0.56686342592592598</v>
      </c>
      <c r="U464" s="2">
        <v>0.59375</v>
      </c>
      <c r="V464">
        <v>39</v>
      </c>
      <c r="W464" s="2">
        <v>0.594444444444444</v>
      </c>
      <c r="X464" s="2">
        <v>0.64097222222222205</v>
      </c>
      <c r="Y464">
        <v>67</v>
      </c>
    </row>
    <row r="465" spans="1:25" ht="15" customHeight="1" x14ac:dyDescent="0.2">
      <c r="A465" s="1">
        <v>46252</v>
      </c>
      <c r="B465" t="s">
        <v>42</v>
      </c>
      <c r="C465" t="s">
        <v>43</v>
      </c>
      <c r="D465" t="s">
        <v>28</v>
      </c>
      <c r="E465" t="s">
        <v>31</v>
      </c>
      <c r="F465" s="2">
        <v>0.39722222222222198</v>
      </c>
      <c r="G465" s="2">
        <v>0.43888888888888899</v>
      </c>
      <c r="H465">
        <v>60</v>
      </c>
      <c r="I465" s="3">
        <v>0.375</v>
      </c>
      <c r="J465" s="2">
        <v>0.41666666666666702</v>
      </c>
      <c r="K465">
        <v>60</v>
      </c>
      <c r="L465" s="2">
        <v>0.39722222222222198</v>
      </c>
      <c r="M465" s="2">
        <v>0.43541666666666701</v>
      </c>
      <c r="N465">
        <v>55</v>
      </c>
      <c r="O465" s="2">
        <v>0.41249999999999998</v>
      </c>
      <c r="P465" s="2">
        <v>0.43333333333333302</v>
      </c>
      <c r="Q465" s="2">
        <v>0.43541666666666701</v>
      </c>
      <c r="R465">
        <v>55</v>
      </c>
      <c r="S465">
        <v>30</v>
      </c>
      <c r="T465" s="2">
        <v>0.43690972222222202</v>
      </c>
      <c r="U465" s="2">
        <v>0.47569444444444398</v>
      </c>
      <c r="V465">
        <v>56</v>
      </c>
      <c r="W465" s="2">
        <v>0.47569444444444398</v>
      </c>
      <c r="X465" s="2">
        <v>0.52430555555555602</v>
      </c>
      <c r="Y465">
        <v>70</v>
      </c>
    </row>
    <row r="466" spans="1:25" ht="15" customHeight="1" x14ac:dyDescent="0.2">
      <c r="A466" s="1">
        <v>46252</v>
      </c>
      <c r="B466" t="s">
        <v>26</v>
      </c>
      <c r="C466" t="s">
        <v>27</v>
      </c>
      <c r="D466" t="s">
        <v>28</v>
      </c>
      <c r="E466" t="s">
        <v>29</v>
      </c>
      <c r="F466" s="2">
        <v>0.31388888888888899</v>
      </c>
      <c r="G466" s="2">
        <v>0.50277777777777799</v>
      </c>
      <c r="H466">
        <v>272</v>
      </c>
      <c r="I466" s="3">
        <v>0.3125</v>
      </c>
      <c r="J466" s="2">
        <v>0.4375</v>
      </c>
      <c r="K466">
        <v>180</v>
      </c>
      <c r="L466" s="2">
        <v>0.31388888888888899</v>
      </c>
      <c r="M466" s="2">
        <v>0.500694444444444</v>
      </c>
      <c r="N466">
        <v>269</v>
      </c>
      <c r="O466" s="2">
        <v>0.34861111111111098</v>
      </c>
      <c r="P466" s="2">
        <v>0.48958333333333298</v>
      </c>
      <c r="Q466" s="2">
        <v>0.500694444444444</v>
      </c>
      <c r="R466">
        <v>269</v>
      </c>
      <c r="S466">
        <v>203</v>
      </c>
      <c r="T466" s="2">
        <v>0.50138888888888899</v>
      </c>
      <c r="U466" s="2">
        <v>0.51041666666666696</v>
      </c>
      <c r="V466">
        <v>13</v>
      </c>
    </row>
    <row r="467" spans="1:25" ht="15" customHeight="1" x14ac:dyDescent="0.2">
      <c r="A467" s="1">
        <v>46252</v>
      </c>
      <c r="B467" t="s">
        <v>26</v>
      </c>
      <c r="C467" t="s">
        <v>27</v>
      </c>
      <c r="D467" t="s">
        <v>28</v>
      </c>
      <c r="E467" t="s">
        <v>31</v>
      </c>
      <c r="F467" s="2">
        <v>0.49305555555555602</v>
      </c>
      <c r="G467" s="2">
        <v>0.59513888888888899</v>
      </c>
      <c r="H467">
        <v>147</v>
      </c>
      <c r="I467" s="3">
        <v>0.4375</v>
      </c>
      <c r="J467" s="2">
        <v>0.54166666666666696</v>
      </c>
      <c r="K467">
        <v>150</v>
      </c>
      <c r="L467" s="2">
        <v>0.49305555555555602</v>
      </c>
      <c r="M467" s="2">
        <v>0.593055555555556</v>
      </c>
      <c r="N467">
        <v>144</v>
      </c>
      <c r="O467" s="2">
        <v>0.51180555555555596</v>
      </c>
      <c r="P467" s="2">
        <v>0.59027777777777801</v>
      </c>
      <c r="Q467" s="2">
        <v>0.593055555555556</v>
      </c>
      <c r="R467">
        <v>144</v>
      </c>
      <c r="S467">
        <v>113</v>
      </c>
      <c r="T467" s="2">
        <v>0.59355324074074101</v>
      </c>
      <c r="U467" s="2">
        <v>0.63472222222222197</v>
      </c>
      <c r="V467">
        <v>60</v>
      </c>
    </row>
    <row r="468" spans="1:25" ht="15" customHeight="1" x14ac:dyDescent="0.2">
      <c r="A468" s="1">
        <v>46252</v>
      </c>
      <c r="B468" t="s">
        <v>42</v>
      </c>
      <c r="C468" t="s">
        <v>43</v>
      </c>
      <c r="D468" t="s">
        <v>28</v>
      </c>
      <c r="E468" t="s">
        <v>31</v>
      </c>
      <c r="F468" s="2">
        <v>0.3125</v>
      </c>
      <c r="G468" s="2">
        <v>0.35347222222222202</v>
      </c>
      <c r="H468">
        <v>59</v>
      </c>
      <c r="I468" s="3">
        <v>0.3125</v>
      </c>
      <c r="J468" s="2">
        <v>0.35416666666666702</v>
      </c>
      <c r="K468">
        <v>60</v>
      </c>
      <c r="L468" s="2">
        <v>0.3125</v>
      </c>
      <c r="M468" s="2">
        <v>0.34930555555555598</v>
      </c>
      <c r="N468">
        <v>53</v>
      </c>
      <c r="O468" s="2">
        <v>0.33402777777777798</v>
      </c>
      <c r="P468" s="2">
        <v>0.34513888888888899</v>
      </c>
      <c r="Q468" s="2">
        <v>0.34930555555555598</v>
      </c>
      <c r="R468">
        <v>53</v>
      </c>
      <c r="S468">
        <v>16</v>
      </c>
      <c r="T468" s="2">
        <v>0.35039351851851902</v>
      </c>
      <c r="W468" s="2">
        <v>0.38194444444444398</v>
      </c>
      <c r="X468" s="2">
        <v>0.39583333333333298</v>
      </c>
      <c r="Y468">
        <v>20</v>
      </c>
    </row>
    <row r="469" spans="1:25" ht="15" customHeight="1" x14ac:dyDescent="0.2">
      <c r="A469" s="1">
        <v>46252</v>
      </c>
      <c r="B469" t="s">
        <v>26</v>
      </c>
      <c r="C469" t="s">
        <v>27</v>
      </c>
      <c r="D469" t="s">
        <v>28</v>
      </c>
      <c r="E469" t="s">
        <v>29</v>
      </c>
      <c r="F469" s="2">
        <v>0.31458333333333299</v>
      </c>
      <c r="G469" s="2">
        <v>0.40277777777777801</v>
      </c>
      <c r="H469">
        <v>127</v>
      </c>
      <c r="I469" s="3">
        <v>0.3125</v>
      </c>
      <c r="J469" s="2">
        <v>0.40625</v>
      </c>
      <c r="K469">
        <v>135</v>
      </c>
      <c r="L469" s="2">
        <v>0.31458333333333299</v>
      </c>
      <c r="M469" s="2">
        <v>0.4</v>
      </c>
      <c r="N469">
        <v>123</v>
      </c>
      <c r="O469" s="2">
        <v>0.32986111111111099</v>
      </c>
      <c r="P469" s="2">
        <v>0.39583333333333298</v>
      </c>
      <c r="Q469" s="2">
        <v>0.4</v>
      </c>
      <c r="R469">
        <v>123</v>
      </c>
      <c r="S469">
        <v>95</v>
      </c>
      <c r="T469" s="2">
        <v>0.40206018518518499</v>
      </c>
      <c r="U469" s="2">
        <v>0.421527777777778</v>
      </c>
      <c r="V469">
        <v>29</v>
      </c>
    </row>
    <row r="470" spans="1:25" ht="15" customHeight="1" x14ac:dyDescent="0.2">
      <c r="A470" s="1">
        <v>46252</v>
      </c>
      <c r="B470" t="s">
        <v>26</v>
      </c>
      <c r="C470" t="s">
        <v>27</v>
      </c>
      <c r="D470" t="s">
        <v>28</v>
      </c>
      <c r="E470" t="s">
        <v>29</v>
      </c>
      <c r="F470" s="2">
        <v>0.52430555555555602</v>
      </c>
      <c r="G470" s="2">
        <v>0.59097222222222201</v>
      </c>
      <c r="H470">
        <v>96</v>
      </c>
      <c r="I470" s="3">
        <v>0.52083333333333304</v>
      </c>
      <c r="J470" s="2">
        <v>0.59375</v>
      </c>
      <c r="K470">
        <v>105</v>
      </c>
      <c r="L470" s="2">
        <v>0.52430555555555602</v>
      </c>
      <c r="M470" s="2">
        <v>0.58750000000000002</v>
      </c>
      <c r="N470">
        <v>91</v>
      </c>
      <c r="O470" s="2">
        <v>0.54236111111111096</v>
      </c>
      <c r="P470" s="2">
        <v>0.58472222222222203</v>
      </c>
      <c r="Q470" s="2">
        <v>0.58750000000000002</v>
      </c>
      <c r="R470">
        <v>91</v>
      </c>
      <c r="S470">
        <v>61</v>
      </c>
      <c r="T470" s="2">
        <v>0.58908564814814801</v>
      </c>
      <c r="U470" s="2">
        <v>0.60902777777777795</v>
      </c>
      <c r="V470">
        <v>29</v>
      </c>
    </row>
    <row r="471" spans="1:25" ht="15" customHeight="1" x14ac:dyDescent="0.2">
      <c r="A471" s="1">
        <v>46252</v>
      </c>
      <c r="B471" t="s">
        <v>26</v>
      </c>
      <c r="C471" t="s">
        <v>27</v>
      </c>
      <c r="D471" t="s">
        <v>28</v>
      </c>
      <c r="E471" t="s">
        <v>29</v>
      </c>
      <c r="F471" s="2">
        <v>0.42499999999999999</v>
      </c>
      <c r="G471" s="2">
        <v>0.49305555555555602</v>
      </c>
      <c r="H471">
        <v>98</v>
      </c>
      <c r="I471" s="3">
        <v>0.42708333333333298</v>
      </c>
      <c r="J471" s="2">
        <v>0.5</v>
      </c>
      <c r="K471">
        <v>105</v>
      </c>
      <c r="L471" s="2">
        <v>0.42499999999999999</v>
      </c>
      <c r="M471" s="2">
        <v>0.48819444444444399</v>
      </c>
      <c r="N471">
        <v>91</v>
      </c>
      <c r="O471" s="2">
        <v>0.44791666666666702</v>
      </c>
      <c r="P471" s="2">
        <v>0.48125000000000001</v>
      </c>
      <c r="Q471" s="2">
        <v>0.48819444444444399</v>
      </c>
      <c r="R471">
        <v>91</v>
      </c>
      <c r="S471">
        <v>48</v>
      </c>
      <c r="T471" s="2">
        <v>0.489953703703704</v>
      </c>
      <c r="U471" s="2">
        <v>0.53402777777777799</v>
      </c>
      <c r="V471">
        <v>64</v>
      </c>
    </row>
    <row r="472" spans="1:25" ht="15" customHeight="1" x14ac:dyDescent="0.2">
      <c r="A472" s="1">
        <v>46252</v>
      </c>
      <c r="B472" t="s">
        <v>26</v>
      </c>
      <c r="C472" t="s">
        <v>27</v>
      </c>
      <c r="D472" t="s">
        <v>28</v>
      </c>
      <c r="E472" t="s">
        <v>29</v>
      </c>
      <c r="F472" s="2">
        <v>0.31527777777777799</v>
      </c>
      <c r="G472" s="2">
        <v>0.60763888888888895</v>
      </c>
      <c r="H472">
        <v>421</v>
      </c>
      <c r="I472" s="3">
        <v>0.3125</v>
      </c>
      <c r="J472" s="2">
        <v>0.64583333333333304</v>
      </c>
      <c r="K472">
        <v>480</v>
      </c>
      <c r="L472" s="2">
        <v>0.31527777777777799</v>
      </c>
      <c r="M472" s="2">
        <v>0.60069444444444398</v>
      </c>
      <c r="N472">
        <v>411</v>
      </c>
      <c r="O472" s="2">
        <v>0.35416666666666702</v>
      </c>
      <c r="P472" s="2">
        <v>0.593055555555556</v>
      </c>
      <c r="Q472" s="2">
        <v>0.60069444444444398</v>
      </c>
      <c r="R472">
        <v>411</v>
      </c>
      <c r="S472">
        <v>344</v>
      </c>
    </row>
    <row r="473" spans="1:25" ht="15" customHeight="1" x14ac:dyDescent="0.2">
      <c r="A473" s="1">
        <v>46252</v>
      </c>
      <c r="B473" t="s">
        <v>26</v>
      </c>
      <c r="C473" t="s">
        <v>27</v>
      </c>
      <c r="D473" t="s">
        <v>28</v>
      </c>
      <c r="E473" t="s">
        <v>29</v>
      </c>
      <c r="F473" s="2">
        <v>0.33680555555555602</v>
      </c>
      <c r="G473" s="2">
        <v>0.51458333333333295</v>
      </c>
      <c r="H473">
        <v>256</v>
      </c>
      <c r="I473" s="3">
        <v>0.3125</v>
      </c>
      <c r="J473" s="2">
        <v>0.4375</v>
      </c>
      <c r="K473">
        <v>180</v>
      </c>
      <c r="L473" s="2">
        <v>0.33680555555555602</v>
      </c>
      <c r="M473" s="2">
        <v>0.51180555555555596</v>
      </c>
      <c r="N473">
        <v>252</v>
      </c>
      <c r="O473" s="2">
        <v>0.374305555555556</v>
      </c>
      <c r="P473" s="2">
        <v>0.499305555555556</v>
      </c>
      <c r="Q473" s="2">
        <v>0.51180555555555596</v>
      </c>
      <c r="R473">
        <v>252</v>
      </c>
      <c r="S473">
        <v>180</v>
      </c>
    </row>
    <row r="474" spans="1:25" ht="15" customHeight="1" x14ac:dyDescent="0.2">
      <c r="A474" s="1">
        <v>46252</v>
      </c>
      <c r="B474" t="s">
        <v>26</v>
      </c>
      <c r="C474" t="s">
        <v>27</v>
      </c>
      <c r="D474" t="s">
        <v>28</v>
      </c>
      <c r="E474" t="s">
        <v>29</v>
      </c>
      <c r="F474" s="2">
        <v>0.80486111111111103</v>
      </c>
      <c r="G474" s="2">
        <v>0.86597222222222203</v>
      </c>
      <c r="H474">
        <v>88</v>
      </c>
      <c r="I474" s="3">
        <v>0.77083333333333304</v>
      </c>
      <c r="J474" s="2">
        <v>0.83333333333333304</v>
      </c>
      <c r="K474">
        <v>90</v>
      </c>
      <c r="L474" s="2">
        <v>0.80486111111111103</v>
      </c>
      <c r="M474" s="2">
        <v>0.85972222222222205</v>
      </c>
      <c r="N474">
        <v>79</v>
      </c>
      <c r="O474" s="2">
        <v>0.82777777777777795</v>
      </c>
      <c r="P474" s="2">
        <v>0.85555555555555596</v>
      </c>
      <c r="Q474" s="2">
        <v>0.85972222222222205</v>
      </c>
      <c r="R474">
        <v>79</v>
      </c>
      <c r="S474">
        <v>40</v>
      </c>
      <c r="T474" s="2">
        <v>0.86028935185185196</v>
      </c>
      <c r="U474" s="2">
        <v>0.911944444444444</v>
      </c>
      <c r="V474">
        <v>75</v>
      </c>
    </row>
    <row r="475" spans="1:25" ht="15" customHeight="1" x14ac:dyDescent="0.2">
      <c r="A475" s="1">
        <v>46252</v>
      </c>
      <c r="B475" t="s">
        <v>26</v>
      </c>
      <c r="C475" t="s">
        <v>27</v>
      </c>
      <c r="D475" t="s">
        <v>28</v>
      </c>
      <c r="E475" t="s">
        <v>29</v>
      </c>
      <c r="F475" s="2">
        <v>0.61736111111111103</v>
      </c>
      <c r="G475" s="2">
        <v>0.80347222222222203</v>
      </c>
      <c r="H475">
        <v>268</v>
      </c>
      <c r="I475" s="3">
        <v>0.58333333333333304</v>
      </c>
      <c r="J475" s="2">
        <v>0.72916666666666696</v>
      </c>
      <c r="K475">
        <v>210</v>
      </c>
      <c r="L475" s="2">
        <v>0.61736111111111103</v>
      </c>
      <c r="M475" s="2">
        <v>0.79722222222222205</v>
      </c>
      <c r="N475">
        <v>259</v>
      </c>
      <c r="O475" s="2">
        <v>0.66041666666666698</v>
      </c>
      <c r="P475" s="2">
        <v>0.79097222222222197</v>
      </c>
      <c r="Q475" s="2">
        <v>0.79722222222222205</v>
      </c>
      <c r="R475">
        <v>259</v>
      </c>
      <c r="S475">
        <v>188</v>
      </c>
    </row>
    <row r="476" spans="1:25" ht="15" customHeight="1" x14ac:dyDescent="0.2">
      <c r="A476" s="1">
        <v>46252</v>
      </c>
      <c r="B476" t="s">
        <v>26</v>
      </c>
      <c r="C476" t="s">
        <v>27</v>
      </c>
      <c r="D476" t="s">
        <v>28</v>
      </c>
      <c r="E476" t="s">
        <v>29</v>
      </c>
      <c r="F476" s="2">
        <v>0.72569444444444398</v>
      </c>
      <c r="G476" s="2">
        <v>0.77916666666666701</v>
      </c>
      <c r="H476">
        <v>77</v>
      </c>
      <c r="I476" s="3">
        <v>0.70833333333333304</v>
      </c>
      <c r="J476" s="2">
        <v>0.75</v>
      </c>
      <c r="K476">
        <v>60</v>
      </c>
      <c r="L476" s="2">
        <v>0.72569444444444398</v>
      </c>
      <c r="M476" s="2">
        <v>0.77291666666666703</v>
      </c>
      <c r="N476">
        <v>68</v>
      </c>
      <c r="O476" s="2">
        <v>0.74375000000000002</v>
      </c>
      <c r="P476" s="2">
        <v>0.76875000000000004</v>
      </c>
      <c r="Q476" s="2">
        <v>0.77291666666666703</v>
      </c>
      <c r="R476">
        <v>68</v>
      </c>
      <c r="S476">
        <v>36</v>
      </c>
      <c r="T476" s="2">
        <v>0.77399305555555598</v>
      </c>
      <c r="U476" s="2">
        <v>0.78958333333333297</v>
      </c>
      <c r="V476">
        <v>23</v>
      </c>
    </row>
    <row r="477" spans="1:25" ht="15" customHeight="1" x14ac:dyDescent="0.2">
      <c r="A477" s="1">
        <v>46252</v>
      </c>
      <c r="B477" t="s">
        <v>26</v>
      </c>
      <c r="C477" t="s">
        <v>27</v>
      </c>
      <c r="D477" t="s">
        <v>28</v>
      </c>
      <c r="E477" t="s">
        <v>29</v>
      </c>
      <c r="F477" s="2">
        <v>0.86736111111111103</v>
      </c>
      <c r="G477" s="2">
        <v>0.90972222222222199</v>
      </c>
      <c r="H477">
        <v>61</v>
      </c>
      <c r="I477" s="3">
        <v>0.82291666666666696</v>
      </c>
      <c r="J477" s="2">
        <v>0.86458333333333304</v>
      </c>
      <c r="K477">
        <v>60</v>
      </c>
      <c r="L477" s="2">
        <v>0.86736111111111103</v>
      </c>
      <c r="M477" s="2">
        <v>0.90416666666666701</v>
      </c>
      <c r="N477">
        <v>53</v>
      </c>
      <c r="O477" s="2">
        <v>0.88124999999999998</v>
      </c>
      <c r="P477" s="2">
        <v>0.90277777777777801</v>
      </c>
      <c r="Q477" s="2">
        <v>0.90416666666666701</v>
      </c>
      <c r="R477">
        <v>53</v>
      </c>
      <c r="S477">
        <v>31</v>
      </c>
      <c r="T477" s="2">
        <v>0.90517361111111105</v>
      </c>
      <c r="U477" s="2">
        <v>0.91736111111111096</v>
      </c>
      <c r="V477">
        <v>18</v>
      </c>
    </row>
    <row r="478" spans="1:25" ht="15" customHeight="1" x14ac:dyDescent="0.2">
      <c r="A478" s="1">
        <v>46252</v>
      </c>
      <c r="B478" t="s">
        <v>26</v>
      </c>
      <c r="C478" t="s">
        <v>27</v>
      </c>
      <c r="D478" t="s">
        <v>34</v>
      </c>
      <c r="E478" t="s">
        <v>31</v>
      </c>
      <c r="F478" s="2">
        <v>0.48680555555555599</v>
      </c>
      <c r="G478" s="2">
        <v>0.54236111111111096</v>
      </c>
      <c r="H478">
        <v>80</v>
      </c>
      <c r="I478" s="3">
        <v>0.45833333333333298</v>
      </c>
      <c r="J478" s="2">
        <v>0.5</v>
      </c>
      <c r="K478">
        <v>60</v>
      </c>
      <c r="L478" s="2">
        <v>0.48680555555555599</v>
      </c>
      <c r="M478" s="2">
        <v>0.53888888888888897</v>
      </c>
      <c r="N478">
        <v>75</v>
      </c>
      <c r="O478" s="2">
        <v>0.50833333333333297</v>
      </c>
      <c r="P478" s="2">
        <v>0.53472222222222199</v>
      </c>
      <c r="Q478" s="2">
        <v>0.53888888888888897</v>
      </c>
      <c r="R478">
        <v>75</v>
      </c>
      <c r="S478">
        <v>38</v>
      </c>
      <c r="T478" s="2">
        <v>0.54273148148148198</v>
      </c>
      <c r="U478" s="2">
        <v>0.57291666666666696</v>
      </c>
      <c r="V478">
        <v>44</v>
      </c>
    </row>
    <row r="479" spans="1:25" ht="15" customHeight="1" x14ac:dyDescent="0.2">
      <c r="A479" s="1">
        <v>46252</v>
      </c>
      <c r="B479" t="s">
        <v>26</v>
      </c>
      <c r="C479" t="s">
        <v>27</v>
      </c>
      <c r="D479" t="s">
        <v>34</v>
      </c>
      <c r="E479" t="s">
        <v>29</v>
      </c>
      <c r="F479" s="2">
        <v>0.70833333333333304</v>
      </c>
      <c r="G479" s="2">
        <v>0.82638888888888895</v>
      </c>
      <c r="H479">
        <v>170</v>
      </c>
      <c r="I479" s="3">
        <v>0.6875</v>
      </c>
      <c r="J479" s="2">
        <v>0.77083333333333304</v>
      </c>
      <c r="K479">
        <v>120</v>
      </c>
      <c r="L479" s="2">
        <v>0.70833333333333304</v>
      </c>
      <c r="M479" s="2">
        <v>0.81874999999999998</v>
      </c>
      <c r="N479">
        <v>159</v>
      </c>
      <c r="O479" s="2">
        <v>0.73333333333333295</v>
      </c>
      <c r="P479" s="2">
        <v>0.813194444444444</v>
      </c>
      <c r="Q479" s="2">
        <v>0.81874999999999998</v>
      </c>
      <c r="R479">
        <v>159</v>
      </c>
      <c r="S479">
        <v>115</v>
      </c>
      <c r="T479" s="2">
        <v>0.82043981481481498</v>
      </c>
      <c r="U479" s="2">
        <v>0.875694444444444</v>
      </c>
      <c r="V479">
        <v>80</v>
      </c>
    </row>
    <row r="480" spans="1:25" ht="15" customHeight="1" x14ac:dyDescent="0.2">
      <c r="A480" s="1">
        <v>46252</v>
      </c>
      <c r="B480" t="s">
        <v>42</v>
      </c>
      <c r="C480" t="s">
        <v>43</v>
      </c>
      <c r="D480" t="s">
        <v>34</v>
      </c>
      <c r="E480" t="s">
        <v>31</v>
      </c>
      <c r="F480" s="2">
        <v>0.59375</v>
      </c>
      <c r="G480" s="2">
        <v>0.66666666666666696</v>
      </c>
      <c r="H480">
        <v>105</v>
      </c>
      <c r="I480" s="3">
        <v>0.55902777777777801</v>
      </c>
      <c r="J480" s="2">
        <v>0.62152777777777801</v>
      </c>
      <c r="K480">
        <v>90</v>
      </c>
      <c r="L480" s="2">
        <v>0.59375</v>
      </c>
      <c r="M480" s="2">
        <v>0.66319444444444398</v>
      </c>
      <c r="N480">
        <v>100</v>
      </c>
      <c r="O480" s="2">
        <v>0.60833333333333295</v>
      </c>
      <c r="P480" s="2">
        <v>0.65902777777777799</v>
      </c>
      <c r="Q480" s="2">
        <v>0.66319444444444398</v>
      </c>
      <c r="R480">
        <v>100</v>
      </c>
      <c r="S480">
        <v>73</v>
      </c>
      <c r="T480" s="2">
        <v>0.66364583333333305</v>
      </c>
      <c r="U480" s="2">
        <v>0.71160879629629603</v>
      </c>
      <c r="V480">
        <v>69</v>
      </c>
    </row>
    <row r="481" spans="1:25" ht="15" customHeight="1" x14ac:dyDescent="0.2">
      <c r="A481" s="1">
        <v>46252</v>
      </c>
      <c r="B481" t="s">
        <v>26</v>
      </c>
      <c r="C481" t="s">
        <v>27</v>
      </c>
      <c r="D481" t="s">
        <v>28</v>
      </c>
      <c r="E481" t="s">
        <v>29</v>
      </c>
      <c r="F481" s="2">
        <v>0.52083333333333304</v>
      </c>
      <c r="G481" s="2">
        <v>0.65069444444444402</v>
      </c>
      <c r="H481">
        <v>187</v>
      </c>
      <c r="I481" s="3">
        <v>0.5</v>
      </c>
      <c r="J481" s="2">
        <v>0.625</v>
      </c>
      <c r="K481">
        <v>180</v>
      </c>
      <c r="L481" s="2">
        <v>0.52083333333333304</v>
      </c>
      <c r="M481" s="2">
        <v>0.64513888888888904</v>
      </c>
      <c r="N481">
        <v>179</v>
      </c>
      <c r="O481" s="2">
        <v>0.54513888888888895</v>
      </c>
      <c r="P481" s="2">
        <v>0.63958333333333295</v>
      </c>
      <c r="Q481" s="2">
        <v>0.64513888888888904</v>
      </c>
      <c r="R481">
        <v>179</v>
      </c>
      <c r="S481">
        <v>136</v>
      </c>
      <c r="T481" s="2">
        <v>0.64754629629629601</v>
      </c>
      <c r="U481" s="2">
        <v>0.69444444444444398</v>
      </c>
      <c r="V481">
        <v>68</v>
      </c>
    </row>
    <row r="482" spans="1:25" ht="15" customHeight="1" x14ac:dyDescent="0.2">
      <c r="A482" s="1">
        <v>46252</v>
      </c>
      <c r="B482" t="s">
        <v>26</v>
      </c>
      <c r="C482" t="s">
        <v>27</v>
      </c>
      <c r="D482" t="s">
        <v>28</v>
      </c>
      <c r="E482" t="s">
        <v>40</v>
      </c>
      <c r="F482" s="2">
        <v>0.56388888888888899</v>
      </c>
      <c r="G482" s="2">
        <v>0.60138888888888897</v>
      </c>
      <c r="H482">
        <v>54</v>
      </c>
      <c r="I482" s="3">
        <v>0.5625</v>
      </c>
      <c r="J482" s="2">
        <v>0.59375</v>
      </c>
      <c r="K482">
        <v>75</v>
      </c>
      <c r="L482" s="2">
        <v>0.563194444444444</v>
      </c>
      <c r="M482" s="2">
        <v>0.594444444444444</v>
      </c>
      <c r="N482">
        <v>45</v>
      </c>
      <c r="O482" s="2">
        <v>0.58263888888888904</v>
      </c>
      <c r="P482" s="2">
        <v>0.58541666666666703</v>
      </c>
      <c r="Q482" s="2">
        <v>0.594444444444444</v>
      </c>
      <c r="R482">
        <v>45</v>
      </c>
      <c r="S482">
        <v>4</v>
      </c>
    </row>
    <row r="483" spans="1:25" ht="15" customHeight="1" x14ac:dyDescent="0.2">
      <c r="A483" s="1">
        <v>46252</v>
      </c>
      <c r="B483" t="s">
        <v>26</v>
      </c>
      <c r="C483" t="s">
        <v>27</v>
      </c>
      <c r="D483" t="s">
        <v>28</v>
      </c>
      <c r="E483" t="s">
        <v>29</v>
      </c>
      <c r="F483" s="2">
        <v>0.76736111111111105</v>
      </c>
      <c r="G483" s="2">
        <v>0.82013888888888897</v>
      </c>
      <c r="H483">
        <v>76</v>
      </c>
      <c r="I483" s="3">
        <v>0.72916666666666696</v>
      </c>
      <c r="J483" s="2">
        <v>0.80555555555555602</v>
      </c>
      <c r="K483">
        <v>110</v>
      </c>
      <c r="L483" s="2">
        <v>0.76736111111111105</v>
      </c>
      <c r="M483" s="2">
        <v>0.81736111111111098</v>
      </c>
      <c r="N483">
        <v>72</v>
      </c>
      <c r="O483" s="2">
        <v>0.78749999999999998</v>
      </c>
      <c r="P483" s="2">
        <v>0.813194444444444</v>
      </c>
      <c r="Q483" s="2">
        <v>0.81736111111111098</v>
      </c>
      <c r="R483">
        <v>72</v>
      </c>
      <c r="S483">
        <v>37</v>
      </c>
      <c r="T483" s="2">
        <v>0.81944444444444398</v>
      </c>
      <c r="U483" s="2">
        <v>0.875</v>
      </c>
      <c r="V483">
        <v>80</v>
      </c>
    </row>
    <row r="484" spans="1:25" ht="15" customHeight="1" x14ac:dyDescent="0.2">
      <c r="A484" s="1">
        <v>46252</v>
      </c>
      <c r="B484" t="s">
        <v>26</v>
      </c>
      <c r="C484" t="s">
        <v>27</v>
      </c>
      <c r="D484" t="s">
        <v>34</v>
      </c>
      <c r="E484" t="s">
        <v>36</v>
      </c>
      <c r="F484" s="2">
        <v>0.69444444444444398</v>
      </c>
      <c r="G484" s="2">
        <v>0.89652777777777803</v>
      </c>
      <c r="H484">
        <v>291</v>
      </c>
      <c r="I484" s="3">
        <v>0.6875</v>
      </c>
      <c r="J484" s="2">
        <v>0.77083333333333304</v>
      </c>
      <c r="K484">
        <v>120</v>
      </c>
      <c r="L484" s="2">
        <v>0.69444444444444398</v>
      </c>
      <c r="M484" s="2">
        <v>0.89166666666666705</v>
      </c>
      <c r="N484">
        <v>284</v>
      </c>
      <c r="O484" s="2">
        <v>0.74375000000000002</v>
      </c>
      <c r="P484" s="2">
        <v>0.88958333333333295</v>
      </c>
      <c r="Q484" s="2">
        <v>0.89166666666666705</v>
      </c>
      <c r="R484">
        <v>284</v>
      </c>
      <c r="S484">
        <v>210</v>
      </c>
    </row>
    <row r="485" spans="1:25" ht="15" customHeight="1" x14ac:dyDescent="0.2">
      <c r="A485" s="1">
        <v>46252</v>
      </c>
      <c r="B485" t="s">
        <v>42</v>
      </c>
      <c r="C485" t="s">
        <v>43</v>
      </c>
      <c r="D485" t="s">
        <v>28</v>
      </c>
      <c r="E485" t="s">
        <v>29</v>
      </c>
      <c r="F485" s="2">
        <v>0.55833333333333302</v>
      </c>
      <c r="G485" s="2">
        <v>0.60347222222222197</v>
      </c>
      <c r="H485">
        <v>65</v>
      </c>
      <c r="I485" s="3">
        <v>0.53125</v>
      </c>
      <c r="J485" s="2">
        <v>0.5625</v>
      </c>
      <c r="K485">
        <v>45</v>
      </c>
      <c r="L485" s="2">
        <v>0.55833333333333302</v>
      </c>
      <c r="M485" s="2">
        <v>0.59791666666666698</v>
      </c>
      <c r="N485">
        <v>57</v>
      </c>
      <c r="O485" s="2">
        <v>0.58402777777777803</v>
      </c>
      <c r="P485" s="2">
        <v>0.59097222222222201</v>
      </c>
      <c r="Q485" s="2">
        <v>0.59791666666666698</v>
      </c>
      <c r="R485">
        <v>57</v>
      </c>
      <c r="S485">
        <v>10</v>
      </c>
      <c r="T485" s="2">
        <v>0.60171296296296295</v>
      </c>
      <c r="U485" s="2">
        <v>0.63476851851851901</v>
      </c>
      <c r="V485">
        <v>48</v>
      </c>
      <c r="W485" s="2">
        <v>0.63480324074074101</v>
      </c>
      <c r="X485" s="2">
        <v>0.67821759259259295</v>
      </c>
      <c r="Y485">
        <v>62</v>
      </c>
    </row>
    <row r="486" spans="1:25" ht="15" customHeight="1" x14ac:dyDescent="0.2">
      <c r="A486" s="1">
        <v>46252</v>
      </c>
      <c r="B486" t="s">
        <v>42</v>
      </c>
      <c r="C486" t="s">
        <v>43</v>
      </c>
      <c r="D486" t="s">
        <v>34</v>
      </c>
      <c r="E486" t="s">
        <v>29</v>
      </c>
      <c r="F486" s="2">
        <v>0.38333333333333303</v>
      </c>
      <c r="G486" s="2">
        <v>0.50416666666666698</v>
      </c>
      <c r="H486">
        <v>174</v>
      </c>
      <c r="I486" s="3">
        <v>0.375</v>
      </c>
      <c r="J486" s="2">
        <v>0.47916666666666702</v>
      </c>
      <c r="K486">
        <v>150</v>
      </c>
      <c r="L486" s="2">
        <v>0.38333333333333303</v>
      </c>
      <c r="M486" s="2">
        <v>0.50138888888888899</v>
      </c>
      <c r="N486">
        <v>170</v>
      </c>
      <c r="O486" s="2">
        <v>0.40416666666666701</v>
      </c>
      <c r="P486" s="2">
        <v>0.499305555555556</v>
      </c>
      <c r="Q486" s="2">
        <v>0.50138888888888899</v>
      </c>
      <c r="R486">
        <v>170</v>
      </c>
      <c r="S486">
        <v>137</v>
      </c>
      <c r="T486" s="2">
        <v>0.50208333333333299</v>
      </c>
      <c r="U486" s="2">
        <v>0.63194444444444398</v>
      </c>
      <c r="V486">
        <v>187</v>
      </c>
      <c r="W486" s="2">
        <v>0.63402777777777797</v>
      </c>
      <c r="X486" s="2">
        <v>0.70208333333333295</v>
      </c>
      <c r="Y486">
        <v>98</v>
      </c>
    </row>
    <row r="487" spans="1:25" ht="15" customHeight="1" x14ac:dyDescent="0.2">
      <c r="A487" s="1">
        <v>46253</v>
      </c>
      <c r="B487" t="s">
        <v>42</v>
      </c>
      <c r="C487" t="s">
        <v>43</v>
      </c>
      <c r="D487" t="s">
        <v>28</v>
      </c>
      <c r="E487" t="s">
        <v>29</v>
      </c>
      <c r="F487" s="2">
        <v>0.30763888888888902</v>
      </c>
      <c r="G487" s="2">
        <v>0.33888888888888902</v>
      </c>
      <c r="H487">
        <v>45</v>
      </c>
      <c r="I487" s="3">
        <v>0.3125</v>
      </c>
      <c r="J487" s="2">
        <v>0.35416666666666702</v>
      </c>
      <c r="K487">
        <v>60</v>
      </c>
      <c r="L487" s="2">
        <v>0.30763888888888902</v>
      </c>
      <c r="M487" s="2">
        <v>0.33680555555555602</v>
      </c>
      <c r="N487">
        <v>42</v>
      </c>
      <c r="O487" s="2">
        <v>0.32013888888888897</v>
      </c>
      <c r="P487" s="2">
        <v>0.32986111111111099</v>
      </c>
      <c r="Q487" s="2">
        <v>0.33680555555555602</v>
      </c>
      <c r="R487">
        <v>42</v>
      </c>
      <c r="S487">
        <v>14</v>
      </c>
      <c r="T487" s="2">
        <v>0.33775462962962999</v>
      </c>
      <c r="U487" s="2">
        <v>0.35037037037037</v>
      </c>
      <c r="V487">
        <v>18</v>
      </c>
      <c r="W487" s="2">
        <v>0.35039351851851902</v>
      </c>
      <c r="X487" s="2">
        <v>0.36738425925925899</v>
      </c>
      <c r="Y487">
        <v>25</v>
      </c>
    </row>
    <row r="488" spans="1:25" ht="15" customHeight="1" x14ac:dyDescent="0.2">
      <c r="A488" s="1">
        <v>46253</v>
      </c>
      <c r="B488" t="s">
        <v>26</v>
      </c>
      <c r="C488" t="s">
        <v>27</v>
      </c>
      <c r="D488" t="s">
        <v>28</v>
      </c>
      <c r="E488" t="s">
        <v>29</v>
      </c>
      <c r="F488" s="2">
        <v>0.32569444444444401</v>
      </c>
      <c r="G488" s="2">
        <v>0.46319444444444402</v>
      </c>
      <c r="H488">
        <v>198</v>
      </c>
      <c r="I488" s="3">
        <v>0.3125</v>
      </c>
      <c r="J488" s="2">
        <v>0.4375</v>
      </c>
      <c r="K488">
        <v>180</v>
      </c>
      <c r="L488" s="2">
        <v>0.32569444444444401</v>
      </c>
      <c r="M488" s="2">
        <v>0.45624999999999999</v>
      </c>
      <c r="N488">
        <v>188</v>
      </c>
      <c r="O488" s="2">
        <v>0.36875000000000002</v>
      </c>
      <c r="P488" s="2">
        <v>0.44722222222222202</v>
      </c>
      <c r="Q488" s="2">
        <v>0.45624999999999999</v>
      </c>
      <c r="R488">
        <v>188</v>
      </c>
      <c r="S488">
        <v>113</v>
      </c>
      <c r="T488" s="2">
        <v>0.45694444444444399</v>
      </c>
      <c r="U488" s="2">
        <v>0.48055555555555601</v>
      </c>
      <c r="V488">
        <v>34</v>
      </c>
    </row>
    <row r="489" spans="1:25" ht="15" customHeight="1" x14ac:dyDescent="0.2">
      <c r="A489" s="1">
        <v>46253</v>
      </c>
      <c r="B489" t="s">
        <v>42</v>
      </c>
      <c r="C489" t="s">
        <v>43</v>
      </c>
      <c r="D489" t="s">
        <v>28</v>
      </c>
      <c r="E489" t="s">
        <v>29</v>
      </c>
      <c r="F489" s="2">
        <v>0.374305555555556</v>
      </c>
      <c r="G489" s="2">
        <v>0.43055555555555602</v>
      </c>
      <c r="H489">
        <v>81</v>
      </c>
      <c r="I489" s="3">
        <v>0.375</v>
      </c>
      <c r="J489" s="2">
        <v>0.41666666666666702</v>
      </c>
      <c r="K489">
        <v>60</v>
      </c>
      <c r="L489" s="2">
        <v>0.374305555555556</v>
      </c>
      <c r="M489" s="2">
        <v>0.42708333333333298</v>
      </c>
      <c r="N489">
        <v>76</v>
      </c>
      <c r="O489" s="2">
        <v>0.39236111111111099</v>
      </c>
      <c r="P489" s="2">
        <v>0.42430555555555599</v>
      </c>
      <c r="Q489" s="2">
        <v>0.42708333333333298</v>
      </c>
      <c r="R489">
        <v>76</v>
      </c>
      <c r="S489">
        <v>46</v>
      </c>
      <c r="T489" s="2">
        <v>0.42813657407407402</v>
      </c>
      <c r="U489" s="2">
        <v>0.46883101851851799</v>
      </c>
      <c r="V489">
        <v>59</v>
      </c>
      <c r="W489" s="2">
        <v>0.468865740740741</v>
      </c>
      <c r="X489" s="2">
        <v>0.50944444444444403</v>
      </c>
      <c r="Y489">
        <v>58</v>
      </c>
    </row>
    <row r="490" spans="1:25" ht="15" customHeight="1" x14ac:dyDescent="0.2">
      <c r="A490" s="1">
        <v>46253</v>
      </c>
      <c r="B490" t="s">
        <v>42</v>
      </c>
      <c r="C490" t="s">
        <v>43</v>
      </c>
      <c r="D490" t="s">
        <v>28</v>
      </c>
      <c r="E490" t="s">
        <v>29</v>
      </c>
      <c r="F490" s="2">
        <v>0.44791666666666702</v>
      </c>
      <c r="G490" s="2">
        <v>0.51597222222222205</v>
      </c>
      <c r="H490">
        <v>98</v>
      </c>
      <c r="I490" s="3">
        <v>0.4375</v>
      </c>
      <c r="J490" s="2">
        <v>0.52083333333333304</v>
      </c>
      <c r="K490">
        <v>120</v>
      </c>
      <c r="L490" s="2">
        <v>0.44791666666666702</v>
      </c>
      <c r="M490" s="2">
        <v>0.51249999999999996</v>
      </c>
      <c r="N490">
        <v>93</v>
      </c>
      <c r="O490" s="2">
        <v>0.47083333333333299</v>
      </c>
      <c r="P490" s="2">
        <v>0.50902777777777797</v>
      </c>
      <c r="Q490" s="2">
        <v>0.51249999999999996</v>
      </c>
      <c r="R490">
        <v>93</v>
      </c>
      <c r="S490">
        <v>55</v>
      </c>
      <c r="T490" s="2">
        <v>0.51388888888888895</v>
      </c>
      <c r="U490" s="2">
        <v>0.54236111111111096</v>
      </c>
      <c r="V490">
        <v>41</v>
      </c>
      <c r="W490" s="2">
        <v>0.54305555555555596</v>
      </c>
      <c r="X490" s="2">
        <v>0.55672453703703695</v>
      </c>
      <c r="Y490">
        <v>19</v>
      </c>
    </row>
    <row r="491" spans="1:25" ht="15" customHeight="1" x14ac:dyDescent="0.2">
      <c r="A491" s="1">
        <v>46253</v>
      </c>
      <c r="B491" t="s">
        <v>42</v>
      </c>
      <c r="C491" t="s">
        <v>43</v>
      </c>
      <c r="D491" t="s">
        <v>34</v>
      </c>
      <c r="E491" t="s">
        <v>29</v>
      </c>
      <c r="F491" s="2">
        <v>0.32500000000000001</v>
      </c>
      <c r="G491" s="2">
        <v>0.38263888888888897</v>
      </c>
      <c r="H491">
        <v>83</v>
      </c>
      <c r="I491" s="3">
        <v>0.3125</v>
      </c>
      <c r="J491" s="2">
        <v>0.35416666666666702</v>
      </c>
      <c r="K491">
        <v>60</v>
      </c>
      <c r="L491" s="2">
        <v>0.32500000000000001</v>
      </c>
      <c r="M491" s="2">
        <v>0.37708333333333299</v>
      </c>
      <c r="N491">
        <v>75</v>
      </c>
      <c r="O491" s="2">
        <v>0.33611111111111103</v>
      </c>
      <c r="P491" s="2">
        <v>0.36388888888888898</v>
      </c>
      <c r="Q491" s="2">
        <v>0.37708333333333299</v>
      </c>
      <c r="R491">
        <v>75</v>
      </c>
      <c r="S491">
        <v>40</v>
      </c>
      <c r="T491" s="2">
        <v>0.38240740740740697</v>
      </c>
      <c r="U491" s="2">
        <v>0.42708333333333298</v>
      </c>
      <c r="V491">
        <v>65</v>
      </c>
      <c r="W491" s="2">
        <v>0.42708333333333298</v>
      </c>
      <c r="X491" s="2">
        <v>0.44025462962963002</v>
      </c>
      <c r="Y491">
        <v>18</v>
      </c>
    </row>
    <row r="492" spans="1:25" ht="15" customHeight="1" x14ac:dyDescent="0.2">
      <c r="A492" s="1">
        <v>46253</v>
      </c>
      <c r="B492" t="s">
        <v>42</v>
      </c>
      <c r="C492" t="s">
        <v>43</v>
      </c>
      <c r="D492" t="s">
        <v>28</v>
      </c>
      <c r="E492" t="s">
        <v>31</v>
      </c>
      <c r="F492" s="2">
        <v>0.405555555555556</v>
      </c>
      <c r="G492" s="2">
        <v>0.45138888888888901</v>
      </c>
      <c r="H492">
        <v>66</v>
      </c>
      <c r="I492" s="3">
        <v>0.375</v>
      </c>
      <c r="J492" s="2">
        <v>0.40625</v>
      </c>
      <c r="K492">
        <v>45</v>
      </c>
      <c r="L492" s="2">
        <v>0.405555555555556</v>
      </c>
      <c r="M492" s="2">
        <v>0.44722222222222202</v>
      </c>
      <c r="N492">
        <v>60</v>
      </c>
      <c r="O492" s="2">
        <v>0.420833333333333</v>
      </c>
      <c r="P492" s="2">
        <v>0.42847222222222198</v>
      </c>
      <c r="Q492" s="2">
        <v>0.44722222222222202</v>
      </c>
      <c r="R492">
        <v>60</v>
      </c>
      <c r="S492">
        <v>11</v>
      </c>
      <c r="T492" s="2">
        <v>0.44922453703703702</v>
      </c>
      <c r="U492" s="2">
        <v>0.484027777777778</v>
      </c>
      <c r="V492">
        <v>51</v>
      </c>
      <c r="W492" s="2">
        <v>0.484027777777778</v>
      </c>
      <c r="X492" s="2">
        <v>0.52500000000000002</v>
      </c>
      <c r="Y492">
        <v>59</v>
      </c>
    </row>
    <row r="493" spans="1:25" ht="15" customHeight="1" x14ac:dyDescent="0.2">
      <c r="A493" s="1">
        <v>46253</v>
      </c>
      <c r="B493" t="s">
        <v>42</v>
      </c>
      <c r="C493" t="s">
        <v>43</v>
      </c>
      <c r="D493" t="s">
        <v>28</v>
      </c>
      <c r="E493" t="s">
        <v>31</v>
      </c>
      <c r="F493" s="2">
        <v>0.45902777777777798</v>
      </c>
      <c r="G493" s="2">
        <v>0.49375000000000002</v>
      </c>
      <c r="H493">
        <v>50</v>
      </c>
      <c r="I493" s="3">
        <v>0.45138888888888901</v>
      </c>
      <c r="J493" s="2">
        <v>0.48263888888888901</v>
      </c>
      <c r="K493">
        <v>45</v>
      </c>
      <c r="L493" s="2">
        <v>0.45902777777777798</v>
      </c>
      <c r="M493" s="2">
        <v>0.48611111111111099</v>
      </c>
      <c r="N493">
        <v>39</v>
      </c>
      <c r="O493" s="2">
        <v>0.47152777777777799</v>
      </c>
      <c r="P493" s="2">
        <v>0.47499999999999998</v>
      </c>
      <c r="Q493" s="2">
        <v>0.48611111111111099</v>
      </c>
      <c r="R493">
        <v>39</v>
      </c>
      <c r="S493">
        <v>5</v>
      </c>
      <c r="T493" s="2">
        <v>0.48997685185185202</v>
      </c>
      <c r="U493" s="2">
        <v>0.52083333333333304</v>
      </c>
      <c r="V493">
        <v>45</v>
      </c>
      <c r="W493" s="2">
        <v>0.52083333333333304</v>
      </c>
      <c r="X493" s="2">
        <v>0.54704861111111103</v>
      </c>
      <c r="Y493">
        <v>37</v>
      </c>
    </row>
    <row r="494" spans="1:25" ht="15" customHeight="1" x14ac:dyDescent="0.2">
      <c r="A494" s="1">
        <v>46253</v>
      </c>
      <c r="B494" t="s">
        <v>42</v>
      </c>
      <c r="C494" t="s">
        <v>43</v>
      </c>
      <c r="D494" t="s">
        <v>28</v>
      </c>
      <c r="E494" t="s">
        <v>29</v>
      </c>
      <c r="F494" s="2">
        <v>0.313194444444444</v>
      </c>
      <c r="G494" s="2">
        <v>0.35069444444444398</v>
      </c>
      <c r="H494">
        <v>54</v>
      </c>
      <c r="I494" s="3">
        <v>0.3125</v>
      </c>
      <c r="J494" s="2">
        <v>0.35416666666666702</v>
      </c>
      <c r="K494">
        <v>60</v>
      </c>
      <c r="L494" s="2">
        <v>0.313194444444444</v>
      </c>
      <c r="M494" s="2">
        <v>0.34375</v>
      </c>
      <c r="N494">
        <v>44</v>
      </c>
      <c r="O494" s="2">
        <v>0.32638888888888901</v>
      </c>
      <c r="P494" s="2">
        <v>0.34027777777777801</v>
      </c>
      <c r="Q494" s="2">
        <v>0.34375</v>
      </c>
      <c r="R494">
        <v>44</v>
      </c>
      <c r="S494">
        <v>20</v>
      </c>
      <c r="T494" s="2">
        <v>0.34637731481481498</v>
      </c>
      <c r="U494" s="2">
        <v>0.36527777777777798</v>
      </c>
      <c r="V494">
        <v>28</v>
      </c>
      <c r="W494" s="2">
        <v>0.36597222222222198</v>
      </c>
      <c r="X494" s="2">
        <v>0.41736111111111102</v>
      </c>
      <c r="Y494">
        <v>74</v>
      </c>
    </row>
    <row r="495" spans="1:25" ht="15" customHeight="1" x14ac:dyDescent="0.2">
      <c r="A495" s="1">
        <v>46253</v>
      </c>
      <c r="B495" t="s">
        <v>26</v>
      </c>
      <c r="C495" t="s">
        <v>27</v>
      </c>
      <c r="D495" t="s">
        <v>28</v>
      </c>
      <c r="E495" t="s">
        <v>29</v>
      </c>
      <c r="F495" s="2">
        <v>0.65347222222222201</v>
      </c>
      <c r="G495" s="2">
        <v>0.83125000000000004</v>
      </c>
      <c r="H495">
        <v>256</v>
      </c>
      <c r="I495" s="3">
        <v>0.625</v>
      </c>
      <c r="J495" s="2">
        <v>0.72916666666666696</v>
      </c>
      <c r="K495">
        <v>150</v>
      </c>
      <c r="L495" s="2">
        <v>0.65347222222222201</v>
      </c>
      <c r="M495" s="2">
        <v>0.82847222222222205</v>
      </c>
      <c r="N495">
        <v>252</v>
      </c>
      <c r="O495" s="2">
        <v>0.67777777777777803</v>
      </c>
      <c r="P495" s="2">
        <v>0.82638888888888895</v>
      </c>
      <c r="Q495" s="2">
        <v>0.82847222222222205</v>
      </c>
      <c r="R495">
        <v>252</v>
      </c>
      <c r="S495">
        <v>214</v>
      </c>
      <c r="T495" s="2">
        <v>0.83045138888888903</v>
      </c>
      <c r="U495" s="2">
        <v>0.90931712962962996</v>
      </c>
      <c r="V495">
        <v>114</v>
      </c>
    </row>
    <row r="496" spans="1:25" ht="15" customHeight="1" x14ac:dyDescent="0.2">
      <c r="A496" s="1">
        <v>46253</v>
      </c>
      <c r="B496" t="s">
        <v>42</v>
      </c>
      <c r="C496" t="s">
        <v>43</v>
      </c>
      <c r="D496" t="s">
        <v>28</v>
      </c>
      <c r="E496" t="s">
        <v>31</v>
      </c>
      <c r="F496" s="2">
        <v>0.31597222222222199</v>
      </c>
      <c r="G496" s="2">
        <v>0.38541666666666702</v>
      </c>
      <c r="H496">
        <v>100</v>
      </c>
      <c r="I496" s="3">
        <v>0.3125</v>
      </c>
      <c r="J496" s="2">
        <v>0.38541666666666702</v>
      </c>
      <c r="K496">
        <v>105</v>
      </c>
      <c r="L496" s="2">
        <v>0.31597222222222199</v>
      </c>
      <c r="M496" s="2">
        <v>0.38124999999999998</v>
      </c>
      <c r="N496">
        <v>94</v>
      </c>
      <c r="O496" s="2">
        <v>0.34097222222222201</v>
      </c>
      <c r="P496" s="2">
        <v>0.37638888888888899</v>
      </c>
      <c r="Q496" s="2">
        <v>0.38124999999999998</v>
      </c>
      <c r="R496">
        <v>94</v>
      </c>
      <c r="S496">
        <v>51</v>
      </c>
      <c r="T496" s="2">
        <v>0.38250000000000001</v>
      </c>
      <c r="U496" s="2">
        <v>0.40776620370370398</v>
      </c>
      <c r="V496">
        <v>37</v>
      </c>
    </row>
    <row r="497" spans="1:25" ht="15" customHeight="1" x14ac:dyDescent="0.2">
      <c r="A497" s="1">
        <v>46253</v>
      </c>
      <c r="B497" t="s">
        <v>42</v>
      </c>
      <c r="C497" t="s">
        <v>43</v>
      </c>
      <c r="D497" t="s">
        <v>28</v>
      </c>
      <c r="E497" t="s">
        <v>31</v>
      </c>
      <c r="F497" s="2">
        <v>0.3125</v>
      </c>
      <c r="G497" s="2">
        <v>0.42708333333333298</v>
      </c>
      <c r="H497">
        <v>165</v>
      </c>
      <c r="I497" s="3">
        <v>0.3125</v>
      </c>
      <c r="J497" s="2">
        <v>0.39583333333333298</v>
      </c>
      <c r="K497">
        <v>120</v>
      </c>
      <c r="L497" s="2">
        <v>0.3125</v>
      </c>
      <c r="M497" s="2">
        <v>0.42361111111111099</v>
      </c>
      <c r="N497">
        <v>160</v>
      </c>
      <c r="O497" s="2">
        <v>0.34375</v>
      </c>
      <c r="P497" s="2">
        <v>0.421527777777778</v>
      </c>
      <c r="Q497" s="2">
        <v>0.42361111111111099</v>
      </c>
      <c r="R497">
        <v>160</v>
      </c>
      <c r="S497">
        <v>112</v>
      </c>
      <c r="T497" s="2">
        <v>0.42708333333333298</v>
      </c>
      <c r="U497" s="2">
        <v>0.47222222222222199</v>
      </c>
      <c r="V497">
        <v>65</v>
      </c>
      <c r="W497" s="2">
        <v>0.47291666666666698</v>
      </c>
      <c r="X497" s="2">
        <v>0.53807870370370403</v>
      </c>
      <c r="Y497">
        <v>93</v>
      </c>
    </row>
    <row r="498" spans="1:25" ht="15" customHeight="1" x14ac:dyDescent="0.2">
      <c r="A498" s="1">
        <v>46253</v>
      </c>
      <c r="B498" t="s">
        <v>42</v>
      </c>
      <c r="C498" t="s">
        <v>43</v>
      </c>
      <c r="D498" t="s">
        <v>28</v>
      </c>
      <c r="E498" t="s">
        <v>29</v>
      </c>
      <c r="F498" s="2">
        <v>0.30694444444444402</v>
      </c>
      <c r="G498" s="2">
        <v>0.359027777777778</v>
      </c>
      <c r="H498">
        <v>75</v>
      </c>
      <c r="I498" s="3">
        <v>0.3125</v>
      </c>
      <c r="J498" s="2">
        <v>0.35416666666666702</v>
      </c>
      <c r="K498">
        <v>60</v>
      </c>
      <c r="L498" s="2">
        <v>0.30694444444444402</v>
      </c>
      <c r="M498" s="2">
        <v>0.35625000000000001</v>
      </c>
      <c r="N498">
        <v>71</v>
      </c>
      <c r="O498" s="2">
        <v>0.32986111111111099</v>
      </c>
      <c r="P498" s="2">
        <v>0.35208333333333303</v>
      </c>
      <c r="Q498" s="2">
        <v>0.35625000000000001</v>
      </c>
      <c r="R498">
        <v>71</v>
      </c>
      <c r="S498">
        <v>32</v>
      </c>
      <c r="T498" s="2">
        <v>0.357488425925926</v>
      </c>
      <c r="U498" s="2">
        <v>0.38118055555555602</v>
      </c>
      <c r="V498">
        <v>34</v>
      </c>
      <c r="W498" s="2">
        <v>0.38120370370370399</v>
      </c>
      <c r="X498" s="2">
        <v>0.41158564814814802</v>
      </c>
      <c r="Y498">
        <v>44</v>
      </c>
    </row>
    <row r="499" spans="1:25" ht="15" customHeight="1" x14ac:dyDescent="0.2">
      <c r="A499" s="1">
        <v>46253</v>
      </c>
      <c r="B499" t="s">
        <v>42</v>
      </c>
      <c r="C499" t="s">
        <v>43</v>
      </c>
      <c r="D499" t="s">
        <v>34</v>
      </c>
      <c r="E499" t="s">
        <v>31</v>
      </c>
      <c r="F499" s="2">
        <v>0.405555555555556</v>
      </c>
      <c r="G499" s="2">
        <v>0.56458333333333299</v>
      </c>
      <c r="H499">
        <v>229</v>
      </c>
      <c r="I499" s="3">
        <v>0.40625</v>
      </c>
      <c r="J499" s="2">
        <v>0.53125</v>
      </c>
      <c r="K499">
        <v>180</v>
      </c>
      <c r="L499" s="2">
        <v>0.405555555555556</v>
      </c>
      <c r="M499" s="2">
        <v>0.55972222222222201</v>
      </c>
      <c r="N499">
        <v>222</v>
      </c>
      <c r="O499" s="2">
        <v>0.44027777777777799</v>
      </c>
      <c r="P499" s="2">
        <v>0.55347222222222203</v>
      </c>
      <c r="Q499" s="2">
        <v>0.55972222222222201</v>
      </c>
      <c r="R499">
        <v>222</v>
      </c>
      <c r="S499">
        <v>163</v>
      </c>
      <c r="T499" s="2">
        <v>0.56234953703703705</v>
      </c>
      <c r="U499" s="2">
        <v>0.58750000000000002</v>
      </c>
      <c r="V499">
        <v>37</v>
      </c>
      <c r="W499" s="2">
        <v>0.58750000000000002</v>
      </c>
      <c r="X499" s="2">
        <v>0.62083333333333302</v>
      </c>
      <c r="Y499">
        <v>48</v>
      </c>
    </row>
    <row r="500" spans="1:25" ht="15" customHeight="1" x14ac:dyDescent="0.2">
      <c r="A500" s="1">
        <v>46253</v>
      </c>
      <c r="B500" t="s">
        <v>26</v>
      </c>
      <c r="C500" t="s">
        <v>27</v>
      </c>
      <c r="D500" t="s">
        <v>28</v>
      </c>
      <c r="E500" t="s">
        <v>29</v>
      </c>
      <c r="F500" s="2">
        <v>0.327777777777778</v>
      </c>
      <c r="G500" s="2">
        <v>0.44930555555555601</v>
      </c>
      <c r="H500">
        <v>175</v>
      </c>
      <c r="I500" s="3">
        <v>0.3125</v>
      </c>
      <c r="J500" s="2">
        <v>0.39583333333333298</v>
      </c>
      <c r="K500">
        <v>120</v>
      </c>
      <c r="L500" s="2">
        <v>0.327777777777778</v>
      </c>
      <c r="M500" s="2">
        <v>0.44513888888888897</v>
      </c>
      <c r="N500">
        <v>169</v>
      </c>
      <c r="O500" s="2">
        <v>0.34930555555555598</v>
      </c>
      <c r="P500" s="2">
        <v>0.44027777777777799</v>
      </c>
      <c r="Q500" s="2">
        <v>0.44513888888888897</v>
      </c>
      <c r="R500">
        <v>169</v>
      </c>
      <c r="S500">
        <v>131</v>
      </c>
      <c r="T500" s="2">
        <v>0.44601851851851898</v>
      </c>
      <c r="U500" s="2">
        <v>0.46527777777777801</v>
      </c>
      <c r="V500">
        <v>28</v>
      </c>
    </row>
    <row r="501" spans="1:25" ht="15" customHeight="1" x14ac:dyDescent="0.2">
      <c r="A501" s="1">
        <v>46253</v>
      </c>
      <c r="B501" t="s">
        <v>26</v>
      </c>
      <c r="C501" t="s">
        <v>27</v>
      </c>
      <c r="D501" t="s">
        <v>34</v>
      </c>
      <c r="E501" t="s">
        <v>29</v>
      </c>
      <c r="F501" s="2">
        <v>0.51944444444444404</v>
      </c>
      <c r="G501" s="2">
        <v>0.69791666666666696</v>
      </c>
      <c r="H501">
        <v>257</v>
      </c>
      <c r="I501" s="3">
        <v>0.5</v>
      </c>
      <c r="J501" s="2">
        <v>0.625</v>
      </c>
      <c r="K501">
        <v>180</v>
      </c>
      <c r="L501" s="2">
        <v>0.51944444444444404</v>
      </c>
      <c r="M501" s="2">
        <v>0.69097222222222199</v>
      </c>
      <c r="N501">
        <v>247</v>
      </c>
      <c r="O501" s="2">
        <v>0.53611111111111098</v>
      </c>
      <c r="P501" s="2">
        <v>0.67986111111111103</v>
      </c>
      <c r="Q501" s="2">
        <v>0.69097222222222199</v>
      </c>
      <c r="R501">
        <v>247</v>
      </c>
      <c r="S501">
        <v>207</v>
      </c>
      <c r="T501" s="2">
        <v>0.69305555555555598</v>
      </c>
      <c r="U501" s="2">
        <v>0.750694444444444</v>
      </c>
      <c r="V501">
        <v>83</v>
      </c>
    </row>
    <row r="502" spans="1:25" ht="15" customHeight="1" x14ac:dyDescent="0.2">
      <c r="A502" s="1">
        <v>46253</v>
      </c>
      <c r="B502" t="s">
        <v>42</v>
      </c>
      <c r="C502" t="s">
        <v>43</v>
      </c>
      <c r="D502" t="s">
        <v>28</v>
      </c>
      <c r="E502" t="s">
        <v>29</v>
      </c>
      <c r="F502" s="2">
        <v>0.54166666666666696</v>
      </c>
      <c r="G502" s="2">
        <v>0.58263888888888904</v>
      </c>
      <c r="H502">
        <v>59</v>
      </c>
      <c r="I502" s="3">
        <v>0.54166666666666696</v>
      </c>
      <c r="J502" s="2">
        <v>0.59375</v>
      </c>
      <c r="K502">
        <v>75</v>
      </c>
      <c r="L502" s="2">
        <v>0.54166666666666696</v>
      </c>
      <c r="M502" s="2">
        <v>0.57916666666666705</v>
      </c>
      <c r="N502">
        <v>54</v>
      </c>
      <c r="O502" s="2">
        <v>0.55625000000000002</v>
      </c>
      <c r="P502" s="2">
        <v>0.57708333333333295</v>
      </c>
      <c r="Q502" s="2">
        <v>0.57916666666666705</v>
      </c>
      <c r="R502">
        <v>54</v>
      </c>
      <c r="S502">
        <v>30</v>
      </c>
      <c r="T502" s="2">
        <v>0.57987268518518498</v>
      </c>
      <c r="U502" s="2">
        <v>0.63940972222222203</v>
      </c>
      <c r="V502">
        <v>85</v>
      </c>
    </row>
    <row r="503" spans="1:25" ht="15" customHeight="1" x14ac:dyDescent="0.2">
      <c r="A503" s="1">
        <v>46253</v>
      </c>
      <c r="B503" t="s">
        <v>42</v>
      </c>
      <c r="C503" t="s">
        <v>43</v>
      </c>
      <c r="D503" t="s">
        <v>34</v>
      </c>
      <c r="E503" t="s">
        <v>31</v>
      </c>
      <c r="F503" s="2">
        <v>0.37291666666666701</v>
      </c>
      <c r="G503" s="2">
        <v>0.43402777777777801</v>
      </c>
      <c r="H503">
        <v>88</v>
      </c>
      <c r="I503" s="3">
        <v>0.375</v>
      </c>
      <c r="J503" s="2">
        <v>0.4375</v>
      </c>
      <c r="K503">
        <v>90</v>
      </c>
      <c r="L503" s="2">
        <v>0.37291666666666701</v>
      </c>
      <c r="M503" s="2">
        <v>0.42708333333333298</v>
      </c>
      <c r="N503">
        <v>78</v>
      </c>
      <c r="O503" s="2">
        <v>0.38750000000000001</v>
      </c>
      <c r="P503" s="2">
        <v>0.42430555555555599</v>
      </c>
      <c r="Q503" s="2">
        <v>0.42708333333333298</v>
      </c>
      <c r="R503">
        <v>78</v>
      </c>
      <c r="S503">
        <v>53</v>
      </c>
      <c r="T503" s="2">
        <v>0.43055555555555602</v>
      </c>
      <c r="U503" s="2">
        <v>0.47986111111111102</v>
      </c>
      <c r="V503">
        <v>71</v>
      </c>
      <c r="W503" s="2">
        <v>0.48055555555555601</v>
      </c>
      <c r="X503" s="2">
        <v>0.50555555555555598</v>
      </c>
      <c r="Y503">
        <v>36</v>
      </c>
    </row>
    <row r="504" spans="1:25" ht="15" customHeight="1" x14ac:dyDescent="0.2">
      <c r="A504" s="1">
        <v>46253</v>
      </c>
      <c r="B504" t="s">
        <v>26</v>
      </c>
      <c r="C504" t="s">
        <v>27</v>
      </c>
      <c r="D504" t="s">
        <v>28</v>
      </c>
      <c r="E504" t="s">
        <v>29</v>
      </c>
      <c r="F504" s="2">
        <v>0.50347222222222199</v>
      </c>
      <c r="G504" s="2">
        <v>0.65</v>
      </c>
      <c r="H504">
        <v>211</v>
      </c>
      <c r="I504" s="3">
        <v>0.46527777777777801</v>
      </c>
      <c r="J504" s="2">
        <v>0.65277777777777801</v>
      </c>
      <c r="K504">
        <v>270</v>
      </c>
      <c r="L504" s="2">
        <v>0.50347222222222199</v>
      </c>
      <c r="M504" s="2">
        <v>0.64305555555555605</v>
      </c>
      <c r="N504">
        <v>201</v>
      </c>
      <c r="O504" s="2">
        <v>0.53333333333333299</v>
      </c>
      <c r="P504" s="2">
        <v>0.63749999999999996</v>
      </c>
      <c r="Q504" s="2">
        <v>0.64305555555555605</v>
      </c>
      <c r="R504">
        <v>201</v>
      </c>
      <c r="S504">
        <v>150</v>
      </c>
      <c r="T504" s="2">
        <v>0.64413194444444399</v>
      </c>
      <c r="U504" s="2">
        <v>0.71076388888888897</v>
      </c>
      <c r="V504">
        <v>96</v>
      </c>
    </row>
    <row r="505" spans="1:25" ht="15" customHeight="1" x14ac:dyDescent="0.2">
      <c r="A505" s="1">
        <v>46253</v>
      </c>
      <c r="B505" t="s">
        <v>26</v>
      </c>
      <c r="C505" t="s">
        <v>27</v>
      </c>
      <c r="D505" t="s">
        <v>28</v>
      </c>
      <c r="E505" t="s">
        <v>36</v>
      </c>
      <c r="F505" s="2">
        <v>0.26319444444444401</v>
      </c>
      <c r="G505" s="2">
        <v>0.47430555555555598</v>
      </c>
      <c r="H505">
        <v>304</v>
      </c>
      <c r="I505" s="3">
        <v>0.26041666666666702</v>
      </c>
      <c r="J505" s="2">
        <v>0.51041666666666696</v>
      </c>
      <c r="K505">
        <v>360</v>
      </c>
      <c r="L505" s="2">
        <v>0.26319444444444401</v>
      </c>
      <c r="M505" s="2">
        <v>0.468055555555556</v>
      </c>
      <c r="N505">
        <v>295</v>
      </c>
      <c r="O505" s="2">
        <v>0.34513888888888899</v>
      </c>
      <c r="P505" s="2">
        <v>0.45555555555555599</v>
      </c>
      <c r="Q505" s="2">
        <v>0.468055555555556</v>
      </c>
      <c r="R505">
        <v>295</v>
      </c>
      <c r="S505">
        <v>159</v>
      </c>
    </row>
    <row r="506" spans="1:25" ht="15" customHeight="1" x14ac:dyDescent="0.2">
      <c r="A506" s="1">
        <v>46253</v>
      </c>
      <c r="B506" t="s">
        <v>26</v>
      </c>
      <c r="C506" t="s">
        <v>27</v>
      </c>
      <c r="D506" t="s">
        <v>28</v>
      </c>
      <c r="E506" t="s">
        <v>29</v>
      </c>
      <c r="F506" s="2">
        <v>0.82152777777777797</v>
      </c>
      <c r="G506" s="2">
        <v>0.87847222222222199</v>
      </c>
      <c r="H506">
        <v>82</v>
      </c>
      <c r="I506" s="3">
        <v>0.75</v>
      </c>
      <c r="J506" s="2">
        <v>0.8125</v>
      </c>
      <c r="K506">
        <v>90</v>
      </c>
      <c r="L506" s="2">
        <v>0.82152777777777797</v>
      </c>
      <c r="M506" s="2">
        <v>0.87361111111111101</v>
      </c>
      <c r="N506">
        <v>75</v>
      </c>
      <c r="O506" s="2">
        <v>0.84652777777777799</v>
      </c>
      <c r="P506" s="2">
        <v>0.86944444444444402</v>
      </c>
      <c r="Q506" s="2">
        <v>0.87361111111111101</v>
      </c>
      <c r="R506">
        <v>75</v>
      </c>
      <c r="S506">
        <v>33</v>
      </c>
      <c r="T506" s="2">
        <v>0.875</v>
      </c>
      <c r="U506" s="2">
        <v>0.90347222222222201</v>
      </c>
      <c r="V506">
        <v>41</v>
      </c>
    </row>
    <row r="507" spans="1:25" ht="15" customHeight="1" x14ac:dyDescent="0.2">
      <c r="A507" s="1">
        <v>46253</v>
      </c>
      <c r="B507" t="s">
        <v>26</v>
      </c>
      <c r="C507" t="s">
        <v>27</v>
      </c>
      <c r="D507" t="s">
        <v>28</v>
      </c>
      <c r="E507" t="s">
        <v>31</v>
      </c>
      <c r="F507" s="2">
        <v>0.41666666666666702</v>
      </c>
      <c r="G507" s="2">
        <v>0.50833333333333297</v>
      </c>
      <c r="H507">
        <v>132</v>
      </c>
      <c r="I507" s="3">
        <v>0.41666666666666702</v>
      </c>
      <c r="J507" s="2">
        <v>0.51736111111111105</v>
      </c>
      <c r="K507">
        <v>175</v>
      </c>
      <c r="L507" s="2">
        <v>0.41666666666666702</v>
      </c>
      <c r="M507" s="2">
        <v>0.50416666666666698</v>
      </c>
      <c r="N507">
        <v>126</v>
      </c>
      <c r="O507" s="2">
        <v>0.44027777777777799</v>
      </c>
      <c r="P507" s="2">
        <v>0.5</v>
      </c>
      <c r="Q507" s="2">
        <v>0.50416666666666698</v>
      </c>
      <c r="R507">
        <v>126</v>
      </c>
      <c r="S507">
        <v>86</v>
      </c>
      <c r="T507" s="2">
        <v>0.50524305555555604</v>
      </c>
      <c r="U507" s="2">
        <v>0.54578703703703701</v>
      </c>
      <c r="V507">
        <v>58</v>
      </c>
    </row>
    <row r="508" spans="1:25" ht="15" customHeight="1" x14ac:dyDescent="0.2">
      <c r="A508" s="1">
        <v>46253</v>
      </c>
      <c r="B508" t="s">
        <v>26</v>
      </c>
      <c r="C508" t="s">
        <v>27</v>
      </c>
      <c r="D508" t="s">
        <v>34</v>
      </c>
      <c r="E508" t="s">
        <v>29</v>
      </c>
      <c r="F508" s="2">
        <v>0.33888888888888902</v>
      </c>
      <c r="G508" s="2">
        <v>0.37152777777777801</v>
      </c>
      <c r="H508">
        <v>47</v>
      </c>
      <c r="I508" s="3">
        <v>0.3125</v>
      </c>
      <c r="J508" s="2">
        <v>0.34722222222222199</v>
      </c>
      <c r="K508">
        <v>80</v>
      </c>
      <c r="L508" s="2">
        <v>0.33888888888888902</v>
      </c>
      <c r="M508" s="2">
        <v>0.36875000000000002</v>
      </c>
      <c r="N508">
        <v>43</v>
      </c>
      <c r="O508" s="2">
        <v>0.35347222222222202</v>
      </c>
      <c r="P508" s="2">
        <v>0.36458333333333298</v>
      </c>
      <c r="Q508" s="2">
        <v>0.36875000000000002</v>
      </c>
      <c r="R508">
        <v>43</v>
      </c>
      <c r="S508">
        <v>16</v>
      </c>
      <c r="T508" s="2">
        <v>0.37013888888888902</v>
      </c>
      <c r="U508" s="2">
        <v>0.40347222222222201</v>
      </c>
      <c r="V508">
        <v>48</v>
      </c>
    </row>
    <row r="509" spans="1:25" ht="15" customHeight="1" x14ac:dyDescent="0.2">
      <c r="A509" s="1">
        <v>46253</v>
      </c>
      <c r="B509" t="s">
        <v>26</v>
      </c>
      <c r="C509" t="s">
        <v>27</v>
      </c>
      <c r="D509" t="s">
        <v>28</v>
      </c>
      <c r="E509" t="s">
        <v>31</v>
      </c>
      <c r="F509" s="2">
        <v>0.51944444444444404</v>
      </c>
      <c r="G509" s="2">
        <v>0.68958333333333299</v>
      </c>
      <c r="H509">
        <v>245</v>
      </c>
      <c r="I509" s="3">
        <v>0.53819444444444398</v>
      </c>
      <c r="J509" s="2">
        <v>0.76041666666666696</v>
      </c>
      <c r="K509">
        <v>350</v>
      </c>
      <c r="L509" s="2">
        <v>0.51944444444444404</v>
      </c>
      <c r="M509" s="2">
        <v>0.6875</v>
      </c>
      <c r="N509">
        <v>242</v>
      </c>
      <c r="O509" s="2">
        <v>0.54791666666666705</v>
      </c>
      <c r="P509" s="2">
        <v>0.68333333333333302</v>
      </c>
      <c r="Q509" s="2">
        <v>0.6875</v>
      </c>
      <c r="R509">
        <v>242</v>
      </c>
      <c r="S509">
        <v>195</v>
      </c>
      <c r="T509" s="2">
        <v>0.68872685185185201</v>
      </c>
      <c r="U509" s="2">
        <v>0.74027777777777803</v>
      </c>
      <c r="V509">
        <v>75</v>
      </c>
    </row>
    <row r="510" spans="1:25" ht="15" customHeight="1" x14ac:dyDescent="0.2">
      <c r="A510" s="1">
        <v>46253</v>
      </c>
      <c r="B510" t="s">
        <v>26</v>
      </c>
      <c r="C510" t="s">
        <v>27</v>
      </c>
      <c r="D510" t="s">
        <v>28</v>
      </c>
      <c r="E510" t="s">
        <v>29</v>
      </c>
      <c r="F510" s="2">
        <v>0.62638888888888899</v>
      </c>
      <c r="G510" s="2">
        <v>0.780555555555556</v>
      </c>
      <c r="H510">
        <v>222</v>
      </c>
      <c r="I510" s="3">
        <v>0.58333333333333304</v>
      </c>
      <c r="J510" s="2">
        <v>0.72222222222222199</v>
      </c>
      <c r="K510">
        <v>230</v>
      </c>
      <c r="L510" s="2">
        <v>0.62638888888888899</v>
      </c>
      <c r="M510" s="2">
        <v>0.77569444444444402</v>
      </c>
      <c r="N510">
        <v>215</v>
      </c>
      <c r="O510" s="2">
        <v>0.65486111111111101</v>
      </c>
      <c r="P510" s="2">
        <v>0.76805555555555605</v>
      </c>
      <c r="Q510" s="2">
        <v>0.77569444444444402</v>
      </c>
      <c r="R510">
        <v>215</v>
      </c>
      <c r="S510">
        <v>163</v>
      </c>
      <c r="T510" s="2">
        <v>0.776747685185185</v>
      </c>
      <c r="U510" s="2">
        <v>0.84356481481481504</v>
      </c>
      <c r="V510">
        <v>96</v>
      </c>
    </row>
    <row r="511" spans="1:25" ht="15" customHeight="1" x14ac:dyDescent="0.2">
      <c r="A511" s="1">
        <v>46253</v>
      </c>
      <c r="B511" t="s">
        <v>42</v>
      </c>
      <c r="C511" t="s">
        <v>43</v>
      </c>
      <c r="D511" t="s">
        <v>28</v>
      </c>
      <c r="E511" t="s">
        <v>29</v>
      </c>
      <c r="F511" s="2">
        <v>0.57152777777777797</v>
      </c>
      <c r="G511" s="2">
        <v>0.60694444444444395</v>
      </c>
      <c r="H511">
        <v>51</v>
      </c>
      <c r="I511" s="3">
        <v>0.53472222222222199</v>
      </c>
      <c r="J511" s="2">
        <v>0.57638888888888895</v>
      </c>
      <c r="K511">
        <v>60</v>
      </c>
      <c r="L511" s="2">
        <v>0.56944444444444398</v>
      </c>
      <c r="M511" s="2">
        <v>0.60416666666666696</v>
      </c>
      <c r="N511">
        <v>50</v>
      </c>
      <c r="O511" s="2">
        <v>0.59097222222222201</v>
      </c>
      <c r="P511" s="2">
        <v>0.59861111111111098</v>
      </c>
      <c r="Q511" s="2">
        <v>0.60416666666666696</v>
      </c>
      <c r="R511">
        <v>50</v>
      </c>
      <c r="S511">
        <v>11</v>
      </c>
      <c r="T511" s="2">
        <v>0.60525462962962995</v>
      </c>
      <c r="U511" s="2">
        <v>0.62638888888888899</v>
      </c>
      <c r="V511">
        <v>31</v>
      </c>
    </row>
    <row r="512" spans="1:25" ht="15" customHeight="1" x14ac:dyDescent="0.2">
      <c r="A512" s="1">
        <v>46253</v>
      </c>
      <c r="B512" t="s">
        <v>26</v>
      </c>
      <c r="C512" t="s">
        <v>27</v>
      </c>
      <c r="D512" t="s">
        <v>28</v>
      </c>
      <c r="E512" t="s">
        <v>29</v>
      </c>
      <c r="F512" s="2">
        <v>0.66944444444444395</v>
      </c>
      <c r="G512" s="2">
        <v>0.73402777777777795</v>
      </c>
      <c r="H512">
        <v>93</v>
      </c>
      <c r="I512" s="3">
        <v>0.64930555555555602</v>
      </c>
      <c r="J512" s="2">
        <v>0.71875</v>
      </c>
      <c r="K512">
        <v>130</v>
      </c>
      <c r="L512" s="2">
        <v>0.66944444444444395</v>
      </c>
      <c r="M512" s="2">
        <v>0.72708333333333297</v>
      </c>
      <c r="N512">
        <v>83</v>
      </c>
      <c r="O512" s="2">
        <v>0.68958333333333299</v>
      </c>
      <c r="P512" s="2">
        <v>0.72569444444444398</v>
      </c>
      <c r="Q512" s="2">
        <v>0.72708333333333297</v>
      </c>
      <c r="R512">
        <v>83</v>
      </c>
      <c r="S512">
        <v>52</v>
      </c>
      <c r="T512" s="2">
        <v>0.72966435185185197</v>
      </c>
      <c r="U512" s="2">
        <v>0.750694444444444</v>
      </c>
      <c r="V512">
        <v>31</v>
      </c>
    </row>
    <row r="513" spans="1:25" ht="15" customHeight="1" x14ac:dyDescent="0.2">
      <c r="A513" s="1">
        <v>46253</v>
      </c>
      <c r="B513" t="s">
        <v>26</v>
      </c>
      <c r="C513" t="s">
        <v>27</v>
      </c>
      <c r="D513" t="s">
        <v>28</v>
      </c>
      <c r="E513" t="s">
        <v>29</v>
      </c>
      <c r="F513" s="2">
        <v>0.74097222222222203</v>
      </c>
      <c r="G513" s="2">
        <v>0.81458333333333299</v>
      </c>
      <c r="H513">
        <v>106</v>
      </c>
      <c r="I513" s="3">
        <v>0.73958333333333304</v>
      </c>
      <c r="J513" s="2">
        <v>0.8125</v>
      </c>
      <c r="K513">
        <v>135</v>
      </c>
      <c r="L513" s="2">
        <v>0.74097222222222203</v>
      </c>
      <c r="M513" s="2">
        <v>0.80763888888888902</v>
      </c>
      <c r="N513">
        <v>96</v>
      </c>
      <c r="O513" s="2">
        <v>0.75763888888888897</v>
      </c>
      <c r="P513" s="2">
        <v>0.80486111111111103</v>
      </c>
      <c r="Q513" s="2">
        <v>0.80763888888888902</v>
      </c>
      <c r="R513">
        <v>96</v>
      </c>
      <c r="S513">
        <v>68</v>
      </c>
      <c r="T513" s="2">
        <v>0.81087962962963001</v>
      </c>
      <c r="U513" s="2">
        <v>0.83263888888888904</v>
      </c>
      <c r="V513">
        <v>32</v>
      </c>
    </row>
    <row r="514" spans="1:25" ht="15" customHeight="1" x14ac:dyDescent="0.2">
      <c r="A514" s="1">
        <v>46253</v>
      </c>
      <c r="B514" t="s">
        <v>26</v>
      </c>
      <c r="C514" t="s">
        <v>27</v>
      </c>
      <c r="D514" t="s">
        <v>28</v>
      </c>
      <c r="E514" t="s">
        <v>29</v>
      </c>
      <c r="F514" s="2">
        <v>0.5</v>
      </c>
      <c r="G514" s="2">
        <v>0.63749999999999996</v>
      </c>
      <c r="H514">
        <v>198</v>
      </c>
      <c r="I514" s="3">
        <v>0.5</v>
      </c>
      <c r="J514" s="2">
        <v>0.625</v>
      </c>
      <c r="K514">
        <v>180</v>
      </c>
      <c r="L514" s="2">
        <v>0.5</v>
      </c>
      <c r="M514" s="2">
        <v>0.63263888888888897</v>
      </c>
      <c r="N514">
        <v>191</v>
      </c>
      <c r="O514" s="2">
        <v>0.530555555555556</v>
      </c>
      <c r="P514" s="2">
        <v>0.62222222222222201</v>
      </c>
      <c r="Q514" s="2">
        <v>0.63263888888888897</v>
      </c>
      <c r="R514">
        <v>191</v>
      </c>
      <c r="S514">
        <v>132</v>
      </c>
      <c r="T514" s="2">
        <v>0.63333333333333297</v>
      </c>
      <c r="U514" s="2">
        <v>0.749305555555556</v>
      </c>
      <c r="V514">
        <v>167</v>
      </c>
    </row>
    <row r="515" spans="1:25" ht="15" customHeight="1" x14ac:dyDescent="0.2">
      <c r="A515" s="1">
        <v>46253</v>
      </c>
      <c r="B515" t="s">
        <v>26</v>
      </c>
      <c r="C515" t="s">
        <v>27</v>
      </c>
      <c r="D515" t="s">
        <v>28</v>
      </c>
      <c r="E515" t="s">
        <v>36</v>
      </c>
      <c r="F515" s="2">
        <v>0.452083333333333</v>
      </c>
      <c r="G515" s="2">
        <v>0.47986111111111102</v>
      </c>
      <c r="H515">
        <v>40</v>
      </c>
      <c r="I515" s="3">
        <v>0.42708333333333298</v>
      </c>
      <c r="J515" s="2">
        <v>0.46875</v>
      </c>
      <c r="K515">
        <v>60</v>
      </c>
      <c r="L515" s="2">
        <v>0.452083333333333</v>
      </c>
      <c r="M515" s="2">
        <v>0.47638888888888897</v>
      </c>
      <c r="N515">
        <v>35</v>
      </c>
      <c r="Q515" s="2">
        <v>0.47638888888888897</v>
      </c>
      <c r="R515">
        <v>35</v>
      </c>
    </row>
    <row r="516" spans="1:25" ht="15" customHeight="1" x14ac:dyDescent="0.2">
      <c r="A516" s="1">
        <v>46253</v>
      </c>
      <c r="B516" t="s">
        <v>26</v>
      </c>
      <c r="C516" t="s">
        <v>27</v>
      </c>
      <c r="D516" t="s">
        <v>28</v>
      </c>
      <c r="E516" t="s">
        <v>29</v>
      </c>
      <c r="F516" s="2">
        <v>0.71388888888888902</v>
      </c>
      <c r="G516" s="2">
        <v>0.92013888888888895</v>
      </c>
      <c r="H516">
        <v>297</v>
      </c>
      <c r="I516" s="3">
        <v>0.70833333333333304</v>
      </c>
      <c r="J516" s="2">
        <v>0.84027777777777801</v>
      </c>
      <c r="K516">
        <v>200</v>
      </c>
      <c r="L516" s="2">
        <v>0.77083333333333304</v>
      </c>
      <c r="M516" s="2">
        <v>0.91041666666666698</v>
      </c>
      <c r="N516">
        <v>201</v>
      </c>
      <c r="O516" s="2">
        <v>0.79722222222222205</v>
      </c>
      <c r="P516" s="2">
        <v>0.90069444444444402</v>
      </c>
      <c r="Q516" s="2">
        <v>0.91041666666666698</v>
      </c>
      <c r="R516">
        <v>201</v>
      </c>
      <c r="S516">
        <v>149</v>
      </c>
    </row>
    <row r="517" spans="1:25" ht="15" customHeight="1" x14ac:dyDescent="0.2">
      <c r="A517" s="1">
        <v>46253</v>
      </c>
      <c r="B517" t="s">
        <v>26</v>
      </c>
      <c r="C517" t="s">
        <v>27</v>
      </c>
      <c r="D517" t="s">
        <v>34</v>
      </c>
      <c r="E517" t="s">
        <v>31</v>
      </c>
      <c r="F517" s="2">
        <v>0.718055555555556</v>
      </c>
      <c r="G517" s="2">
        <v>0.81111111111111101</v>
      </c>
      <c r="H517">
        <v>134</v>
      </c>
      <c r="I517" s="3">
        <v>0.70833333333333304</v>
      </c>
      <c r="J517" s="2">
        <v>0.72916666666666696</v>
      </c>
      <c r="K517">
        <v>60</v>
      </c>
      <c r="L517" s="2">
        <v>0.718055555555556</v>
      </c>
      <c r="M517" s="2">
        <v>0.80416666666666703</v>
      </c>
      <c r="N517">
        <v>124</v>
      </c>
      <c r="O517" s="2">
        <v>0.74097222222222203</v>
      </c>
      <c r="P517" s="2">
        <v>0.79930555555555605</v>
      </c>
      <c r="Q517" s="2">
        <v>0.80416666666666703</v>
      </c>
      <c r="R517">
        <v>124</v>
      </c>
      <c r="S517">
        <v>84</v>
      </c>
      <c r="T517" s="2">
        <v>0.80555555555555602</v>
      </c>
      <c r="U517" s="2">
        <v>0.83847222222222195</v>
      </c>
      <c r="V517">
        <v>47</v>
      </c>
    </row>
    <row r="518" spans="1:25" ht="15" customHeight="1" x14ac:dyDescent="0.2">
      <c r="A518" s="1">
        <v>46254</v>
      </c>
      <c r="B518" t="s">
        <v>26</v>
      </c>
      <c r="C518" t="s">
        <v>27</v>
      </c>
      <c r="D518" t="s">
        <v>34</v>
      </c>
      <c r="E518" t="s">
        <v>31</v>
      </c>
      <c r="F518" s="2">
        <v>0.31458333333333299</v>
      </c>
      <c r="G518" s="2">
        <v>0.47569444444444398</v>
      </c>
      <c r="H518">
        <v>232</v>
      </c>
      <c r="I518" s="3">
        <v>0.3125</v>
      </c>
      <c r="J518" s="2">
        <v>0.47916666666666702</v>
      </c>
      <c r="K518">
        <v>240</v>
      </c>
      <c r="L518" s="2">
        <v>0.31458333333333299</v>
      </c>
      <c r="M518" s="2">
        <v>0.47222222222222199</v>
      </c>
      <c r="N518">
        <v>227</v>
      </c>
      <c r="O518" s="2">
        <v>0.35555555555555601</v>
      </c>
      <c r="P518" s="2">
        <v>0.46250000000000002</v>
      </c>
      <c r="Q518" s="2">
        <v>0.47222222222222199</v>
      </c>
      <c r="R518">
        <v>227</v>
      </c>
      <c r="S518">
        <v>154</v>
      </c>
      <c r="T518" s="2">
        <v>0.47678240740740702</v>
      </c>
      <c r="U518" s="2">
        <v>0.50567129629629604</v>
      </c>
      <c r="V518">
        <v>42</v>
      </c>
    </row>
    <row r="519" spans="1:25" ht="15" customHeight="1" x14ac:dyDescent="0.2">
      <c r="A519" s="1">
        <v>46254</v>
      </c>
      <c r="B519" t="s">
        <v>42</v>
      </c>
      <c r="C519" t="s">
        <v>43</v>
      </c>
      <c r="D519" t="s">
        <v>28</v>
      </c>
      <c r="E519" t="s">
        <v>31</v>
      </c>
      <c r="F519" s="2">
        <v>0.54236111111111096</v>
      </c>
      <c r="G519" s="2">
        <v>0.57083333333333297</v>
      </c>
      <c r="H519">
        <v>41</v>
      </c>
      <c r="I519" s="3">
        <v>0.55208333333333304</v>
      </c>
      <c r="J519" s="2">
        <v>0.58333333333333304</v>
      </c>
      <c r="K519">
        <v>45</v>
      </c>
      <c r="L519" s="2">
        <v>0.54236111111111096</v>
      </c>
      <c r="M519" s="2">
        <v>0.56736111111111098</v>
      </c>
      <c r="N519">
        <v>36</v>
      </c>
      <c r="O519" s="2">
        <v>0.55347222222222203</v>
      </c>
      <c r="P519" s="2">
        <v>0.56458333333333299</v>
      </c>
      <c r="Q519" s="2">
        <v>0.56736111111111098</v>
      </c>
      <c r="R519">
        <v>36</v>
      </c>
      <c r="S519">
        <v>16</v>
      </c>
      <c r="T519" s="2">
        <v>0.57202546296296297</v>
      </c>
      <c r="U519" s="2">
        <v>0.625694444444444</v>
      </c>
      <c r="V519">
        <v>78</v>
      </c>
      <c r="W519" s="2">
        <v>0.62638888888888899</v>
      </c>
      <c r="X519" s="2">
        <v>0.68958333333333299</v>
      </c>
      <c r="Y519">
        <v>91</v>
      </c>
    </row>
    <row r="520" spans="1:25" ht="15" customHeight="1" x14ac:dyDescent="0.2">
      <c r="A520" s="1">
        <v>46254</v>
      </c>
      <c r="B520" t="s">
        <v>42</v>
      </c>
      <c r="C520" t="s">
        <v>43</v>
      </c>
      <c r="D520" t="s">
        <v>28</v>
      </c>
      <c r="E520" t="s">
        <v>29</v>
      </c>
      <c r="F520" s="2">
        <v>0.58333333333333304</v>
      </c>
      <c r="G520" s="2">
        <v>0.60902777777777795</v>
      </c>
      <c r="H520">
        <v>37</v>
      </c>
      <c r="I520" s="3">
        <v>0.60416666666666696</v>
      </c>
      <c r="J520" s="2">
        <v>0.63541666666666696</v>
      </c>
      <c r="K520">
        <v>45</v>
      </c>
      <c r="L520" s="2">
        <v>0.58333333333333304</v>
      </c>
      <c r="M520" s="2">
        <v>0.60555555555555596</v>
      </c>
      <c r="N520">
        <v>32</v>
      </c>
      <c r="O520" s="2">
        <v>0.59236111111111101</v>
      </c>
      <c r="P520" s="2">
        <v>0.60208333333333297</v>
      </c>
      <c r="Q520" s="2">
        <v>0.60555555555555596</v>
      </c>
      <c r="R520">
        <v>32</v>
      </c>
      <c r="S520">
        <v>14</v>
      </c>
      <c r="T520" s="2">
        <v>0.60849537037037005</v>
      </c>
      <c r="U520" s="2">
        <v>0.63541666666666696</v>
      </c>
      <c r="V520">
        <v>39</v>
      </c>
      <c r="W520" s="2">
        <v>0.63611111111111096</v>
      </c>
      <c r="X520" s="2">
        <v>0.66736111111111096</v>
      </c>
      <c r="Y520">
        <v>45</v>
      </c>
    </row>
    <row r="521" spans="1:25" ht="15" customHeight="1" x14ac:dyDescent="0.2">
      <c r="A521" s="1">
        <v>46254</v>
      </c>
      <c r="B521" t="s">
        <v>42</v>
      </c>
      <c r="C521" t="s">
        <v>43</v>
      </c>
      <c r="D521" t="s">
        <v>28</v>
      </c>
      <c r="E521" t="s">
        <v>31</v>
      </c>
      <c r="F521" s="2">
        <v>0.42430555555555599</v>
      </c>
      <c r="G521" s="2">
        <v>0.47569444444444398</v>
      </c>
      <c r="H521">
        <v>74</v>
      </c>
      <c r="I521" s="3">
        <v>0.45833333333333298</v>
      </c>
      <c r="J521" s="2">
        <v>0.5</v>
      </c>
      <c r="K521">
        <v>60</v>
      </c>
      <c r="L521" s="2">
        <v>0.42430555555555599</v>
      </c>
      <c r="M521" s="2">
        <v>0.469444444444444</v>
      </c>
      <c r="N521">
        <v>65</v>
      </c>
      <c r="O521" s="2">
        <v>0.43958333333333299</v>
      </c>
      <c r="P521" s="2">
        <v>0.46319444444444402</v>
      </c>
      <c r="Q521" s="2">
        <v>0.469444444444444</v>
      </c>
      <c r="R521">
        <v>65</v>
      </c>
      <c r="S521">
        <v>34</v>
      </c>
      <c r="T521" s="2">
        <v>0.47097222222222201</v>
      </c>
      <c r="U521" s="2">
        <v>0.51043981481481504</v>
      </c>
      <c r="V521">
        <v>57</v>
      </c>
    </row>
    <row r="522" spans="1:25" ht="15" customHeight="1" x14ac:dyDescent="0.2">
      <c r="A522" s="1">
        <v>46254</v>
      </c>
      <c r="B522" t="s">
        <v>42</v>
      </c>
      <c r="C522" t="s">
        <v>43</v>
      </c>
      <c r="D522" t="s">
        <v>28</v>
      </c>
      <c r="E522" t="s">
        <v>29</v>
      </c>
      <c r="F522" s="2">
        <v>0.62013888888888902</v>
      </c>
      <c r="G522" s="2">
        <v>0.64652777777777803</v>
      </c>
      <c r="H522">
        <v>38</v>
      </c>
      <c r="I522" s="3">
        <v>0.65625</v>
      </c>
      <c r="J522" s="2">
        <v>0.6875</v>
      </c>
      <c r="K522">
        <v>45</v>
      </c>
      <c r="L522" s="2">
        <v>0.62013888888888902</v>
      </c>
      <c r="M522" s="2">
        <v>0.64305555555555605</v>
      </c>
      <c r="N522">
        <v>33</v>
      </c>
      <c r="O522" s="2">
        <v>0.63124999999999998</v>
      </c>
      <c r="P522" s="2">
        <v>0.64097222222222205</v>
      </c>
      <c r="Q522" s="2">
        <v>0.64305555555555605</v>
      </c>
      <c r="R522">
        <v>33</v>
      </c>
      <c r="S522">
        <v>14</v>
      </c>
      <c r="T522" s="2">
        <v>0.64583333333333304</v>
      </c>
      <c r="U522" s="2">
        <v>0.66666666666666696</v>
      </c>
      <c r="V522">
        <v>30</v>
      </c>
      <c r="W522" s="2">
        <v>0.66666666666666696</v>
      </c>
      <c r="X522" s="2">
        <v>0.71188657407407396</v>
      </c>
      <c r="Y522">
        <v>65</v>
      </c>
    </row>
    <row r="523" spans="1:25" ht="15" customHeight="1" x14ac:dyDescent="0.2">
      <c r="A523" s="1">
        <v>46254</v>
      </c>
      <c r="B523" t="s">
        <v>42</v>
      </c>
      <c r="C523" t="s">
        <v>43</v>
      </c>
      <c r="D523" t="s">
        <v>28</v>
      </c>
      <c r="E523" t="s">
        <v>31</v>
      </c>
      <c r="F523" s="2">
        <v>0.31874999999999998</v>
      </c>
      <c r="G523" s="2">
        <v>0.389583333333333</v>
      </c>
      <c r="H523">
        <v>102</v>
      </c>
      <c r="I523" s="3">
        <v>0.3125</v>
      </c>
      <c r="J523" s="2">
        <v>0.40625</v>
      </c>
      <c r="K523">
        <v>135</v>
      </c>
      <c r="L523" s="2">
        <v>0.31874999999999998</v>
      </c>
      <c r="M523" s="2">
        <v>0.38541666666666702</v>
      </c>
      <c r="N523">
        <v>96</v>
      </c>
      <c r="O523" s="2">
        <v>0.33958333333333302</v>
      </c>
      <c r="P523" s="2">
        <v>0.37986111111111098</v>
      </c>
      <c r="Q523" s="2">
        <v>0.38541666666666702</v>
      </c>
      <c r="R523">
        <v>96</v>
      </c>
      <c r="S523">
        <v>58</v>
      </c>
      <c r="T523" s="2">
        <v>0.38888888888888901</v>
      </c>
      <c r="U523" s="2">
        <v>0.48958333333333298</v>
      </c>
      <c r="V523">
        <v>145</v>
      </c>
      <c r="W523" s="2">
        <v>0.48958333333333298</v>
      </c>
      <c r="X523" s="2">
        <v>0.51111111111111096</v>
      </c>
      <c r="Y523">
        <v>31</v>
      </c>
    </row>
    <row r="524" spans="1:25" ht="15" customHeight="1" x14ac:dyDescent="0.2">
      <c r="A524" s="1">
        <v>46254</v>
      </c>
      <c r="B524" t="s">
        <v>42</v>
      </c>
      <c r="C524" t="s">
        <v>43</v>
      </c>
      <c r="D524" t="s">
        <v>28</v>
      </c>
      <c r="E524" t="s">
        <v>31</v>
      </c>
      <c r="F524" s="2">
        <v>0.56041666666666701</v>
      </c>
      <c r="G524" s="2">
        <v>0.59166666666666701</v>
      </c>
      <c r="H524">
        <v>45</v>
      </c>
      <c r="I524" s="3">
        <v>0.55208333333333304</v>
      </c>
      <c r="J524" s="2">
        <v>0.58333333333333304</v>
      </c>
      <c r="K524">
        <v>45</v>
      </c>
      <c r="L524" s="2">
        <v>0.56041666666666701</v>
      </c>
      <c r="M524" s="2">
        <v>0.58541666666666703</v>
      </c>
      <c r="N524">
        <v>36</v>
      </c>
      <c r="O524" s="2">
        <v>0.57222222222222197</v>
      </c>
      <c r="P524" s="2">
        <v>0.57777777777777795</v>
      </c>
      <c r="Q524" s="2">
        <v>0.58541666666666703</v>
      </c>
      <c r="R524">
        <v>36</v>
      </c>
      <c r="S524">
        <v>8</v>
      </c>
      <c r="T524" s="2">
        <v>0.58680555555555602</v>
      </c>
      <c r="U524" s="2">
        <v>0.625694444444444</v>
      </c>
      <c r="V524">
        <v>56</v>
      </c>
      <c r="W524" s="2">
        <v>0.625694444444444</v>
      </c>
      <c r="X524" s="2">
        <v>0.63564814814814796</v>
      </c>
      <c r="Y524">
        <v>14</v>
      </c>
    </row>
    <row r="525" spans="1:25" ht="15" customHeight="1" x14ac:dyDescent="0.2">
      <c r="A525" s="1">
        <v>46254</v>
      </c>
      <c r="B525" t="s">
        <v>42</v>
      </c>
      <c r="C525" t="s">
        <v>43</v>
      </c>
      <c r="D525" t="s">
        <v>28</v>
      </c>
      <c r="E525" t="s">
        <v>31</v>
      </c>
      <c r="F525" s="2">
        <v>0.37083333333333302</v>
      </c>
      <c r="G525" s="2">
        <v>0.40833333333333299</v>
      </c>
      <c r="H525">
        <v>54</v>
      </c>
      <c r="I525" s="3">
        <v>0.36458333333333298</v>
      </c>
      <c r="J525" s="2">
        <v>0.39583333333333298</v>
      </c>
      <c r="K525">
        <v>45</v>
      </c>
      <c r="L525" s="2">
        <v>0.37083333333333302</v>
      </c>
      <c r="M525" s="2">
        <v>0.40277777777777801</v>
      </c>
      <c r="N525">
        <v>46</v>
      </c>
      <c r="O525" s="2">
        <v>0.38055555555555598</v>
      </c>
      <c r="P525" s="2">
        <v>0.39513888888888898</v>
      </c>
      <c r="Q525" s="2">
        <v>0.40277777777777801</v>
      </c>
      <c r="R525">
        <v>46</v>
      </c>
      <c r="S525">
        <v>21</v>
      </c>
      <c r="T525" s="2">
        <v>0.40069444444444402</v>
      </c>
      <c r="U525" s="2">
        <v>0.53749999999999998</v>
      </c>
      <c r="V525">
        <v>197</v>
      </c>
      <c r="W525" s="2">
        <v>0.53819444444444398</v>
      </c>
      <c r="X525" s="2">
        <v>0.57916666666666705</v>
      </c>
      <c r="Y525">
        <v>59</v>
      </c>
    </row>
    <row r="526" spans="1:25" ht="15" customHeight="1" x14ac:dyDescent="0.2">
      <c r="A526" s="1">
        <v>46254</v>
      </c>
      <c r="B526" t="s">
        <v>42</v>
      </c>
      <c r="C526" t="s">
        <v>43</v>
      </c>
      <c r="D526" t="s">
        <v>28</v>
      </c>
      <c r="E526" t="s">
        <v>31</v>
      </c>
      <c r="F526" s="2">
        <v>0.41527777777777802</v>
      </c>
      <c r="G526" s="2">
        <v>0.44791666666666702</v>
      </c>
      <c r="H526">
        <v>47</v>
      </c>
      <c r="I526" s="3">
        <v>0.41666666666666702</v>
      </c>
      <c r="J526" s="2">
        <v>0.44791666666666702</v>
      </c>
      <c r="K526">
        <v>45</v>
      </c>
      <c r="L526" s="2">
        <v>0.41527777777777802</v>
      </c>
      <c r="M526" s="2">
        <v>0.44236111111111098</v>
      </c>
      <c r="N526">
        <v>39</v>
      </c>
      <c r="O526" s="2">
        <v>0.42847222222222198</v>
      </c>
      <c r="P526" s="2">
        <v>0.43888888888888899</v>
      </c>
      <c r="Q526" s="2">
        <v>0.44236111111111098</v>
      </c>
      <c r="R526">
        <v>39</v>
      </c>
      <c r="S526">
        <v>15</v>
      </c>
      <c r="T526" s="2">
        <v>0.44444444444444398</v>
      </c>
      <c r="U526" s="2">
        <v>0.500694444444444</v>
      </c>
      <c r="V526">
        <v>81</v>
      </c>
      <c r="W526" s="2">
        <v>0.500694444444444</v>
      </c>
      <c r="X526" s="2">
        <v>0.53125</v>
      </c>
      <c r="Y526">
        <v>44</v>
      </c>
    </row>
    <row r="527" spans="1:25" ht="15" customHeight="1" x14ac:dyDescent="0.2">
      <c r="A527" s="1">
        <v>46254</v>
      </c>
      <c r="B527" t="s">
        <v>42</v>
      </c>
      <c r="C527" t="s">
        <v>43</v>
      </c>
      <c r="D527" t="s">
        <v>28</v>
      </c>
      <c r="E527" t="s">
        <v>31</v>
      </c>
      <c r="F527" s="2">
        <v>0.46875</v>
      </c>
      <c r="G527" s="2">
        <v>0.51180555555555596</v>
      </c>
      <c r="H527">
        <v>62</v>
      </c>
      <c r="I527" s="3">
        <v>0.46875</v>
      </c>
      <c r="J527" s="2">
        <v>0.51041666666666696</v>
      </c>
      <c r="K527">
        <v>60</v>
      </c>
      <c r="L527" s="2">
        <v>0.46875</v>
      </c>
      <c r="M527" s="2">
        <v>0.50486111111111098</v>
      </c>
      <c r="N527">
        <v>52</v>
      </c>
      <c r="O527" s="2">
        <v>0.48263888888888901</v>
      </c>
      <c r="P527" s="2">
        <v>0.50208333333333299</v>
      </c>
      <c r="Q527" s="2">
        <v>0.50486111111111098</v>
      </c>
      <c r="R527">
        <v>52</v>
      </c>
      <c r="S527">
        <v>28</v>
      </c>
      <c r="T527" s="2">
        <v>0.50706018518518503</v>
      </c>
      <c r="U527" s="2">
        <v>0.531944444444444</v>
      </c>
      <c r="V527">
        <v>36</v>
      </c>
      <c r="W527" s="2">
        <v>0.531944444444444</v>
      </c>
      <c r="X527" s="2">
        <v>0.56290509259259303</v>
      </c>
      <c r="Y527">
        <v>44</v>
      </c>
    </row>
    <row r="528" spans="1:25" ht="15" customHeight="1" x14ac:dyDescent="0.2">
      <c r="A528" s="1">
        <v>46254</v>
      </c>
      <c r="B528" t="s">
        <v>26</v>
      </c>
      <c r="C528" t="s">
        <v>27</v>
      </c>
      <c r="D528" t="s">
        <v>28</v>
      </c>
      <c r="E528" t="s">
        <v>29</v>
      </c>
      <c r="F528" s="2">
        <v>0.53680555555555598</v>
      </c>
      <c r="G528" s="2">
        <v>0.56944444444444398</v>
      </c>
      <c r="H528">
        <v>47</v>
      </c>
      <c r="I528" s="3">
        <v>0.53125</v>
      </c>
      <c r="J528" s="2">
        <v>0.57291666666666696</v>
      </c>
      <c r="K528">
        <v>60</v>
      </c>
      <c r="L528" s="2">
        <v>0.53680555555555598</v>
      </c>
      <c r="M528" s="2">
        <v>0.563194444444444</v>
      </c>
      <c r="N528">
        <v>38</v>
      </c>
      <c r="O528" s="2">
        <v>0.55277777777777803</v>
      </c>
      <c r="P528" s="2">
        <v>0.56111111111111101</v>
      </c>
      <c r="Q528" s="2">
        <v>0.563194444444444</v>
      </c>
      <c r="R528">
        <v>38</v>
      </c>
      <c r="S528">
        <v>12</v>
      </c>
      <c r="T528" s="2">
        <v>0.56388888888888899</v>
      </c>
      <c r="U528" s="2">
        <v>0.59375</v>
      </c>
      <c r="V528">
        <v>43</v>
      </c>
    </row>
    <row r="529" spans="1:25" ht="15" customHeight="1" x14ac:dyDescent="0.2">
      <c r="A529" s="1">
        <v>46254</v>
      </c>
      <c r="B529" t="s">
        <v>42</v>
      </c>
      <c r="C529" t="s">
        <v>43</v>
      </c>
      <c r="D529" t="s">
        <v>28</v>
      </c>
      <c r="E529" t="s">
        <v>29</v>
      </c>
      <c r="F529" s="2">
        <v>0.58472222222222203</v>
      </c>
      <c r="G529" s="2">
        <v>0.63472222222222197</v>
      </c>
      <c r="H529">
        <v>72</v>
      </c>
      <c r="I529" s="3">
        <v>0.59375</v>
      </c>
      <c r="J529" s="2">
        <v>0.63541666666666696</v>
      </c>
      <c r="K529">
        <v>60</v>
      </c>
      <c r="L529" s="2">
        <v>0.58472222222222203</v>
      </c>
      <c r="M529" s="2">
        <v>0.62777777777777799</v>
      </c>
      <c r="N529">
        <v>62</v>
      </c>
      <c r="O529" s="2">
        <v>0.60069444444444398</v>
      </c>
      <c r="P529" s="2">
        <v>0.62083333333333302</v>
      </c>
      <c r="Q529" s="2">
        <v>0.62777777777777799</v>
      </c>
      <c r="R529">
        <v>62</v>
      </c>
      <c r="S529">
        <v>29</v>
      </c>
      <c r="T529" s="2">
        <v>0.630462962962963</v>
      </c>
      <c r="U529" s="2">
        <v>0.64652777777777803</v>
      </c>
      <c r="V529">
        <v>24</v>
      </c>
      <c r="W529" s="2">
        <v>0.64722222222222203</v>
      </c>
      <c r="X529" s="2">
        <v>0.686805555555556</v>
      </c>
      <c r="Y529">
        <v>57</v>
      </c>
    </row>
    <row r="530" spans="1:25" ht="15" customHeight="1" x14ac:dyDescent="0.2">
      <c r="A530" s="1">
        <v>46254</v>
      </c>
      <c r="B530" t="s">
        <v>42</v>
      </c>
      <c r="C530" t="s">
        <v>43</v>
      </c>
      <c r="D530" t="s">
        <v>34</v>
      </c>
      <c r="E530" t="s">
        <v>31</v>
      </c>
      <c r="F530" s="2">
        <v>0.32569444444444401</v>
      </c>
      <c r="G530" s="2">
        <v>0.40486111111111101</v>
      </c>
      <c r="H530">
        <v>114</v>
      </c>
      <c r="I530" s="3">
        <v>0.3125</v>
      </c>
      <c r="J530" s="2">
        <v>0.38541666666666702</v>
      </c>
      <c r="K530">
        <v>105</v>
      </c>
      <c r="L530" s="2">
        <v>0.32569444444444401</v>
      </c>
      <c r="M530" s="2">
        <v>0.4</v>
      </c>
      <c r="N530">
        <v>107</v>
      </c>
      <c r="O530" s="2">
        <v>0.34722222222222199</v>
      </c>
      <c r="P530" s="2">
        <v>0.39444444444444399</v>
      </c>
      <c r="Q530" s="2">
        <v>0.4</v>
      </c>
      <c r="R530">
        <v>107</v>
      </c>
      <c r="S530">
        <v>68</v>
      </c>
      <c r="T530" s="2">
        <v>0.40277777777777801</v>
      </c>
      <c r="U530" s="2">
        <v>0.45902777777777798</v>
      </c>
      <c r="V530">
        <v>81</v>
      </c>
      <c r="W530" s="2">
        <v>0.45972222222222198</v>
      </c>
      <c r="X530" s="2">
        <v>0.50347222222222199</v>
      </c>
      <c r="Y530">
        <v>63</v>
      </c>
    </row>
    <row r="531" spans="1:25" ht="15" customHeight="1" x14ac:dyDescent="0.2">
      <c r="A531" s="1">
        <v>46254</v>
      </c>
      <c r="B531" t="s">
        <v>42</v>
      </c>
      <c r="C531" t="s">
        <v>43</v>
      </c>
      <c r="D531" t="s">
        <v>28</v>
      </c>
      <c r="E531" t="s">
        <v>35</v>
      </c>
      <c r="F531" s="2">
        <v>0.42847222222222198</v>
      </c>
      <c r="G531" s="2">
        <v>0.56736111111111098</v>
      </c>
      <c r="H531">
        <v>200</v>
      </c>
      <c r="I531" s="3">
        <v>0.42708333333333298</v>
      </c>
      <c r="J531" s="2">
        <v>0.53125</v>
      </c>
      <c r="K531">
        <v>150</v>
      </c>
      <c r="L531" s="2">
        <v>0.42847222222222198</v>
      </c>
      <c r="M531" s="2">
        <v>0.56458333333333299</v>
      </c>
      <c r="N531">
        <v>196</v>
      </c>
      <c r="O531" s="2">
        <v>0.45694444444444399</v>
      </c>
      <c r="P531" s="2">
        <v>0.55972222222222201</v>
      </c>
      <c r="Q531" s="2">
        <v>0.56458333333333299</v>
      </c>
      <c r="R531">
        <v>196</v>
      </c>
      <c r="S531">
        <v>148</v>
      </c>
      <c r="T531" s="2">
        <v>0.56876157407407402</v>
      </c>
      <c r="U531" s="2">
        <v>0.63611111111111096</v>
      </c>
      <c r="V531">
        <v>97</v>
      </c>
      <c r="W531" s="2">
        <v>0.63611111111111096</v>
      </c>
      <c r="X531" s="2">
        <v>0.67777777777777803</v>
      </c>
      <c r="Y531">
        <v>60</v>
      </c>
    </row>
    <row r="532" spans="1:25" ht="15" customHeight="1" x14ac:dyDescent="0.2">
      <c r="A532" s="1">
        <v>46254</v>
      </c>
      <c r="B532" t="s">
        <v>26</v>
      </c>
      <c r="C532" t="s">
        <v>27</v>
      </c>
      <c r="D532" t="s">
        <v>34</v>
      </c>
      <c r="E532" t="s">
        <v>36</v>
      </c>
      <c r="F532" s="2">
        <v>0.264583333333333</v>
      </c>
      <c r="G532" s="2">
        <v>0.67013888888888895</v>
      </c>
      <c r="H532">
        <v>584</v>
      </c>
      <c r="I532" s="3">
        <v>0.26041666666666702</v>
      </c>
      <c r="J532" s="2">
        <v>0.51041666666666696</v>
      </c>
      <c r="K532">
        <v>360</v>
      </c>
      <c r="L532" s="2">
        <v>0.264583333333333</v>
      </c>
      <c r="M532" s="2">
        <v>0.65833333333333299</v>
      </c>
      <c r="N532">
        <v>567</v>
      </c>
      <c r="O532" s="2">
        <v>0.35069444444444398</v>
      </c>
      <c r="P532" s="2">
        <v>0.62708333333333299</v>
      </c>
      <c r="Q532" s="2">
        <v>0.65833333333333299</v>
      </c>
      <c r="R532">
        <v>567</v>
      </c>
      <c r="S532">
        <v>398</v>
      </c>
    </row>
    <row r="533" spans="1:25" ht="15" customHeight="1" x14ac:dyDescent="0.2">
      <c r="A533" s="1">
        <v>46254</v>
      </c>
      <c r="B533" t="s">
        <v>42</v>
      </c>
      <c r="C533" t="s">
        <v>43</v>
      </c>
      <c r="D533" t="s">
        <v>28</v>
      </c>
      <c r="E533" t="s">
        <v>29</v>
      </c>
      <c r="F533" s="2">
        <v>0.313194444444444</v>
      </c>
      <c r="G533" s="2">
        <v>0.40625</v>
      </c>
      <c r="H533">
        <v>134</v>
      </c>
      <c r="I533" s="3">
        <v>0.3125</v>
      </c>
      <c r="J533" s="2">
        <v>0.39583333333333298</v>
      </c>
      <c r="K533">
        <v>120</v>
      </c>
      <c r="L533" s="2">
        <v>0.313194444444444</v>
      </c>
      <c r="M533" s="2">
        <v>0.4</v>
      </c>
      <c r="N533">
        <v>125</v>
      </c>
      <c r="O533" s="2">
        <v>0.33680555555555602</v>
      </c>
      <c r="P533" s="2">
        <v>0.39513888888888898</v>
      </c>
      <c r="Q533" s="2">
        <v>0.4</v>
      </c>
      <c r="R533">
        <v>125</v>
      </c>
      <c r="S533">
        <v>84</v>
      </c>
      <c r="T533" s="2">
        <v>0.40337962962962998</v>
      </c>
      <c r="U533" s="2">
        <v>0.45694444444444399</v>
      </c>
      <c r="V533">
        <v>78</v>
      </c>
      <c r="W533" s="2">
        <v>0.45694444444444399</v>
      </c>
      <c r="X533" s="2">
        <v>0.50060185185185202</v>
      </c>
      <c r="Y533">
        <v>62</v>
      </c>
    </row>
    <row r="534" spans="1:25" ht="15" customHeight="1" x14ac:dyDescent="0.2">
      <c r="A534" s="1">
        <v>46254</v>
      </c>
      <c r="B534" t="s">
        <v>26</v>
      </c>
      <c r="C534" t="s">
        <v>27</v>
      </c>
      <c r="D534" t="s">
        <v>28</v>
      </c>
      <c r="E534" t="s">
        <v>29</v>
      </c>
      <c r="F534" s="2">
        <v>0.40347222222222201</v>
      </c>
      <c r="G534" s="2">
        <v>0.50972222222222197</v>
      </c>
      <c r="H534">
        <v>153</v>
      </c>
      <c r="I534" s="3">
        <v>0.40625</v>
      </c>
      <c r="J534" s="2">
        <v>0.5</v>
      </c>
      <c r="K534">
        <v>135</v>
      </c>
      <c r="L534" s="2">
        <v>0.40347222222222201</v>
      </c>
      <c r="M534" s="2">
        <v>0.50624999999999998</v>
      </c>
      <c r="N534">
        <v>148</v>
      </c>
      <c r="O534" s="2">
        <v>0.43055555555555602</v>
      </c>
      <c r="P534" s="2">
        <v>0.50138888888888899</v>
      </c>
      <c r="Q534" s="2">
        <v>0.50624999999999998</v>
      </c>
      <c r="R534">
        <v>148</v>
      </c>
      <c r="S534">
        <v>102</v>
      </c>
      <c r="T534" s="2">
        <v>0.50741898148148101</v>
      </c>
      <c r="U534" s="2">
        <v>0.54583333333333295</v>
      </c>
      <c r="V534">
        <v>56</v>
      </c>
    </row>
    <row r="535" spans="1:25" ht="15" customHeight="1" x14ac:dyDescent="0.2">
      <c r="A535" s="1">
        <v>46254</v>
      </c>
      <c r="B535" t="s">
        <v>42</v>
      </c>
      <c r="C535" t="s">
        <v>43</v>
      </c>
      <c r="D535" t="s">
        <v>28</v>
      </c>
      <c r="E535" t="s">
        <v>31</v>
      </c>
      <c r="F535" s="2">
        <v>0.31874999999999998</v>
      </c>
      <c r="G535" s="2">
        <v>0.35486111111111102</v>
      </c>
      <c r="H535">
        <v>52</v>
      </c>
      <c r="I535" s="3">
        <v>0.3125</v>
      </c>
      <c r="J535" s="2">
        <v>0.34375</v>
      </c>
      <c r="K535">
        <v>45</v>
      </c>
      <c r="L535" s="2">
        <v>0.31874999999999998</v>
      </c>
      <c r="M535" s="2">
        <v>0.34861111111111098</v>
      </c>
      <c r="N535">
        <v>43</v>
      </c>
      <c r="O535" s="2">
        <v>0.33194444444444399</v>
      </c>
      <c r="P535" s="2">
        <v>0.34652777777777799</v>
      </c>
      <c r="Q535" s="2">
        <v>0.34861111111111098</v>
      </c>
      <c r="R535">
        <v>43</v>
      </c>
      <c r="S535">
        <v>21</v>
      </c>
      <c r="T535" s="2">
        <v>0.35069444444444398</v>
      </c>
      <c r="U535" s="2">
        <v>0.38611111111111102</v>
      </c>
      <c r="V535">
        <v>51</v>
      </c>
      <c r="W535" s="2">
        <v>0.38680555555555601</v>
      </c>
      <c r="X535" s="2">
        <v>0.44444444444444398</v>
      </c>
      <c r="Y535">
        <v>83</v>
      </c>
    </row>
    <row r="536" spans="1:25" ht="15" customHeight="1" x14ac:dyDescent="0.2">
      <c r="A536" s="1">
        <v>46254</v>
      </c>
      <c r="B536" t="s">
        <v>42</v>
      </c>
      <c r="C536" t="s">
        <v>43</v>
      </c>
      <c r="D536" t="s">
        <v>28</v>
      </c>
      <c r="E536" t="s">
        <v>35</v>
      </c>
      <c r="F536" s="2">
        <v>0.31805555555555598</v>
      </c>
      <c r="G536" s="2">
        <v>0.40069444444444402</v>
      </c>
      <c r="H536">
        <v>119</v>
      </c>
      <c r="I536" s="3">
        <v>0.3125</v>
      </c>
      <c r="J536" s="2">
        <v>0.38541666666666702</v>
      </c>
      <c r="K536">
        <v>105</v>
      </c>
      <c r="L536" s="2">
        <v>0.31805555555555598</v>
      </c>
      <c r="M536" s="2">
        <v>0.39652777777777798</v>
      </c>
      <c r="N536">
        <v>113</v>
      </c>
      <c r="O536" s="2">
        <v>0.33541666666666697</v>
      </c>
      <c r="P536" s="2">
        <v>0.390277777777778</v>
      </c>
      <c r="Q536" s="2">
        <v>0.39652777777777798</v>
      </c>
      <c r="R536">
        <v>113</v>
      </c>
      <c r="S536">
        <v>79</v>
      </c>
      <c r="T536" s="2">
        <v>0.39758101851851901</v>
      </c>
      <c r="U536" s="2">
        <v>0.45902777777777798</v>
      </c>
      <c r="V536">
        <v>89</v>
      </c>
      <c r="W536" s="2">
        <v>0.45972222222222198</v>
      </c>
      <c r="X536" s="2">
        <v>0.50277777777777799</v>
      </c>
      <c r="Y536">
        <v>62</v>
      </c>
    </row>
    <row r="537" spans="1:25" ht="15" customHeight="1" x14ac:dyDescent="0.2">
      <c r="A537" s="1">
        <v>46254</v>
      </c>
      <c r="B537" t="s">
        <v>42</v>
      </c>
      <c r="C537" t="s">
        <v>43</v>
      </c>
      <c r="D537" t="s">
        <v>28</v>
      </c>
      <c r="E537" t="s">
        <v>29</v>
      </c>
      <c r="F537" s="2">
        <v>0.50347222222222199</v>
      </c>
      <c r="G537" s="2">
        <v>0.52777777777777801</v>
      </c>
      <c r="H537">
        <v>35</v>
      </c>
      <c r="I537" s="3">
        <v>0.5</v>
      </c>
      <c r="J537" s="2">
        <v>0.53125</v>
      </c>
      <c r="K537">
        <v>45</v>
      </c>
      <c r="L537" s="2">
        <v>0.50347222222222199</v>
      </c>
      <c r="M537" s="2">
        <v>0.52361111111111103</v>
      </c>
      <c r="N537">
        <v>29</v>
      </c>
      <c r="O537" s="2">
        <v>0.51597222222222205</v>
      </c>
      <c r="P537" s="2">
        <v>0.52152777777777803</v>
      </c>
      <c r="Q537" s="2">
        <v>0.52361111111111103</v>
      </c>
      <c r="R537">
        <v>29</v>
      </c>
      <c r="S537">
        <v>8</v>
      </c>
      <c r="T537" s="2">
        <v>0.52430555555555602</v>
      </c>
      <c r="U537" s="2">
        <v>0.60416666666666696</v>
      </c>
      <c r="V537">
        <v>115</v>
      </c>
      <c r="W537" s="2">
        <v>0.60416666666666696</v>
      </c>
      <c r="X537" s="2">
        <v>0.63749999999999996</v>
      </c>
      <c r="Y537">
        <v>48</v>
      </c>
    </row>
    <row r="538" spans="1:25" ht="15" customHeight="1" x14ac:dyDescent="0.2">
      <c r="A538" s="1">
        <v>46254</v>
      </c>
      <c r="B538" t="s">
        <v>42</v>
      </c>
      <c r="C538" t="s">
        <v>43</v>
      </c>
      <c r="D538" t="s">
        <v>28</v>
      </c>
      <c r="E538" t="s">
        <v>31</v>
      </c>
      <c r="F538" s="2">
        <v>0.42430555555555599</v>
      </c>
      <c r="G538" s="2">
        <v>0.48611111111111099</v>
      </c>
      <c r="H538">
        <v>89</v>
      </c>
      <c r="I538" s="3">
        <v>0.40625</v>
      </c>
      <c r="J538" s="2">
        <v>0.44791666666666702</v>
      </c>
      <c r="K538">
        <v>60</v>
      </c>
      <c r="L538" s="2">
        <v>0.42430555555555599</v>
      </c>
      <c r="M538" s="2">
        <v>0.48194444444444401</v>
      </c>
      <c r="N538">
        <v>83</v>
      </c>
      <c r="O538" s="2">
        <v>0.43541666666666701</v>
      </c>
      <c r="P538" s="2">
        <v>0.47777777777777802</v>
      </c>
      <c r="Q538" s="2">
        <v>0.48194444444444401</v>
      </c>
      <c r="R538">
        <v>83</v>
      </c>
      <c r="S538">
        <v>61</v>
      </c>
      <c r="T538" s="2">
        <v>0.48659722222222201</v>
      </c>
      <c r="U538" s="2">
        <v>0.54166666666666696</v>
      </c>
      <c r="V538">
        <v>80</v>
      </c>
      <c r="W538" s="2">
        <v>0.54236111111111096</v>
      </c>
      <c r="X538" s="2">
        <v>0.57569444444444395</v>
      </c>
      <c r="Y538">
        <v>48</v>
      </c>
    </row>
    <row r="539" spans="1:25" ht="15" customHeight="1" x14ac:dyDescent="0.2">
      <c r="A539" s="1">
        <v>46254</v>
      </c>
      <c r="B539" t="s">
        <v>42</v>
      </c>
      <c r="C539" t="s">
        <v>43</v>
      </c>
      <c r="D539" t="s">
        <v>34</v>
      </c>
      <c r="E539" t="s">
        <v>29</v>
      </c>
      <c r="F539" s="2">
        <v>0.52916666666666701</v>
      </c>
      <c r="G539" s="2">
        <v>0.64930555555555602</v>
      </c>
      <c r="H539">
        <v>173</v>
      </c>
      <c r="I539" s="3">
        <v>0.46875</v>
      </c>
      <c r="J539" s="2">
        <v>0.58333333333333304</v>
      </c>
      <c r="K539">
        <v>165</v>
      </c>
      <c r="L539" s="2">
        <v>0.52916666666666701</v>
      </c>
      <c r="M539" s="2">
        <v>0.64652777777777803</v>
      </c>
      <c r="N539">
        <v>169</v>
      </c>
      <c r="O539" s="2">
        <v>0.55902777777777801</v>
      </c>
      <c r="P539" s="2">
        <v>0.63472222222222197</v>
      </c>
      <c r="Q539" s="2">
        <v>0.64652777777777803</v>
      </c>
      <c r="R539">
        <v>169</v>
      </c>
      <c r="S539">
        <v>109</v>
      </c>
      <c r="T539" s="2">
        <v>0.64979166666666699</v>
      </c>
      <c r="U539" s="2">
        <v>0.66276620370370398</v>
      </c>
      <c r="V539">
        <v>19</v>
      </c>
    </row>
    <row r="540" spans="1:25" ht="15" customHeight="1" x14ac:dyDescent="0.2">
      <c r="A540" s="1">
        <v>46254</v>
      </c>
      <c r="B540" t="s">
        <v>42</v>
      </c>
      <c r="C540" t="s">
        <v>43</v>
      </c>
      <c r="D540" t="s">
        <v>28</v>
      </c>
      <c r="E540" t="s">
        <v>29</v>
      </c>
      <c r="F540" s="2">
        <v>0.41875000000000001</v>
      </c>
      <c r="G540" s="2">
        <v>0.52708333333333302</v>
      </c>
      <c r="H540">
        <v>156</v>
      </c>
      <c r="I540" s="3">
        <v>0.40625</v>
      </c>
      <c r="J540" s="2">
        <v>0.48958333333333298</v>
      </c>
      <c r="K540">
        <v>120</v>
      </c>
      <c r="L540" s="2">
        <v>0.41875000000000001</v>
      </c>
      <c r="M540" s="2">
        <v>0.52500000000000002</v>
      </c>
      <c r="N540">
        <v>153</v>
      </c>
      <c r="O540" s="2">
        <v>0.42916666666666697</v>
      </c>
      <c r="P540" s="2">
        <v>0.52152777777777803</v>
      </c>
      <c r="Q540" s="2">
        <v>0.52500000000000002</v>
      </c>
      <c r="R540">
        <v>153</v>
      </c>
      <c r="S540">
        <v>133</v>
      </c>
      <c r="T540" s="2">
        <v>0.52730324074074097</v>
      </c>
      <c r="U540" s="2">
        <v>0.55486111111111103</v>
      </c>
      <c r="V540">
        <v>40</v>
      </c>
    </row>
    <row r="541" spans="1:25" ht="15" customHeight="1" x14ac:dyDescent="0.2">
      <c r="A541" s="1">
        <v>46254</v>
      </c>
      <c r="B541" t="s">
        <v>42</v>
      </c>
      <c r="C541" t="s">
        <v>43</v>
      </c>
      <c r="D541" t="s">
        <v>28</v>
      </c>
      <c r="E541" t="s">
        <v>31</v>
      </c>
      <c r="F541" s="2">
        <v>0.60347222222222197</v>
      </c>
      <c r="G541" s="2">
        <v>0.63124999999999998</v>
      </c>
      <c r="H541">
        <v>40</v>
      </c>
      <c r="I541" s="3">
        <v>0.60416666666666696</v>
      </c>
      <c r="J541" s="2">
        <v>0.64583333333333304</v>
      </c>
      <c r="K541">
        <v>60</v>
      </c>
      <c r="L541" s="2">
        <v>0.60347222222222197</v>
      </c>
      <c r="M541" s="2">
        <v>0.62777777777777799</v>
      </c>
      <c r="N541">
        <v>35</v>
      </c>
      <c r="O541" s="2">
        <v>0.61944444444444402</v>
      </c>
      <c r="P541" s="2">
        <v>0.62291666666666701</v>
      </c>
      <c r="Q541" s="2">
        <v>0.62777777777777799</v>
      </c>
      <c r="R541">
        <v>35</v>
      </c>
      <c r="S541">
        <v>5</v>
      </c>
      <c r="T541" s="2">
        <v>0.63225694444444402</v>
      </c>
      <c r="U541" s="2">
        <v>0.66736111111111096</v>
      </c>
      <c r="V541">
        <v>51</v>
      </c>
      <c r="W541" s="2">
        <v>0.66805555555555596</v>
      </c>
      <c r="X541" s="2">
        <v>0.686805555555556</v>
      </c>
      <c r="Y541">
        <v>27</v>
      </c>
    </row>
    <row r="542" spans="1:25" ht="15" customHeight="1" x14ac:dyDescent="0.2">
      <c r="A542" s="1">
        <v>46254</v>
      </c>
      <c r="B542" t="s">
        <v>26</v>
      </c>
      <c r="C542" t="s">
        <v>27</v>
      </c>
      <c r="D542" t="s">
        <v>28</v>
      </c>
      <c r="E542" t="s">
        <v>29</v>
      </c>
      <c r="F542" s="2">
        <v>0.31666666666666698</v>
      </c>
      <c r="G542" s="2">
        <v>0.405555555555556</v>
      </c>
      <c r="H542">
        <v>128</v>
      </c>
      <c r="I542" s="3">
        <v>0.3125</v>
      </c>
      <c r="J542" s="2">
        <v>0.4375</v>
      </c>
      <c r="K542">
        <v>180</v>
      </c>
      <c r="L542" s="2">
        <v>0.31666666666666698</v>
      </c>
      <c r="M542" s="2">
        <v>0.39930555555555602</v>
      </c>
      <c r="N542">
        <v>119</v>
      </c>
      <c r="O542" s="2">
        <v>0.35</v>
      </c>
      <c r="P542" s="2">
        <v>0.39652777777777798</v>
      </c>
      <c r="Q542" s="2">
        <v>0.39930555555555602</v>
      </c>
      <c r="R542">
        <v>119</v>
      </c>
      <c r="S542">
        <v>67</v>
      </c>
      <c r="T542" s="2">
        <v>0.4</v>
      </c>
      <c r="U542" s="2">
        <v>0.42430555555555599</v>
      </c>
      <c r="V542">
        <v>35</v>
      </c>
    </row>
    <row r="543" spans="1:25" ht="15" customHeight="1" x14ac:dyDescent="0.2">
      <c r="A543" s="1">
        <v>46254</v>
      </c>
      <c r="B543" t="s">
        <v>42</v>
      </c>
      <c r="C543" t="s">
        <v>43</v>
      </c>
      <c r="D543" t="s">
        <v>28</v>
      </c>
      <c r="E543" t="s">
        <v>29</v>
      </c>
      <c r="F543" s="2">
        <v>0.42986111111111103</v>
      </c>
      <c r="G543" s="2">
        <v>0.52708333333333302</v>
      </c>
      <c r="H543">
        <v>140</v>
      </c>
      <c r="I543" s="3">
        <v>0.41666666666666702</v>
      </c>
      <c r="J543" s="2">
        <v>0.53125</v>
      </c>
      <c r="K543">
        <v>165</v>
      </c>
      <c r="L543" s="2">
        <v>0.42986111111111103</v>
      </c>
      <c r="M543" s="2">
        <v>0.52083333333333304</v>
      </c>
      <c r="N543">
        <v>131</v>
      </c>
      <c r="O543" s="2">
        <v>0.45138888888888901</v>
      </c>
      <c r="P543" s="2">
        <v>0.51597222222222205</v>
      </c>
      <c r="Q543" s="2">
        <v>0.52083333333333304</v>
      </c>
      <c r="R543">
        <v>131</v>
      </c>
      <c r="S543">
        <v>93</v>
      </c>
      <c r="T543" s="2">
        <v>0.52488425925925897</v>
      </c>
      <c r="U543" s="2">
        <v>0.563194444444444</v>
      </c>
      <c r="V543">
        <v>56</v>
      </c>
      <c r="W543" s="2">
        <v>0.56388888888888899</v>
      </c>
      <c r="X543" s="2">
        <v>0.60694444444444395</v>
      </c>
      <c r="Y543">
        <v>62</v>
      </c>
    </row>
    <row r="544" spans="1:25" ht="15" customHeight="1" x14ac:dyDescent="0.2">
      <c r="A544" s="1">
        <v>46254</v>
      </c>
      <c r="B544" t="s">
        <v>26</v>
      </c>
      <c r="C544" t="s">
        <v>27</v>
      </c>
      <c r="D544" t="s">
        <v>28</v>
      </c>
      <c r="E544" t="s">
        <v>31</v>
      </c>
      <c r="F544" s="2">
        <v>0.31805555555555598</v>
      </c>
      <c r="G544" s="2">
        <v>0.405555555555556</v>
      </c>
      <c r="H544">
        <v>126</v>
      </c>
      <c r="I544" s="3">
        <v>0.3125</v>
      </c>
      <c r="J544" s="2">
        <v>0.35416666666666702</v>
      </c>
      <c r="K544">
        <v>60</v>
      </c>
      <c r="L544" s="2">
        <v>0.31805555555555598</v>
      </c>
      <c r="M544" s="2">
        <v>0.4</v>
      </c>
      <c r="N544">
        <v>118</v>
      </c>
      <c r="O544" s="2">
        <v>0.34583333333333299</v>
      </c>
      <c r="P544" s="2">
        <v>0.4</v>
      </c>
      <c r="Q544" s="2">
        <v>0.4</v>
      </c>
      <c r="R544">
        <v>118</v>
      </c>
      <c r="S544">
        <v>78</v>
      </c>
      <c r="T544" s="2">
        <v>0.40277777777777801</v>
      </c>
      <c r="U544" s="2">
        <v>0.438194444444444</v>
      </c>
      <c r="V544">
        <v>51</v>
      </c>
    </row>
    <row r="545" spans="1:25" ht="15" customHeight="1" x14ac:dyDescent="0.2">
      <c r="A545" s="1">
        <v>46254</v>
      </c>
      <c r="B545" t="s">
        <v>26</v>
      </c>
      <c r="C545" t="s">
        <v>27</v>
      </c>
      <c r="D545" t="s">
        <v>28</v>
      </c>
      <c r="E545" t="s">
        <v>29</v>
      </c>
      <c r="F545" s="2">
        <v>0.51666666666666705</v>
      </c>
      <c r="G545" s="2">
        <v>0.60972222222222205</v>
      </c>
      <c r="H545">
        <v>134</v>
      </c>
      <c r="I545" s="3">
        <v>0.48958333333333298</v>
      </c>
      <c r="J545" s="2">
        <v>0.61458333333333304</v>
      </c>
      <c r="K545">
        <v>180</v>
      </c>
      <c r="L545" s="2">
        <v>0.51666666666666705</v>
      </c>
      <c r="M545" s="2">
        <v>0.60138888888888897</v>
      </c>
      <c r="N545">
        <v>122</v>
      </c>
      <c r="O545" s="2">
        <v>0.53749999999999998</v>
      </c>
      <c r="P545" s="2">
        <v>0.59722222222222199</v>
      </c>
      <c r="Q545" s="2">
        <v>0.60138888888888897</v>
      </c>
      <c r="R545">
        <v>122</v>
      </c>
      <c r="S545">
        <v>86</v>
      </c>
    </row>
    <row r="546" spans="1:25" ht="15" customHeight="1" x14ac:dyDescent="0.2">
      <c r="A546" s="1">
        <v>46254</v>
      </c>
      <c r="B546" t="s">
        <v>26</v>
      </c>
      <c r="C546" t="s">
        <v>27</v>
      </c>
      <c r="D546" t="s">
        <v>28</v>
      </c>
      <c r="E546" t="s">
        <v>29</v>
      </c>
      <c r="F546" s="2">
        <v>0.75277777777777799</v>
      </c>
      <c r="G546" s="2">
        <v>0.79652777777777795</v>
      </c>
      <c r="H546">
        <v>63</v>
      </c>
      <c r="I546" s="3">
        <v>0.73263888888888895</v>
      </c>
      <c r="J546" s="2">
        <v>0.76388888888888895</v>
      </c>
      <c r="K546">
        <v>45</v>
      </c>
      <c r="L546" s="2">
        <v>0.75277777777777799</v>
      </c>
      <c r="M546" s="2">
        <v>0.79305555555555596</v>
      </c>
      <c r="N546">
        <v>58</v>
      </c>
      <c r="O546" s="2">
        <v>0.77638888888888902</v>
      </c>
      <c r="P546" s="2">
        <v>0.78611111111111098</v>
      </c>
      <c r="Q546" s="2">
        <v>0.79305555555555596</v>
      </c>
      <c r="R546">
        <v>58</v>
      </c>
      <c r="S546">
        <v>14</v>
      </c>
      <c r="T546" s="2">
        <v>0.79513888888888895</v>
      </c>
      <c r="U546" s="2">
        <v>0.86190972222222195</v>
      </c>
      <c r="V546">
        <v>96</v>
      </c>
    </row>
    <row r="547" spans="1:25" ht="15" customHeight="1" x14ac:dyDescent="0.2">
      <c r="A547" s="1">
        <v>46254</v>
      </c>
      <c r="B547" t="s">
        <v>26</v>
      </c>
      <c r="C547" t="s">
        <v>27</v>
      </c>
      <c r="D547" t="s">
        <v>28</v>
      </c>
      <c r="E547" t="s">
        <v>36</v>
      </c>
      <c r="F547" s="2">
        <v>0.83611111111111103</v>
      </c>
      <c r="G547" s="2">
        <v>0.88124999999999998</v>
      </c>
      <c r="H547">
        <v>65</v>
      </c>
      <c r="I547" s="3">
        <v>0.78472222222222199</v>
      </c>
      <c r="J547" s="2">
        <v>0.85763888888888895</v>
      </c>
      <c r="K547">
        <v>105</v>
      </c>
      <c r="L547" s="2">
        <v>0.83611111111111103</v>
      </c>
      <c r="M547" s="2">
        <v>0.87777777777777799</v>
      </c>
      <c r="N547">
        <v>60</v>
      </c>
      <c r="O547" s="2">
        <v>0.85972222222222205</v>
      </c>
      <c r="P547" s="2">
        <v>0.87361111111111101</v>
      </c>
      <c r="Q547" s="2">
        <v>0.87777777777777799</v>
      </c>
      <c r="R547">
        <v>60</v>
      </c>
      <c r="S547">
        <v>20</v>
      </c>
      <c r="T547" s="2">
        <v>0.87986111111111098</v>
      </c>
      <c r="U547" s="2">
        <v>0.91209490740740695</v>
      </c>
      <c r="V547">
        <v>46</v>
      </c>
    </row>
    <row r="548" spans="1:25" ht="15" customHeight="1" x14ac:dyDescent="0.2">
      <c r="A548" s="1">
        <v>46254</v>
      </c>
      <c r="B548" t="s">
        <v>26</v>
      </c>
      <c r="C548" t="s">
        <v>27</v>
      </c>
      <c r="D548" t="s">
        <v>28</v>
      </c>
      <c r="E548" t="s">
        <v>29</v>
      </c>
      <c r="F548" s="2">
        <v>0.73958333333333304</v>
      </c>
      <c r="G548" s="2">
        <v>0.76666666666666705</v>
      </c>
      <c r="H548">
        <v>39</v>
      </c>
      <c r="I548" s="3">
        <v>0.72916666666666696</v>
      </c>
      <c r="J548" s="2">
        <v>0.76736111111111105</v>
      </c>
      <c r="K548">
        <v>55</v>
      </c>
      <c r="L548" s="2">
        <v>0.73958333333333304</v>
      </c>
      <c r="M548" s="2">
        <v>0.76319444444444395</v>
      </c>
      <c r="N548">
        <v>34</v>
      </c>
      <c r="O548" s="2">
        <v>0.75347222222222199</v>
      </c>
      <c r="P548" s="2">
        <v>0.75972222222222197</v>
      </c>
      <c r="Q548" s="2">
        <v>0.76319444444444395</v>
      </c>
      <c r="R548">
        <v>34</v>
      </c>
      <c r="S548">
        <v>9</v>
      </c>
      <c r="T548" s="2">
        <v>0.76599537037037002</v>
      </c>
      <c r="U548" s="2">
        <v>0.82638888888888895</v>
      </c>
      <c r="V548">
        <v>87</v>
      </c>
    </row>
    <row r="549" spans="1:25" ht="15" customHeight="1" x14ac:dyDescent="0.2">
      <c r="A549" s="1">
        <v>46254</v>
      </c>
      <c r="B549" t="s">
        <v>26</v>
      </c>
      <c r="C549" t="s">
        <v>27</v>
      </c>
      <c r="D549" t="s">
        <v>34</v>
      </c>
      <c r="E549" t="s">
        <v>29</v>
      </c>
      <c r="F549" s="2">
        <v>0.42499999999999999</v>
      </c>
      <c r="G549" s="2">
        <v>0.51249999999999996</v>
      </c>
      <c r="H549">
        <v>126</v>
      </c>
      <c r="I549" s="3">
        <v>0.375</v>
      </c>
      <c r="J549" s="2">
        <v>0.45833333333333298</v>
      </c>
      <c r="K549">
        <v>120</v>
      </c>
      <c r="L549" s="2">
        <v>0.42499999999999999</v>
      </c>
      <c r="M549" s="2">
        <v>0.50694444444444398</v>
      </c>
      <c r="N549">
        <v>118</v>
      </c>
      <c r="O549" s="2">
        <v>0.44861111111111102</v>
      </c>
      <c r="P549" s="2">
        <v>0.50416666666666698</v>
      </c>
      <c r="Q549" s="2">
        <v>0.50694444444444398</v>
      </c>
      <c r="R549">
        <v>118</v>
      </c>
      <c r="S549">
        <v>80</v>
      </c>
      <c r="T549" s="2">
        <v>0.50819444444444395</v>
      </c>
      <c r="U549" s="2">
        <v>0.530752314814815</v>
      </c>
      <c r="V549">
        <v>33</v>
      </c>
    </row>
    <row r="550" spans="1:25" ht="15" customHeight="1" x14ac:dyDescent="0.2">
      <c r="A550" s="1">
        <v>46254</v>
      </c>
      <c r="B550" t="s">
        <v>26</v>
      </c>
      <c r="C550" t="s">
        <v>27</v>
      </c>
      <c r="D550" t="s">
        <v>28</v>
      </c>
      <c r="E550" t="s">
        <v>29</v>
      </c>
      <c r="F550" s="2">
        <v>7.2916666666666699E-2</v>
      </c>
      <c r="G550" s="2">
        <v>0.116666666666667</v>
      </c>
      <c r="H550">
        <v>63</v>
      </c>
      <c r="I550" s="3">
        <v>6.25E-2</v>
      </c>
      <c r="J550" s="2">
        <v>0.10763888888888901</v>
      </c>
      <c r="K550">
        <v>95</v>
      </c>
      <c r="L550" s="2">
        <v>7.2916666666666699E-2</v>
      </c>
      <c r="M550" s="2">
        <v>0.109722222222222</v>
      </c>
      <c r="N550">
        <v>53</v>
      </c>
      <c r="O550" s="2">
        <v>8.5416666666666696E-2</v>
      </c>
      <c r="P550" s="2">
        <v>0.105555555555556</v>
      </c>
      <c r="Q550" s="2">
        <v>0.109722222222222</v>
      </c>
      <c r="R550">
        <v>53</v>
      </c>
      <c r="S550">
        <v>29</v>
      </c>
      <c r="T550" s="2">
        <v>0.111261574074074</v>
      </c>
      <c r="U550" s="2">
        <v>0.17417824074074101</v>
      </c>
      <c r="V550">
        <v>90</v>
      </c>
    </row>
    <row r="551" spans="1:25" ht="15" customHeight="1" x14ac:dyDescent="0.2">
      <c r="A551" s="1">
        <v>46254</v>
      </c>
      <c r="B551" t="s">
        <v>26</v>
      </c>
      <c r="C551" t="s">
        <v>27</v>
      </c>
      <c r="D551" t="s">
        <v>28</v>
      </c>
      <c r="E551" t="s">
        <v>29</v>
      </c>
      <c r="F551" s="2">
        <v>0.72152777777777799</v>
      </c>
      <c r="G551" s="2">
        <v>0.77222222222222203</v>
      </c>
      <c r="H551">
        <v>73</v>
      </c>
      <c r="I551" s="3">
        <v>0.70833333333333304</v>
      </c>
      <c r="J551" s="2">
        <v>0.76041666666666696</v>
      </c>
      <c r="K551">
        <v>75</v>
      </c>
      <c r="L551" s="2">
        <v>0.72152777777777799</v>
      </c>
      <c r="M551" s="2">
        <v>0.76944444444444404</v>
      </c>
      <c r="N551">
        <v>69</v>
      </c>
      <c r="O551" s="2">
        <v>0.74236111111111103</v>
      </c>
      <c r="P551" s="2">
        <v>0.76388888888888895</v>
      </c>
      <c r="Q551" s="2">
        <v>0.76944444444444404</v>
      </c>
      <c r="R551">
        <v>69</v>
      </c>
      <c r="S551">
        <v>31</v>
      </c>
      <c r="T551" s="2">
        <v>0.77302083333333305</v>
      </c>
      <c r="U551" s="2">
        <v>0.82783564814814803</v>
      </c>
      <c r="V551">
        <v>79</v>
      </c>
    </row>
    <row r="552" spans="1:25" ht="15" customHeight="1" x14ac:dyDescent="0.2">
      <c r="A552" s="1">
        <v>46254</v>
      </c>
      <c r="B552" t="s">
        <v>26</v>
      </c>
      <c r="C552" t="s">
        <v>27</v>
      </c>
      <c r="D552" t="s">
        <v>28</v>
      </c>
      <c r="E552" t="s">
        <v>31</v>
      </c>
      <c r="F552" s="2">
        <v>0.64722222222222203</v>
      </c>
      <c r="G552" s="2">
        <v>0.71666666666666701</v>
      </c>
      <c r="H552">
        <v>100</v>
      </c>
      <c r="I552" s="3">
        <v>0.64583333333333304</v>
      </c>
      <c r="J552" s="2">
        <v>0.71180555555555602</v>
      </c>
      <c r="K552">
        <v>95</v>
      </c>
      <c r="L552" s="2">
        <v>0.64722222222222203</v>
      </c>
      <c r="M552" s="2">
        <v>0.71458333333333302</v>
      </c>
      <c r="N552">
        <v>97</v>
      </c>
      <c r="O552" s="2">
        <v>0.66319444444444398</v>
      </c>
      <c r="P552" s="2">
        <v>0.71111111111111103</v>
      </c>
      <c r="Q552" s="2">
        <v>0.71458333333333302</v>
      </c>
      <c r="R552">
        <v>97</v>
      </c>
      <c r="S552">
        <v>69</v>
      </c>
      <c r="T552" s="2">
        <v>0.71586805555555599</v>
      </c>
      <c r="U552" s="2">
        <v>0.77700231481481496</v>
      </c>
      <c r="V552">
        <v>88</v>
      </c>
    </row>
    <row r="553" spans="1:25" ht="15" customHeight="1" x14ac:dyDescent="0.2">
      <c r="A553" s="1">
        <v>46254</v>
      </c>
      <c r="B553" t="s">
        <v>48</v>
      </c>
      <c r="C553" t="s">
        <v>27</v>
      </c>
      <c r="D553" t="s">
        <v>38</v>
      </c>
      <c r="E553" t="s">
        <v>29</v>
      </c>
      <c r="F553" s="2">
        <v>0.66944444444444395</v>
      </c>
      <c r="G553" s="2">
        <v>0.70208333333333295</v>
      </c>
      <c r="H553">
        <v>47</v>
      </c>
      <c r="I553" s="3">
        <v>0.70833333333333304</v>
      </c>
      <c r="J553" s="2">
        <v>0.74305555555555602</v>
      </c>
      <c r="K553">
        <v>50</v>
      </c>
      <c r="L553" s="2">
        <v>0.66944444444444395</v>
      </c>
      <c r="M553" s="2">
        <v>0.69861111111111096</v>
      </c>
      <c r="N553">
        <v>42</v>
      </c>
      <c r="O553" s="2">
        <v>0.68055555555555602</v>
      </c>
      <c r="P553" s="2">
        <v>0.69652777777777797</v>
      </c>
      <c r="Q553" s="2">
        <v>0.69861111111111096</v>
      </c>
      <c r="R553">
        <v>42</v>
      </c>
      <c r="S553">
        <v>23</v>
      </c>
      <c r="T553" s="2">
        <v>0.70212962962962999</v>
      </c>
      <c r="U553" s="2">
        <v>0.74027777777777803</v>
      </c>
      <c r="V553">
        <v>55</v>
      </c>
      <c r="W553" s="2">
        <v>0.74097222222222203</v>
      </c>
      <c r="X553" s="2">
        <v>0.76249999999999996</v>
      </c>
      <c r="Y553">
        <v>31</v>
      </c>
    </row>
    <row r="554" spans="1:25" ht="15" customHeight="1" x14ac:dyDescent="0.2">
      <c r="A554" s="1">
        <v>46254</v>
      </c>
      <c r="B554" t="s">
        <v>26</v>
      </c>
      <c r="C554" t="s">
        <v>27</v>
      </c>
      <c r="D554" t="s">
        <v>28</v>
      </c>
      <c r="E554" t="s">
        <v>35</v>
      </c>
      <c r="F554" s="2">
        <v>0.57777777777777795</v>
      </c>
      <c r="G554" s="2">
        <v>0.68958333333333299</v>
      </c>
      <c r="H554">
        <v>161</v>
      </c>
      <c r="I554" s="3">
        <v>0.57291666666666696</v>
      </c>
      <c r="J554" s="2">
        <v>0.63888888888888895</v>
      </c>
      <c r="K554">
        <v>95</v>
      </c>
      <c r="L554" s="2">
        <v>0.57777777777777795</v>
      </c>
      <c r="M554" s="2">
        <v>0.68611111111111101</v>
      </c>
      <c r="N554">
        <v>156</v>
      </c>
      <c r="O554" s="2">
        <v>0.593055555555556</v>
      </c>
      <c r="P554" s="2">
        <v>0.67569444444444404</v>
      </c>
      <c r="Q554" s="2">
        <v>0.68611111111111101</v>
      </c>
      <c r="R554">
        <v>156</v>
      </c>
      <c r="S554">
        <v>119</v>
      </c>
      <c r="T554" s="2">
        <v>0.68784722222222205</v>
      </c>
      <c r="U554" s="2">
        <v>0.70902777777777803</v>
      </c>
      <c r="V554">
        <v>31</v>
      </c>
    </row>
    <row r="555" spans="1:25" ht="15" customHeight="1" x14ac:dyDescent="0.2">
      <c r="A555" s="1">
        <v>46254</v>
      </c>
      <c r="B555" t="s">
        <v>26</v>
      </c>
      <c r="C555" t="s">
        <v>27</v>
      </c>
      <c r="D555" t="s">
        <v>28</v>
      </c>
      <c r="E555" t="s">
        <v>35</v>
      </c>
      <c r="F555" s="2">
        <v>0.89791666666666703</v>
      </c>
      <c r="G555" s="2">
        <v>0.98888888888888904</v>
      </c>
      <c r="H555">
        <v>131</v>
      </c>
      <c r="I555" s="3">
        <v>0.90277777777777801</v>
      </c>
      <c r="J555" s="2">
        <v>0.98958333333333304</v>
      </c>
      <c r="K555">
        <v>155</v>
      </c>
      <c r="L555" s="2">
        <v>0.89791666666666703</v>
      </c>
      <c r="M555" s="2">
        <v>0.98541666666666705</v>
      </c>
      <c r="N555">
        <v>126</v>
      </c>
      <c r="O555" s="2">
        <v>0.92500000000000004</v>
      </c>
      <c r="P555" s="2">
        <v>0.97638888888888897</v>
      </c>
      <c r="Q555" s="2">
        <v>0.98541666666666705</v>
      </c>
      <c r="R555">
        <v>126</v>
      </c>
      <c r="S555">
        <v>74</v>
      </c>
      <c r="T555" s="2">
        <v>0.98611111111111105</v>
      </c>
      <c r="U555" s="2">
        <v>3.05555555555556E-2</v>
      </c>
      <c r="V555">
        <v>64</v>
      </c>
    </row>
    <row r="556" spans="1:25" ht="15" customHeight="1" x14ac:dyDescent="0.2">
      <c r="A556" s="1">
        <v>46255</v>
      </c>
      <c r="B556" t="s">
        <v>42</v>
      </c>
      <c r="C556" t="s">
        <v>43</v>
      </c>
      <c r="D556" t="s">
        <v>28</v>
      </c>
      <c r="E556" t="s">
        <v>31</v>
      </c>
      <c r="F556" s="2">
        <v>0.54027777777777797</v>
      </c>
      <c r="G556" s="2">
        <v>0.60347222222222197</v>
      </c>
      <c r="H556">
        <v>91</v>
      </c>
      <c r="I556" s="3">
        <v>0.52083333333333304</v>
      </c>
      <c r="J556" s="2">
        <v>0.58333333333333304</v>
      </c>
      <c r="K556">
        <v>90</v>
      </c>
      <c r="L556" s="2">
        <v>0.54027777777777797</v>
      </c>
      <c r="M556" s="2">
        <v>0.59930555555555598</v>
      </c>
      <c r="N556">
        <v>85</v>
      </c>
      <c r="O556" s="2">
        <v>0.55625000000000002</v>
      </c>
      <c r="P556" s="2">
        <v>0.59375</v>
      </c>
      <c r="Q556" s="2">
        <v>0.59930555555555598</v>
      </c>
      <c r="R556">
        <v>85</v>
      </c>
      <c r="S556">
        <v>54</v>
      </c>
      <c r="T556" s="2">
        <v>0.60122685185185198</v>
      </c>
      <c r="U556" s="2">
        <v>0.61875000000000002</v>
      </c>
      <c r="V556">
        <v>26</v>
      </c>
      <c r="W556" s="2">
        <v>0.61875000000000002</v>
      </c>
      <c r="X556" s="2">
        <v>0.66666666666666696</v>
      </c>
      <c r="Y556">
        <v>69</v>
      </c>
    </row>
    <row r="557" spans="1:25" ht="15" customHeight="1" x14ac:dyDescent="0.2">
      <c r="A557" s="1">
        <v>46255</v>
      </c>
      <c r="B557" t="s">
        <v>42</v>
      </c>
      <c r="C557" t="s">
        <v>43</v>
      </c>
      <c r="D557" t="s">
        <v>28</v>
      </c>
      <c r="E557" t="s">
        <v>31</v>
      </c>
      <c r="F557" s="2">
        <v>0.61805555555555602</v>
      </c>
      <c r="G557" s="2">
        <v>0.66527777777777797</v>
      </c>
      <c r="H557">
        <v>68</v>
      </c>
      <c r="I557" s="3">
        <v>0.60416666666666696</v>
      </c>
      <c r="J557" s="2">
        <v>0.66666666666666696</v>
      </c>
      <c r="K557">
        <v>90</v>
      </c>
      <c r="L557" s="2">
        <v>0.61805555555555602</v>
      </c>
      <c r="M557" s="2">
        <v>0.66180555555555598</v>
      </c>
      <c r="N557">
        <v>63</v>
      </c>
      <c r="O557" s="2">
        <v>0.62986111111111098</v>
      </c>
      <c r="P557" s="2">
        <v>0.656944444444444</v>
      </c>
      <c r="Q557" s="2">
        <v>0.66180555555555598</v>
      </c>
      <c r="R557">
        <v>63</v>
      </c>
      <c r="S557">
        <v>39</v>
      </c>
      <c r="T557" s="2">
        <v>0.66578703703703701</v>
      </c>
      <c r="U557" s="2">
        <v>0.83402777777777803</v>
      </c>
      <c r="V557">
        <v>243</v>
      </c>
      <c r="W557" s="2">
        <v>0.83402777777777803</v>
      </c>
      <c r="X557" s="2">
        <v>0.85416666666666696</v>
      </c>
      <c r="Y557">
        <v>29</v>
      </c>
    </row>
    <row r="558" spans="1:25" ht="15" customHeight="1" x14ac:dyDescent="0.2">
      <c r="A558" s="1">
        <v>46255</v>
      </c>
      <c r="B558" t="s">
        <v>26</v>
      </c>
      <c r="C558" t="s">
        <v>27</v>
      </c>
      <c r="D558" t="s">
        <v>34</v>
      </c>
      <c r="E558" t="s">
        <v>31</v>
      </c>
      <c r="F558" s="2">
        <v>0.45972222222222198</v>
      </c>
      <c r="G558" s="2">
        <v>0.57569444444444395</v>
      </c>
      <c r="H558">
        <v>167</v>
      </c>
      <c r="I558" s="3">
        <v>0.45833333333333298</v>
      </c>
      <c r="J558" s="2">
        <v>0.58333333333333304</v>
      </c>
      <c r="K558">
        <v>180</v>
      </c>
      <c r="L558" s="2">
        <v>0.45972222222222198</v>
      </c>
      <c r="M558" s="2">
        <v>0.57291666666666696</v>
      </c>
      <c r="N558">
        <v>163</v>
      </c>
      <c r="O558" s="2">
        <v>0.48749999999999999</v>
      </c>
      <c r="P558" s="2">
        <v>0.56944444444444398</v>
      </c>
      <c r="Q558" s="2">
        <v>0.57291666666666696</v>
      </c>
      <c r="R558">
        <v>163</v>
      </c>
      <c r="S558">
        <v>118</v>
      </c>
      <c r="T558" s="2">
        <v>0.58909722222222205</v>
      </c>
      <c r="U558" s="2">
        <v>0.61180555555555605</v>
      </c>
      <c r="V558">
        <v>33</v>
      </c>
    </row>
    <row r="559" spans="1:25" ht="15" customHeight="1" x14ac:dyDescent="0.2">
      <c r="A559" s="1">
        <v>46255</v>
      </c>
      <c r="B559" t="s">
        <v>26</v>
      </c>
      <c r="C559" t="s">
        <v>27</v>
      </c>
      <c r="D559" t="s">
        <v>28</v>
      </c>
      <c r="E559" t="s">
        <v>31</v>
      </c>
      <c r="F559" s="2">
        <v>0.3125</v>
      </c>
      <c r="G559" s="2">
        <v>0.42708333333333298</v>
      </c>
      <c r="H559">
        <v>165</v>
      </c>
      <c r="I559" s="3">
        <v>0.3125</v>
      </c>
      <c r="J559" s="2">
        <v>0.39583333333333298</v>
      </c>
      <c r="K559">
        <v>120</v>
      </c>
      <c r="L559" s="2">
        <v>0.3125</v>
      </c>
      <c r="M559" s="2">
        <v>0.420833333333333</v>
      </c>
      <c r="N559">
        <v>156</v>
      </c>
      <c r="O559" s="2">
        <v>0.33402777777777798</v>
      </c>
      <c r="P559" s="2">
        <v>0.41597222222222202</v>
      </c>
      <c r="Q559" s="2">
        <v>0.420833333333333</v>
      </c>
      <c r="R559">
        <v>156</v>
      </c>
      <c r="S559">
        <v>118</v>
      </c>
      <c r="T559" s="2">
        <v>0.424340277777778</v>
      </c>
      <c r="U559" s="2">
        <v>0.51041666666666696</v>
      </c>
      <c r="V559">
        <v>124</v>
      </c>
    </row>
    <row r="560" spans="1:25" ht="15" customHeight="1" x14ac:dyDescent="0.2">
      <c r="A560" s="1">
        <v>46255</v>
      </c>
      <c r="B560" t="s">
        <v>26</v>
      </c>
      <c r="C560" t="s">
        <v>27</v>
      </c>
      <c r="D560" t="s">
        <v>34</v>
      </c>
      <c r="E560" t="s">
        <v>31</v>
      </c>
      <c r="F560" s="2">
        <v>0.3125</v>
      </c>
      <c r="G560" s="2">
        <v>0.42499999999999999</v>
      </c>
      <c r="H560">
        <v>162</v>
      </c>
      <c r="I560" s="3">
        <v>0.3125</v>
      </c>
      <c r="J560" s="2">
        <v>0.4375</v>
      </c>
      <c r="K560">
        <v>180</v>
      </c>
      <c r="L560" s="2">
        <v>0.3125</v>
      </c>
      <c r="M560" s="2">
        <v>0.42013888888888901</v>
      </c>
      <c r="N560">
        <v>155</v>
      </c>
      <c r="O560" s="2">
        <v>0.33888888888888902</v>
      </c>
      <c r="P560" s="2">
        <v>0.41249999999999998</v>
      </c>
      <c r="Q560" s="2">
        <v>0.42013888888888901</v>
      </c>
      <c r="R560">
        <v>155</v>
      </c>
      <c r="S560">
        <v>106</v>
      </c>
      <c r="T560" s="2">
        <v>0.42226851851851899</v>
      </c>
      <c r="U560" s="2">
        <v>0.44791666666666702</v>
      </c>
      <c r="V560">
        <v>37</v>
      </c>
    </row>
    <row r="561" spans="1:25" ht="15" customHeight="1" x14ac:dyDescent="0.2">
      <c r="A561" s="1">
        <v>46255</v>
      </c>
      <c r="B561" t="s">
        <v>26</v>
      </c>
      <c r="C561" t="s">
        <v>27</v>
      </c>
      <c r="D561" t="s">
        <v>34</v>
      </c>
      <c r="E561" t="s">
        <v>36</v>
      </c>
      <c r="F561" s="2">
        <v>0.27013888888888898</v>
      </c>
      <c r="G561" s="2">
        <v>0.56597222222222199</v>
      </c>
      <c r="H561">
        <v>426</v>
      </c>
      <c r="I561" s="3">
        <v>0.26041666666666702</v>
      </c>
      <c r="J561" s="2">
        <v>0.51041666666666696</v>
      </c>
      <c r="K561">
        <v>360</v>
      </c>
      <c r="L561" s="2">
        <v>0.27013888888888898</v>
      </c>
      <c r="M561" s="2">
        <v>0.55625000000000002</v>
      </c>
      <c r="N561">
        <v>412</v>
      </c>
      <c r="O561" s="2">
        <v>0.36875000000000002</v>
      </c>
      <c r="P561" s="2">
        <v>0.55069444444444404</v>
      </c>
      <c r="Q561" s="2">
        <v>0.55625000000000002</v>
      </c>
      <c r="R561">
        <v>412</v>
      </c>
      <c r="S561">
        <v>262</v>
      </c>
    </row>
    <row r="562" spans="1:25" ht="15" customHeight="1" x14ac:dyDescent="0.2">
      <c r="A562" s="1">
        <v>46255</v>
      </c>
      <c r="B562" t="s">
        <v>42</v>
      </c>
      <c r="C562" t="s">
        <v>43</v>
      </c>
      <c r="D562" t="s">
        <v>28</v>
      </c>
      <c r="E562" t="s">
        <v>29</v>
      </c>
      <c r="F562" s="2">
        <v>0.31388888888888899</v>
      </c>
      <c r="G562" s="2">
        <v>0.46666666666666701</v>
      </c>
      <c r="H562">
        <v>220</v>
      </c>
      <c r="I562" s="3">
        <v>0.3125</v>
      </c>
      <c r="J562" s="2">
        <v>0.4375</v>
      </c>
      <c r="K562">
        <v>180</v>
      </c>
      <c r="L562" s="2">
        <v>0.31388888888888899</v>
      </c>
      <c r="M562" s="2">
        <v>0.45972222222222198</v>
      </c>
      <c r="N562">
        <v>210</v>
      </c>
      <c r="O562" s="2">
        <v>0.33958333333333302</v>
      </c>
      <c r="P562" s="2">
        <v>0.45624999999999999</v>
      </c>
      <c r="Q562" s="2">
        <v>0.45972222222222198</v>
      </c>
      <c r="R562">
        <v>210</v>
      </c>
      <c r="S562">
        <v>168</v>
      </c>
      <c r="T562" s="2">
        <v>0.46071759259259298</v>
      </c>
      <c r="U562" s="2">
        <v>0.47986111111111102</v>
      </c>
      <c r="V562">
        <v>28</v>
      </c>
    </row>
    <row r="563" spans="1:25" ht="15" customHeight="1" x14ac:dyDescent="0.2">
      <c r="A563" s="1">
        <v>46255</v>
      </c>
      <c r="B563" t="s">
        <v>42</v>
      </c>
      <c r="C563" t="s">
        <v>43</v>
      </c>
      <c r="D563" t="s">
        <v>28</v>
      </c>
      <c r="E563" t="s">
        <v>31</v>
      </c>
      <c r="F563" s="2">
        <v>0.48819444444444399</v>
      </c>
      <c r="G563" s="2">
        <v>0.55208333333333304</v>
      </c>
      <c r="H563">
        <v>92</v>
      </c>
      <c r="I563" s="3">
        <v>0.45833333333333298</v>
      </c>
      <c r="J563" s="2">
        <v>0.5</v>
      </c>
      <c r="K563">
        <v>60</v>
      </c>
      <c r="L563" s="2">
        <v>0.48819444444444399</v>
      </c>
      <c r="M563" s="2">
        <v>0.54930555555555605</v>
      </c>
      <c r="N563">
        <v>88</v>
      </c>
      <c r="O563" s="2">
        <v>0.50277777777777799</v>
      </c>
      <c r="P563" s="2">
        <v>0.54305555555555596</v>
      </c>
      <c r="Q563" s="2">
        <v>0.54930555555555605</v>
      </c>
      <c r="R563">
        <v>88</v>
      </c>
      <c r="S563">
        <v>58</v>
      </c>
      <c r="T563" s="2">
        <v>0.55208333333333304</v>
      </c>
      <c r="U563" s="2">
        <v>0.57638888888888895</v>
      </c>
      <c r="V563">
        <v>35</v>
      </c>
      <c r="W563" s="2">
        <v>0.57708333333333295</v>
      </c>
      <c r="X563" s="2">
        <v>0.62013888888888902</v>
      </c>
      <c r="Y563">
        <v>62</v>
      </c>
    </row>
    <row r="564" spans="1:25" ht="15" customHeight="1" x14ac:dyDescent="0.2">
      <c r="A564" s="1">
        <v>46255</v>
      </c>
      <c r="B564" t="s">
        <v>42</v>
      </c>
      <c r="C564" t="s">
        <v>43</v>
      </c>
      <c r="D564" t="s">
        <v>28</v>
      </c>
      <c r="E564" t="s">
        <v>31</v>
      </c>
      <c r="F564" s="2">
        <v>0.43888888888888899</v>
      </c>
      <c r="G564" s="2">
        <v>0.47916666666666702</v>
      </c>
      <c r="H564">
        <v>58</v>
      </c>
      <c r="I564" s="3">
        <v>0.41666666666666702</v>
      </c>
      <c r="J564" s="2">
        <v>0.45833333333333298</v>
      </c>
      <c r="K564">
        <v>60</v>
      </c>
      <c r="L564" s="2">
        <v>0.43888888888888899</v>
      </c>
      <c r="M564" s="2">
        <v>0.47361111111111098</v>
      </c>
      <c r="N564">
        <v>50</v>
      </c>
      <c r="O564" s="2">
        <v>0.453472222222222</v>
      </c>
      <c r="P564" s="2">
        <v>0.46666666666666701</v>
      </c>
      <c r="Q564" s="2">
        <v>0.47361111111111098</v>
      </c>
      <c r="R564">
        <v>50</v>
      </c>
      <c r="S564">
        <v>19</v>
      </c>
      <c r="T564" s="2">
        <v>0.47689814814814802</v>
      </c>
      <c r="U564" s="2">
        <v>0.51111111111111096</v>
      </c>
      <c r="V564">
        <v>50</v>
      </c>
      <c r="W564" s="2">
        <v>0.51180555555555596</v>
      </c>
      <c r="X564" s="2">
        <v>0.53333333333333299</v>
      </c>
      <c r="Y564">
        <v>31</v>
      </c>
    </row>
    <row r="565" spans="1:25" ht="15" customHeight="1" x14ac:dyDescent="0.2">
      <c r="A565" s="1">
        <v>46255</v>
      </c>
      <c r="B565" t="s">
        <v>42</v>
      </c>
      <c r="C565" t="s">
        <v>43</v>
      </c>
      <c r="D565" t="s">
        <v>28</v>
      </c>
      <c r="E565" t="s">
        <v>29</v>
      </c>
      <c r="F565" s="2">
        <v>0.49444444444444402</v>
      </c>
      <c r="G565" s="2">
        <v>0.53263888888888899</v>
      </c>
      <c r="H565">
        <v>55</v>
      </c>
      <c r="I565" s="3">
        <v>0.47916666666666702</v>
      </c>
      <c r="J565" s="2">
        <v>0.51041666666666696</v>
      </c>
      <c r="K565">
        <v>45</v>
      </c>
      <c r="L565" s="2">
        <v>0.49444444444444402</v>
      </c>
      <c r="M565" s="2">
        <v>0.52569444444444402</v>
      </c>
      <c r="N565">
        <v>45</v>
      </c>
      <c r="O565" s="2">
        <v>0.50763888888888897</v>
      </c>
      <c r="P565" s="2">
        <v>0.52222222222222203</v>
      </c>
      <c r="Q565" s="2">
        <v>0.52569444444444402</v>
      </c>
      <c r="R565">
        <v>45</v>
      </c>
      <c r="S565">
        <v>21</v>
      </c>
      <c r="T565" s="2">
        <v>0.52872685185185198</v>
      </c>
      <c r="U565" s="2">
        <v>0.55138888888888904</v>
      </c>
      <c r="V565">
        <v>33</v>
      </c>
      <c r="W565" s="2">
        <v>0.55208333333333304</v>
      </c>
      <c r="X565" s="2">
        <v>0.59375</v>
      </c>
      <c r="Y565">
        <v>60</v>
      </c>
    </row>
    <row r="566" spans="1:25" ht="15" customHeight="1" x14ac:dyDescent="0.2">
      <c r="A566" s="1">
        <v>46255</v>
      </c>
      <c r="B566" t="s">
        <v>42</v>
      </c>
      <c r="C566" t="s">
        <v>43</v>
      </c>
      <c r="D566" t="s">
        <v>28</v>
      </c>
      <c r="E566" t="s">
        <v>29</v>
      </c>
      <c r="F566" s="2">
        <v>0.37916666666666698</v>
      </c>
      <c r="G566" s="2">
        <v>0.46041666666666697</v>
      </c>
      <c r="H566">
        <v>117</v>
      </c>
      <c r="I566" s="3">
        <v>0.39583333333333298</v>
      </c>
      <c r="J566" s="2">
        <v>0.45833333333333298</v>
      </c>
      <c r="K566">
        <v>90</v>
      </c>
      <c r="L566" s="2">
        <v>0.37916666666666698</v>
      </c>
      <c r="M566" s="2">
        <v>0.45486111111111099</v>
      </c>
      <c r="N566">
        <v>109</v>
      </c>
      <c r="O566" s="2">
        <v>0.4</v>
      </c>
      <c r="P566" s="2">
        <v>0.45</v>
      </c>
      <c r="Q566" s="2">
        <v>0.45486111111111099</v>
      </c>
      <c r="R566">
        <v>109</v>
      </c>
      <c r="S566">
        <v>72</v>
      </c>
      <c r="T566" s="2">
        <v>0.45543981481481499</v>
      </c>
      <c r="U566" s="2">
        <v>0.47847222222222202</v>
      </c>
      <c r="V566">
        <v>34</v>
      </c>
      <c r="W566" s="2">
        <v>0.47916666666666702</v>
      </c>
      <c r="X566" s="2">
        <v>0.51319444444444395</v>
      </c>
      <c r="Y566">
        <v>49</v>
      </c>
    </row>
    <row r="567" spans="1:25" ht="15" customHeight="1" x14ac:dyDescent="0.2">
      <c r="A567" s="1">
        <v>46255</v>
      </c>
      <c r="B567" t="s">
        <v>42</v>
      </c>
      <c r="C567" t="s">
        <v>43</v>
      </c>
      <c r="D567" t="s">
        <v>28</v>
      </c>
      <c r="E567" t="s">
        <v>29</v>
      </c>
      <c r="F567" s="2">
        <v>0.47916666666666702</v>
      </c>
      <c r="G567" s="2">
        <v>0.53819444444444398</v>
      </c>
      <c r="H567">
        <v>85</v>
      </c>
      <c r="I567" s="3">
        <v>0.47916666666666702</v>
      </c>
      <c r="J567" s="2">
        <v>0.53125</v>
      </c>
      <c r="K567">
        <v>75</v>
      </c>
      <c r="L567" s="2">
        <v>0.47916666666666702</v>
      </c>
      <c r="M567" s="2">
        <v>0.53263888888888899</v>
      </c>
      <c r="N567">
        <v>77</v>
      </c>
      <c r="O567" s="2">
        <v>0.49861111111111101</v>
      </c>
      <c r="P567" s="2">
        <v>0.530555555555556</v>
      </c>
      <c r="Q567" s="2">
        <v>0.53263888888888899</v>
      </c>
      <c r="R567">
        <v>77</v>
      </c>
      <c r="S567">
        <v>46</v>
      </c>
      <c r="T567" s="2">
        <v>0.53472222222222199</v>
      </c>
      <c r="U567" s="2">
        <v>0.563194444444444</v>
      </c>
      <c r="V567">
        <v>41</v>
      </c>
      <c r="W567" s="2">
        <v>0.563194444444444</v>
      </c>
      <c r="X567" s="2">
        <v>0.58333333333333304</v>
      </c>
      <c r="Y567">
        <v>29</v>
      </c>
    </row>
    <row r="568" spans="1:25" ht="15" customHeight="1" x14ac:dyDescent="0.2">
      <c r="A568" s="1">
        <v>46255</v>
      </c>
      <c r="B568" t="s">
        <v>42</v>
      </c>
      <c r="C568" t="s">
        <v>43</v>
      </c>
      <c r="D568" t="s">
        <v>28</v>
      </c>
      <c r="E568" t="s">
        <v>29</v>
      </c>
      <c r="F568" s="2">
        <v>0.61736111111111103</v>
      </c>
      <c r="G568" s="2">
        <v>0.67847222222222203</v>
      </c>
      <c r="H568">
        <v>88</v>
      </c>
      <c r="I568" s="3">
        <v>0.625</v>
      </c>
      <c r="J568" s="2">
        <v>0.67708333333333304</v>
      </c>
      <c r="K568">
        <v>75</v>
      </c>
      <c r="L568" s="2">
        <v>0.61736111111111103</v>
      </c>
      <c r="M568" s="2">
        <v>0.67222222222222205</v>
      </c>
      <c r="N568">
        <v>79</v>
      </c>
      <c r="O568" s="2">
        <v>0.63055555555555598</v>
      </c>
      <c r="P568" s="2">
        <v>0.66527777777777797</v>
      </c>
      <c r="Q568" s="2">
        <v>0.67222222222222205</v>
      </c>
      <c r="R568">
        <v>79</v>
      </c>
      <c r="S568">
        <v>50</v>
      </c>
      <c r="T568" s="2">
        <v>0.67361111111111105</v>
      </c>
      <c r="U568" s="2">
        <v>0.69166666666666698</v>
      </c>
      <c r="V568">
        <v>26</v>
      </c>
    </row>
    <row r="569" spans="1:25" ht="15" customHeight="1" x14ac:dyDescent="0.2">
      <c r="A569" s="1">
        <v>46255</v>
      </c>
      <c r="B569" t="s">
        <v>42</v>
      </c>
      <c r="C569" t="s">
        <v>43</v>
      </c>
      <c r="D569" t="s">
        <v>28</v>
      </c>
      <c r="E569" t="s">
        <v>29</v>
      </c>
      <c r="F569" s="2">
        <v>0.55208333333333304</v>
      </c>
      <c r="G569" s="2">
        <v>0.593055555555556</v>
      </c>
      <c r="H569">
        <v>59</v>
      </c>
      <c r="I569" s="3">
        <v>0.55208333333333304</v>
      </c>
      <c r="J569" s="2">
        <v>0.60416666666666696</v>
      </c>
      <c r="K569">
        <v>75</v>
      </c>
      <c r="L569" s="2">
        <v>0.55208333333333304</v>
      </c>
      <c r="M569" s="2">
        <v>0.58750000000000002</v>
      </c>
      <c r="N569">
        <v>51</v>
      </c>
      <c r="O569" s="2">
        <v>0.56458333333333299</v>
      </c>
      <c r="P569" s="2">
        <v>0.58611111111111103</v>
      </c>
      <c r="Q569" s="2">
        <v>0.58750000000000002</v>
      </c>
      <c r="R569">
        <v>51</v>
      </c>
      <c r="S569">
        <v>31</v>
      </c>
      <c r="T569" s="2">
        <v>0.588518518518519</v>
      </c>
      <c r="U569" s="2">
        <v>0.67708333333333304</v>
      </c>
      <c r="V569">
        <v>128</v>
      </c>
      <c r="W569" s="2">
        <v>0.67847222222222203</v>
      </c>
    </row>
    <row r="570" spans="1:25" ht="15" customHeight="1" x14ac:dyDescent="0.2">
      <c r="A570" s="1">
        <v>46255</v>
      </c>
      <c r="B570" t="s">
        <v>42</v>
      </c>
      <c r="C570" t="s">
        <v>43</v>
      </c>
      <c r="D570" t="s">
        <v>28</v>
      </c>
      <c r="E570" t="s">
        <v>31</v>
      </c>
      <c r="F570" s="2">
        <v>0.43472222222222201</v>
      </c>
      <c r="G570" s="2">
        <v>0.46666666666666701</v>
      </c>
      <c r="H570">
        <v>46</v>
      </c>
      <c r="I570" s="3">
        <v>0.39583333333333298</v>
      </c>
      <c r="J570" s="2">
        <v>0.42708333333333298</v>
      </c>
      <c r="K570">
        <v>45</v>
      </c>
      <c r="L570" s="2">
        <v>0.43472222222222201</v>
      </c>
      <c r="M570" s="2">
        <v>0.46319444444444402</v>
      </c>
      <c r="N570">
        <v>41</v>
      </c>
      <c r="O570" s="2">
        <v>0.44444444444444398</v>
      </c>
      <c r="P570" s="2">
        <v>0.45833333333333298</v>
      </c>
      <c r="Q570" s="2">
        <v>0.46319444444444402</v>
      </c>
      <c r="R570">
        <v>41</v>
      </c>
      <c r="S570">
        <v>20</v>
      </c>
      <c r="T570" s="2">
        <v>0.46527777777777801</v>
      </c>
      <c r="U570" s="2">
        <v>0.500694444444444</v>
      </c>
      <c r="V570">
        <v>51</v>
      </c>
    </row>
    <row r="571" spans="1:25" ht="15" customHeight="1" x14ac:dyDescent="0.2">
      <c r="A571" s="1">
        <v>46255</v>
      </c>
      <c r="B571" t="s">
        <v>42</v>
      </c>
      <c r="C571" t="s">
        <v>43</v>
      </c>
      <c r="D571" t="s">
        <v>28</v>
      </c>
      <c r="E571" t="s">
        <v>29</v>
      </c>
      <c r="F571" s="2">
        <v>0.58472222222222203</v>
      </c>
      <c r="G571" s="2">
        <v>0.61875000000000002</v>
      </c>
      <c r="H571">
        <v>49</v>
      </c>
      <c r="I571" s="3">
        <v>0.56597222222222199</v>
      </c>
      <c r="J571" s="2">
        <v>0.59722222222222199</v>
      </c>
      <c r="K571">
        <v>45</v>
      </c>
      <c r="L571" s="2">
        <v>0.58472222222222203</v>
      </c>
      <c r="M571" s="2">
        <v>0.61319444444444404</v>
      </c>
      <c r="N571">
        <v>41</v>
      </c>
      <c r="O571" s="2">
        <v>0.594444444444444</v>
      </c>
      <c r="P571" s="2">
        <v>0.61111111111111105</v>
      </c>
      <c r="Q571" s="2">
        <v>0.61319444444444404</v>
      </c>
      <c r="R571">
        <v>41</v>
      </c>
      <c r="S571">
        <v>24</v>
      </c>
      <c r="T571" s="2">
        <v>0.61458333333333304</v>
      </c>
      <c r="U571" s="2">
        <v>0.67777777777777803</v>
      </c>
      <c r="V571">
        <v>91</v>
      </c>
      <c r="W571" s="2">
        <v>0.67847222222222203</v>
      </c>
      <c r="X571" s="2">
        <v>0.71527777777777801</v>
      </c>
      <c r="Y571">
        <v>53</v>
      </c>
    </row>
    <row r="572" spans="1:25" ht="15" customHeight="1" x14ac:dyDescent="0.2">
      <c r="A572" s="1">
        <v>46255</v>
      </c>
      <c r="B572" t="s">
        <v>42</v>
      </c>
      <c r="C572" t="s">
        <v>43</v>
      </c>
      <c r="D572" t="s">
        <v>28</v>
      </c>
      <c r="E572" t="s">
        <v>35</v>
      </c>
      <c r="F572" s="2">
        <v>0.53819444444444398</v>
      </c>
      <c r="G572" s="2">
        <v>0.56388888888888899</v>
      </c>
      <c r="H572">
        <v>37</v>
      </c>
      <c r="I572" s="3">
        <v>0.52083333333333304</v>
      </c>
      <c r="J572" s="2">
        <v>0.55208333333333304</v>
      </c>
      <c r="K572">
        <v>45</v>
      </c>
      <c r="L572" s="2">
        <v>0.53819444444444398</v>
      </c>
      <c r="M572" s="2">
        <v>0.56111111111111101</v>
      </c>
      <c r="N572">
        <v>33</v>
      </c>
      <c r="O572" s="2">
        <v>0.54722222222222205</v>
      </c>
      <c r="P572" s="2">
        <v>0.55763888888888902</v>
      </c>
      <c r="Q572" s="2">
        <v>0.56111111111111101</v>
      </c>
      <c r="R572">
        <v>33</v>
      </c>
      <c r="S572">
        <v>15</v>
      </c>
      <c r="T572" s="2">
        <v>0.5625</v>
      </c>
      <c r="U572" s="2">
        <v>0.62847222222222199</v>
      </c>
      <c r="V572">
        <v>95</v>
      </c>
      <c r="W572" s="2">
        <v>0.62847222222222199</v>
      </c>
      <c r="X572" s="2">
        <v>0.72083333333333299</v>
      </c>
      <c r="Y572">
        <v>133</v>
      </c>
    </row>
    <row r="573" spans="1:25" ht="15" customHeight="1" x14ac:dyDescent="0.2">
      <c r="A573" s="1">
        <v>46255</v>
      </c>
      <c r="B573" t="s">
        <v>42</v>
      </c>
      <c r="C573" t="s">
        <v>43</v>
      </c>
      <c r="D573" t="s">
        <v>28</v>
      </c>
      <c r="E573" t="s">
        <v>31</v>
      </c>
      <c r="F573" s="2">
        <v>0.31666666666666698</v>
      </c>
      <c r="G573" s="2">
        <v>0.422916666666667</v>
      </c>
      <c r="H573">
        <v>153</v>
      </c>
      <c r="I573" s="3">
        <v>0.3125</v>
      </c>
      <c r="J573" s="2">
        <v>0.36458333333333298</v>
      </c>
      <c r="K573">
        <v>75</v>
      </c>
      <c r="L573" s="2">
        <v>0.31666666666666698</v>
      </c>
      <c r="M573" s="2">
        <v>0.41944444444444401</v>
      </c>
      <c r="N573">
        <v>148</v>
      </c>
      <c r="O573" s="2">
        <v>0.33472222222222198</v>
      </c>
      <c r="P573" s="2">
        <v>0.41805555555555601</v>
      </c>
      <c r="Q573" s="2">
        <v>0.41944444444444401</v>
      </c>
      <c r="R573">
        <v>148</v>
      </c>
      <c r="S573">
        <v>120</v>
      </c>
      <c r="T573" s="2">
        <v>0.420833333333333</v>
      </c>
      <c r="U573" s="2">
        <v>0.45555555555555599</v>
      </c>
      <c r="V573">
        <v>50</v>
      </c>
    </row>
    <row r="574" spans="1:25" ht="15" customHeight="1" x14ac:dyDescent="0.2">
      <c r="A574" s="1">
        <v>46255</v>
      </c>
      <c r="B574" t="s">
        <v>42</v>
      </c>
      <c r="C574" t="s">
        <v>43</v>
      </c>
      <c r="D574" t="s">
        <v>28</v>
      </c>
      <c r="E574" t="s">
        <v>29</v>
      </c>
      <c r="F574" s="2">
        <v>0.485416666666667</v>
      </c>
      <c r="G574" s="2">
        <v>0.52708333333333302</v>
      </c>
      <c r="H574">
        <v>60</v>
      </c>
      <c r="I574" s="3">
        <v>0.49305555555555602</v>
      </c>
      <c r="J574" s="2">
        <v>0.52430555555555602</v>
      </c>
      <c r="K574">
        <v>45</v>
      </c>
      <c r="L574" s="2">
        <v>0.485416666666667</v>
      </c>
      <c r="M574" s="2">
        <v>0.52430555555555602</v>
      </c>
      <c r="N574">
        <v>56</v>
      </c>
      <c r="O574" s="2">
        <v>0.49444444444444402</v>
      </c>
      <c r="P574" s="2">
        <v>0.51319444444444395</v>
      </c>
      <c r="Q574" s="2">
        <v>0.52430555555555602</v>
      </c>
      <c r="R574">
        <v>56</v>
      </c>
      <c r="S574">
        <v>27</v>
      </c>
      <c r="T574" s="2">
        <v>0.52571759259259299</v>
      </c>
      <c r="U574" s="2">
        <v>0.5625</v>
      </c>
      <c r="V574">
        <v>53</v>
      </c>
      <c r="W574" s="2">
        <v>0.563194444444444</v>
      </c>
      <c r="X574" s="2">
        <v>0.61805555555555602</v>
      </c>
      <c r="Y574">
        <v>79</v>
      </c>
    </row>
    <row r="575" spans="1:25" ht="15" customHeight="1" x14ac:dyDescent="0.2">
      <c r="A575" s="1">
        <v>46255</v>
      </c>
      <c r="B575" t="s">
        <v>42</v>
      </c>
      <c r="C575" t="s">
        <v>43</v>
      </c>
      <c r="D575" t="s">
        <v>28</v>
      </c>
      <c r="E575" t="s">
        <v>31</v>
      </c>
      <c r="F575" s="2">
        <v>0.45833333333333298</v>
      </c>
      <c r="G575" s="2">
        <v>0.52638888888888902</v>
      </c>
      <c r="H575">
        <v>98</v>
      </c>
      <c r="I575" s="3">
        <v>0.4375</v>
      </c>
      <c r="J575" s="2">
        <v>0.5</v>
      </c>
      <c r="K575">
        <v>90</v>
      </c>
      <c r="L575" s="2">
        <v>0.45555555555555599</v>
      </c>
      <c r="M575" s="2">
        <v>0.52430555555555602</v>
      </c>
      <c r="N575">
        <v>99</v>
      </c>
      <c r="O575" s="2">
        <v>0.47291666666666698</v>
      </c>
      <c r="P575" s="2">
        <v>0.51736111111111105</v>
      </c>
      <c r="Q575" s="2">
        <v>0.52430555555555602</v>
      </c>
      <c r="R575">
        <v>99</v>
      </c>
      <c r="S575">
        <v>64</v>
      </c>
      <c r="T575" s="2">
        <v>0.52569444444444402</v>
      </c>
      <c r="U575" s="2">
        <v>0.63888888888888895</v>
      </c>
      <c r="V575">
        <v>163</v>
      </c>
      <c r="W575" s="2">
        <v>0.63888888888888895</v>
      </c>
      <c r="X575" s="2">
        <v>0.68402777777777801</v>
      </c>
      <c r="Y575">
        <v>65</v>
      </c>
    </row>
    <row r="576" spans="1:25" ht="15" customHeight="1" x14ac:dyDescent="0.2">
      <c r="A576" s="1">
        <v>46255</v>
      </c>
      <c r="B576" t="s">
        <v>42</v>
      </c>
      <c r="C576" t="s">
        <v>43</v>
      </c>
      <c r="D576" t="s">
        <v>34</v>
      </c>
      <c r="E576" t="s">
        <v>31</v>
      </c>
      <c r="F576" s="2">
        <v>0.31041666666666701</v>
      </c>
      <c r="G576" s="2">
        <v>0.41597222222222202</v>
      </c>
      <c r="H576">
        <v>152</v>
      </c>
      <c r="I576" s="3">
        <v>0.3125</v>
      </c>
      <c r="J576" s="2">
        <v>0.40625</v>
      </c>
      <c r="K576">
        <v>135</v>
      </c>
      <c r="L576" s="2">
        <v>0.30972222222222201</v>
      </c>
      <c r="M576" s="2">
        <v>0.41319444444444398</v>
      </c>
      <c r="N576">
        <v>149</v>
      </c>
      <c r="O576" s="2">
        <v>0.33680555555555602</v>
      </c>
      <c r="P576" s="2">
        <v>0.39583333333333298</v>
      </c>
      <c r="Q576" s="2">
        <v>0.41319444444444398</v>
      </c>
      <c r="R576">
        <v>149</v>
      </c>
      <c r="S576">
        <v>85</v>
      </c>
      <c r="T576" s="2">
        <v>0.41408564814814802</v>
      </c>
      <c r="U576" s="2">
        <v>0.44444444444444398</v>
      </c>
      <c r="V576">
        <v>44</v>
      </c>
    </row>
    <row r="577" spans="1:25" ht="15" customHeight="1" x14ac:dyDescent="0.2">
      <c r="A577" s="1">
        <v>46255</v>
      </c>
      <c r="B577" t="s">
        <v>42</v>
      </c>
      <c r="C577" t="s">
        <v>43</v>
      </c>
      <c r="D577" t="s">
        <v>28</v>
      </c>
      <c r="E577" t="s">
        <v>31</v>
      </c>
      <c r="F577" s="2">
        <v>0.68194444444444402</v>
      </c>
      <c r="G577" s="2">
        <v>0.75138888888888899</v>
      </c>
      <c r="H577">
        <v>100</v>
      </c>
      <c r="I577" s="3">
        <v>0.6875</v>
      </c>
      <c r="J577" s="2">
        <v>0.75</v>
      </c>
      <c r="K577">
        <v>90</v>
      </c>
      <c r="L577" s="2">
        <v>0.68194444444444402</v>
      </c>
      <c r="M577" s="2">
        <v>0.74722222222222201</v>
      </c>
      <c r="N577">
        <v>94</v>
      </c>
      <c r="O577" s="2">
        <v>0.69444444444444398</v>
      </c>
      <c r="P577" s="2">
        <v>0.74097222222222203</v>
      </c>
      <c r="Q577" s="2">
        <v>0.74722222222222201</v>
      </c>
      <c r="R577">
        <v>94</v>
      </c>
      <c r="S577">
        <v>67</v>
      </c>
      <c r="T577" s="2">
        <v>0.75113425925925903</v>
      </c>
      <c r="W577" s="2">
        <v>0.79305555555555596</v>
      </c>
      <c r="X577" s="2">
        <v>0.86805555555555602</v>
      </c>
      <c r="Y577">
        <v>108</v>
      </c>
    </row>
    <row r="578" spans="1:25" ht="15" customHeight="1" x14ac:dyDescent="0.2">
      <c r="A578" s="1">
        <v>46255</v>
      </c>
      <c r="B578" t="s">
        <v>42</v>
      </c>
      <c r="C578" t="s">
        <v>43</v>
      </c>
      <c r="D578" t="s">
        <v>28</v>
      </c>
      <c r="E578" t="s">
        <v>29</v>
      </c>
      <c r="F578" s="2">
        <v>0.54444444444444395</v>
      </c>
      <c r="G578" s="2">
        <v>0.57291666666666696</v>
      </c>
      <c r="H578">
        <v>41</v>
      </c>
      <c r="I578" s="3">
        <v>0.53125</v>
      </c>
      <c r="J578" s="2">
        <v>0.5625</v>
      </c>
      <c r="K578">
        <v>45</v>
      </c>
      <c r="L578" s="2">
        <v>0.54444444444444395</v>
      </c>
      <c r="M578" s="2">
        <v>0.56805555555555598</v>
      </c>
      <c r="N578">
        <v>34</v>
      </c>
      <c r="O578" s="2">
        <v>0.55347222222222203</v>
      </c>
      <c r="P578" s="2">
        <v>0.56458333333333299</v>
      </c>
      <c r="Q578" s="2">
        <v>0.56805555555555598</v>
      </c>
      <c r="R578">
        <v>34</v>
      </c>
      <c r="S578">
        <v>16</v>
      </c>
      <c r="T578" s="2">
        <v>0.57083333333333297</v>
      </c>
      <c r="U578" s="2">
        <v>0.61388888888888904</v>
      </c>
      <c r="V578">
        <v>62</v>
      </c>
      <c r="W578" s="2">
        <v>0.61458333333333304</v>
      </c>
      <c r="X578" s="2">
        <v>0.64166666666666705</v>
      </c>
      <c r="Y578">
        <v>39</v>
      </c>
    </row>
    <row r="579" spans="1:25" ht="15" customHeight="1" x14ac:dyDescent="0.2">
      <c r="A579" s="1">
        <v>46255</v>
      </c>
      <c r="B579" t="s">
        <v>42</v>
      </c>
      <c r="C579" t="s">
        <v>43</v>
      </c>
      <c r="D579" t="s">
        <v>28</v>
      </c>
      <c r="E579" t="s">
        <v>31</v>
      </c>
      <c r="F579" s="2">
        <v>0.59652777777777799</v>
      </c>
      <c r="G579" s="2">
        <v>0.64652777777777803</v>
      </c>
      <c r="H579">
        <v>72</v>
      </c>
      <c r="I579" s="3">
        <v>0.58333333333333304</v>
      </c>
      <c r="J579" s="2">
        <v>0.625</v>
      </c>
      <c r="K579">
        <v>60</v>
      </c>
      <c r="L579" s="2">
        <v>0.59652777777777799</v>
      </c>
      <c r="M579" s="2">
        <v>0.64097222222222205</v>
      </c>
      <c r="N579">
        <v>64</v>
      </c>
      <c r="O579" s="2">
        <v>0.61458333333333304</v>
      </c>
      <c r="P579" s="2">
        <v>0.63749999999999996</v>
      </c>
      <c r="Q579" s="2">
        <v>0.64097222222222205</v>
      </c>
      <c r="R579">
        <v>64</v>
      </c>
      <c r="S579">
        <v>33</v>
      </c>
      <c r="T579" s="2">
        <v>0.64375000000000004</v>
      </c>
      <c r="U579" s="2">
        <v>0.72222222222222199</v>
      </c>
      <c r="V579">
        <v>113</v>
      </c>
      <c r="W579" s="2">
        <v>0.72222222222222199</v>
      </c>
      <c r="X579" s="2">
        <v>0.77777777777777801</v>
      </c>
      <c r="Y579">
        <v>80</v>
      </c>
    </row>
    <row r="580" spans="1:25" ht="15" customHeight="1" x14ac:dyDescent="0.2">
      <c r="A580" s="1">
        <v>46255</v>
      </c>
      <c r="B580" t="s">
        <v>42</v>
      </c>
      <c r="C580" t="s">
        <v>43</v>
      </c>
      <c r="D580" t="s">
        <v>28</v>
      </c>
      <c r="E580" t="s">
        <v>31</v>
      </c>
      <c r="F580" s="2">
        <v>0.66944444444444395</v>
      </c>
      <c r="G580" s="2">
        <v>0.73888888888888904</v>
      </c>
      <c r="H580">
        <v>100</v>
      </c>
      <c r="I580" s="3">
        <v>0.64583333333333304</v>
      </c>
      <c r="J580" s="2">
        <v>0.6875</v>
      </c>
      <c r="K580">
        <v>60</v>
      </c>
      <c r="L580" s="2">
        <v>0.66944444444444395</v>
      </c>
      <c r="M580" s="2">
        <v>0.73263888888888895</v>
      </c>
      <c r="N580">
        <v>91</v>
      </c>
      <c r="O580" s="2">
        <v>0.6875</v>
      </c>
      <c r="P580" s="2">
        <v>0.73055555555555596</v>
      </c>
      <c r="Q580" s="2">
        <v>0.73263888888888895</v>
      </c>
      <c r="R580">
        <v>91</v>
      </c>
      <c r="S580">
        <v>62</v>
      </c>
      <c r="T580" s="2">
        <v>0.73958333333333304</v>
      </c>
      <c r="U580" s="2">
        <v>0.76398148148148104</v>
      </c>
      <c r="V580">
        <v>35</v>
      </c>
      <c r="W580" s="2">
        <v>0.76400462962963001</v>
      </c>
      <c r="X580" s="2">
        <v>0.80555555555555602</v>
      </c>
      <c r="Y580">
        <v>60</v>
      </c>
    </row>
    <row r="581" spans="1:25" ht="15" customHeight="1" x14ac:dyDescent="0.2">
      <c r="A581" s="1">
        <v>46255</v>
      </c>
      <c r="B581" t="s">
        <v>26</v>
      </c>
      <c r="C581" t="s">
        <v>27</v>
      </c>
      <c r="D581" t="s">
        <v>28</v>
      </c>
      <c r="E581" t="s">
        <v>29</v>
      </c>
      <c r="F581" s="2">
        <v>0.52847222222222201</v>
      </c>
      <c r="G581" s="2">
        <v>0.63402777777777797</v>
      </c>
      <c r="H581">
        <v>152</v>
      </c>
      <c r="I581" s="3">
        <v>0.5</v>
      </c>
      <c r="J581" s="2">
        <v>0.625</v>
      </c>
      <c r="K581">
        <v>180</v>
      </c>
      <c r="L581" s="2">
        <v>0.52847222222222201</v>
      </c>
      <c r="M581" s="2">
        <v>0.62777777777777799</v>
      </c>
      <c r="N581">
        <v>143</v>
      </c>
      <c r="O581" s="2">
        <v>0.54791666666666705</v>
      </c>
      <c r="P581" s="2">
        <v>0.62222222222222201</v>
      </c>
      <c r="Q581" s="2">
        <v>0.62777777777777799</v>
      </c>
      <c r="R581">
        <v>143</v>
      </c>
      <c r="S581">
        <v>107</v>
      </c>
      <c r="T581" s="2">
        <v>0.62916666666666698</v>
      </c>
      <c r="U581" s="2">
        <v>0.71875</v>
      </c>
      <c r="V581">
        <v>129</v>
      </c>
    </row>
    <row r="582" spans="1:25" ht="15" customHeight="1" x14ac:dyDescent="0.2">
      <c r="A582" s="1">
        <v>46255</v>
      </c>
      <c r="B582" t="s">
        <v>26</v>
      </c>
      <c r="C582" t="s">
        <v>27</v>
      </c>
      <c r="D582" t="s">
        <v>34</v>
      </c>
      <c r="E582" t="s">
        <v>29</v>
      </c>
      <c r="F582" s="2">
        <v>0.60972222222222205</v>
      </c>
      <c r="G582" s="2">
        <v>0.72986111111111096</v>
      </c>
      <c r="H582">
        <v>173</v>
      </c>
      <c r="I582" s="3">
        <v>0.60416666666666696</v>
      </c>
      <c r="J582" s="2">
        <v>0.72916666666666696</v>
      </c>
      <c r="K582">
        <v>180</v>
      </c>
      <c r="L582" s="2">
        <v>0.60972222222222205</v>
      </c>
      <c r="M582" s="2">
        <v>0.72708333333333297</v>
      </c>
      <c r="N582">
        <v>169</v>
      </c>
      <c r="O582" s="2">
        <v>0.65138888888888902</v>
      </c>
      <c r="P582" s="2">
        <v>0.72013888888888899</v>
      </c>
      <c r="Q582" s="2">
        <v>0.72708333333333297</v>
      </c>
      <c r="R582">
        <v>169</v>
      </c>
      <c r="S582">
        <v>99</v>
      </c>
      <c r="T582" s="2">
        <v>0.72916666666666696</v>
      </c>
      <c r="U582" s="2">
        <v>0.76666666666666705</v>
      </c>
      <c r="V582">
        <v>54</v>
      </c>
    </row>
    <row r="583" spans="1:25" ht="15" customHeight="1" x14ac:dyDescent="0.2">
      <c r="A583" s="1">
        <v>46255</v>
      </c>
      <c r="B583" t="s">
        <v>26</v>
      </c>
      <c r="C583" t="s">
        <v>27</v>
      </c>
      <c r="D583" t="s">
        <v>28</v>
      </c>
      <c r="E583" t="s">
        <v>36</v>
      </c>
      <c r="F583" s="2">
        <v>0.32569444444444401</v>
      </c>
      <c r="G583" s="2">
        <v>0.49305555555555602</v>
      </c>
      <c r="H583">
        <v>241</v>
      </c>
      <c r="I583" s="3">
        <v>0.3125</v>
      </c>
      <c r="J583" s="2">
        <v>0.47916666666666702</v>
      </c>
      <c r="K583">
        <v>240</v>
      </c>
      <c r="L583" s="2">
        <v>0.32569444444444401</v>
      </c>
      <c r="M583" s="2">
        <v>0.48680555555555599</v>
      </c>
      <c r="N583">
        <v>232</v>
      </c>
      <c r="O583" s="2">
        <v>0.36944444444444402</v>
      </c>
      <c r="P583" s="2">
        <v>0.48125000000000001</v>
      </c>
      <c r="Q583" s="2">
        <v>0.48680555555555599</v>
      </c>
      <c r="R583">
        <v>232</v>
      </c>
      <c r="S583">
        <v>161</v>
      </c>
      <c r="T583" s="2">
        <v>0.48819444444444399</v>
      </c>
      <c r="U583" s="2">
        <v>0.52083333333333304</v>
      </c>
      <c r="V583">
        <v>47</v>
      </c>
    </row>
    <row r="584" spans="1:25" ht="15" customHeight="1" x14ac:dyDescent="0.2">
      <c r="A584" s="1">
        <v>46255</v>
      </c>
      <c r="B584" t="s">
        <v>42</v>
      </c>
      <c r="C584" t="s">
        <v>43</v>
      </c>
      <c r="D584" t="s">
        <v>34</v>
      </c>
      <c r="E584" t="s">
        <v>31</v>
      </c>
      <c r="F584" s="2">
        <v>0.31597222222222199</v>
      </c>
      <c r="G584" s="2">
        <v>0.44166666666666698</v>
      </c>
      <c r="H584">
        <v>181</v>
      </c>
      <c r="I584" s="3">
        <v>0.3125</v>
      </c>
      <c r="J584" s="2">
        <v>0.41666666666666702</v>
      </c>
      <c r="K584">
        <v>150</v>
      </c>
      <c r="L584" s="2">
        <v>0.31597222222222199</v>
      </c>
      <c r="M584" s="2">
        <v>0.4375</v>
      </c>
      <c r="N584">
        <v>175</v>
      </c>
      <c r="O584" s="2">
        <v>0.33680555555555602</v>
      </c>
      <c r="P584" s="2">
        <v>0.43194444444444402</v>
      </c>
      <c r="Q584" s="2">
        <v>0.4375</v>
      </c>
      <c r="R584">
        <v>175</v>
      </c>
      <c r="S584">
        <v>137</v>
      </c>
      <c r="T584" s="2">
        <v>0.43958333333333299</v>
      </c>
      <c r="U584" s="2">
        <v>0.49305555555555602</v>
      </c>
      <c r="V584">
        <v>77</v>
      </c>
      <c r="W584" s="2">
        <v>0.49305555555555602</v>
      </c>
      <c r="X584" s="2">
        <v>0.53125</v>
      </c>
      <c r="Y584">
        <v>55</v>
      </c>
    </row>
    <row r="585" spans="1:25" ht="15" customHeight="1" x14ac:dyDescent="0.2">
      <c r="A585" s="1">
        <v>46255</v>
      </c>
      <c r="B585" t="s">
        <v>26</v>
      </c>
      <c r="C585" t="s">
        <v>27</v>
      </c>
      <c r="D585" t="s">
        <v>28</v>
      </c>
      <c r="E585" t="s">
        <v>29</v>
      </c>
      <c r="F585" s="2">
        <v>0.65625</v>
      </c>
      <c r="G585" s="2">
        <v>0.74027777777777803</v>
      </c>
      <c r="H585">
        <v>121</v>
      </c>
      <c r="I585" s="3">
        <v>0.64583333333333304</v>
      </c>
      <c r="J585" s="2">
        <v>0.70833333333333304</v>
      </c>
      <c r="K585">
        <v>90</v>
      </c>
      <c r="L585" s="2">
        <v>0.65625</v>
      </c>
      <c r="M585" s="2">
        <v>0.73402777777777795</v>
      </c>
      <c r="N585">
        <v>112</v>
      </c>
      <c r="O585" s="2">
        <v>0.67638888888888904</v>
      </c>
      <c r="P585" s="2">
        <v>0.72986111111111096</v>
      </c>
      <c r="Q585" s="2">
        <v>0.73402777777777795</v>
      </c>
      <c r="R585">
        <v>112</v>
      </c>
      <c r="S585">
        <v>77</v>
      </c>
      <c r="T585" s="2">
        <v>0.73611111111111105</v>
      </c>
      <c r="U585" s="2">
        <v>0.76319444444444395</v>
      </c>
      <c r="V585">
        <v>39</v>
      </c>
    </row>
    <row r="586" spans="1:25" ht="15" customHeight="1" x14ac:dyDescent="0.2">
      <c r="A586" s="1">
        <v>46255</v>
      </c>
      <c r="B586" t="s">
        <v>26</v>
      </c>
      <c r="C586" t="s">
        <v>27</v>
      </c>
      <c r="D586" t="s">
        <v>28</v>
      </c>
      <c r="E586" t="s">
        <v>31</v>
      </c>
      <c r="F586" s="2">
        <v>0.42847222222222198</v>
      </c>
      <c r="G586" s="2">
        <v>0.46666666666666701</v>
      </c>
      <c r="H586">
        <v>55</v>
      </c>
      <c r="I586" s="3">
        <v>0.42708333333333298</v>
      </c>
      <c r="J586" s="2">
        <v>0.46875</v>
      </c>
      <c r="K586">
        <v>60</v>
      </c>
      <c r="L586" s="2">
        <v>0.42847222222222198</v>
      </c>
      <c r="M586" s="2">
        <v>0.46527777777777801</v>
      </c>
      <c r="N586">
        <v>53</v>
      </c>
      <c r="O586" s="2">
        <v>0.44583333333333303</v>
      </c>
      <c r="P586" s="2">
        <v>0.46041666666666697</v>
      </c>
      <c r="Q586" s="2">
        <v>0.46527777777777801</v>
      </c>
      <c r="R586">
        <v>53</v>
      </c>
      <c r="S586">
        <v>21</v>
      </c>
      <c r="T586" s="2">
        <v>0.466284722222222</v>
      </c>
      <c r="U586" s="2">
        <v>0.507314814814815</v>
      </c>
      <c r="V586">
        <v>59</v>
      </c>
    </row>
    <row r="587" spans="1:25" ht="15" customHeight="1" x14ac:dyDescent="0.2">
      <c r="A587" s="1">
        <v>46255</v>
      </c>
      <c r="B587" t="s">
        <v>26</v>
      </c>
      <c r="C587" t="s">
        <v>27</v>
      </c>
      <c r="D587" t="s">
        <v>34</v>
      </c>
      <c r="E587" t="s">
        <v>36</v>
      </c>
      <c r="F587" s="2">
        <v>0.53958333333333297</v>
      </c>
      <c r="G587" s="2">
        <v>0.64722222222222203</v>
      </c>
      <c r="H587">
        <v>155</v>
      </c>
      <c r="I587" s="3">
        <v>0.52083333333333304</v>
      </c>
      <c r="J587" s="2">
        <v>0.60416666666666696</v>
      </c>
      <c r="K587">
        <v>120</v>
      </c>
      <c r="L587" s="2">
        <v>0.53958333333333297</v>
      </c>
      <c r="M587" s="2">
        <v>0.64027777777777795</v>
      </c>
      <c r="N587">
        <v>145</v>
      </c>
      <c r="O587" s="2">
        <v>0.57361111111111096</v>
      </c>
      <c r="P587" s="2">
        <v>0.63819444444444395</v>
      </c>
      <c r="Q587" s="2">
        <v>0.64027777777777795</v>
      </c>
      <c r="R587">
        <v>145</v>
      </c>
      <c r="S587">
        <v>93</v>
      </c>
      <c r="T587" s="2">
        <v>0.64138888888888901</v>
      </c>
      <c r="U587" s="2">
        <v>0.70902777777777803</v>
      </c>
      <c r="V587">
        <v>98</v>
      </c>
    </row>
    <row r="588" spans="1:25" ht="15" customHeight="1" x14ac:dyDescent="0.2">
      <c r="A588" s="1">
        <v>46255</v>
      </c>
      <c r="B588" t="s">
        <v>26</v>
      </c>
      <c r="C588" t="s">
        <v>27</v>
      </c>
      <c r="D588" t="s">
        <v>34</v>
      </c>
      <c r="E588" t="s">
        <v>29</v>
      </c>
      <c r="F588" s="2">
        <v>0.65763888888888899</v>
      </c>
      <c r="G588" s="2">
        <v>0.73194444444444395</v>
      </c>
      <c r="H588">
        <v>107</v>
      </c>
      <c r="I588" s="3">
        <v>0.60416666666666696</v>
      </c>
      <c r="J588" s="2">
        <v>0.67361111111111105</v>
      </c>
      <c r="K588">
        <v>130</v>
      </c>
      <c r="L588" s="2">
        <v>0.65763888888888899</v>
      </c>
      <c r="M588" s="2">
        <v>0.72499999999999998</v>
      </c>
      <c r="N588">
        <v>97</v>
      </c>
      <c r="O588" s="2">
        <v>0.68541666666666701</v>
      </c>
      <c r="P588" s="2">
        <v>0.71111111111111103</v>
      </c>
      <c r="Q588" s="2">
        <v>0.72499999999999998</v>
      </c>
      <c r="R588">
        <v>97</v>
      </c>
      <c r="S588">
        <v>37</v>
      </c>
      <c r="T588" s="2">
        <v>0.72597222222222202</v>
      </c>
      <c r="U588" s="2">
        <v>0.781944444444444</v>
      </c>
      <c r="V588">
        <v>81</v>
      </c>
    </row>
    <row r="589" spans="1:25" ht="15" customHeight="1" x14ac:dyDescent="0.2">
      <c r="A589" s="1">
        <v>46255</v>
      </c>
      <c r="B589" t="s">
        <v>26</v>
      </c>
      <c r="C589" t="s">
        <v>27</v>
      </c>
      <c r="D589" t="s">
        <v>28</v>
      </c>
      <c r="E589" t="s">
        <v>29</v>
      </c>
      <c r="F589" s="2">
        <v>0.72083333333333299</v>
      </c>
      <c r="G589" s="2">
        <v>0.76458333333333295</v>
      </c>
      <c r="H589">
        <v>63</v>
      </c>
      <c r="I589" s="3">
        <v>0.69444444444444398</v>
      </c>
      <c r="J589" s="2">
        <v>0.73263888888888895</v>
      </c>
      <c r="K589">
        <v>85</v>
      </c>
      <c r="L589" s="2">
        <v>0.72083333333333299</v>
      </c>
      <c r="M589" s="2">
        <v>0.75902777777777797</v>
      </c>
      <c r="N589">
        <v>55</v>
      </c>
      <c r="O589" s="2">
        <v>0.73680555555555605</v>
      </c>
      <c r="P589" s="2">
        <v>0.75624999999999998</v>
      </c>
      <c r="Q589" s="2">
        <v>0.75902777777777797</v>
      </c>
      <c r="R589">
        <v>55</v>
      </c>
      <c r="S589">
        <v>28</v>
      </c>
      <c r="T589" s="2">
        <v>0.76041666666666696</v>
      </c>
      <c r="U589" s="2">
        <v>0.78125</v>
      </c>
      <c r="V589">
        <v>30</v>
      </c>
    </row>
    <row r="590" spans="1:25" ht="15" customHeight="1" x14ac:dyDescent="0.2">
      <c r="A590" s="1">
        <v>46255</v>
      </c>
      <c r="B590" t="s">
        <v>42</v>
      </c>
      <c r="C590" t="s">
        <v>43</v>
      </c>
      <c r="D590" t="s">
        <v>28</v>
      </c>
      <c r="E590" t="s">
        <v>31</v>
      </c>
      <c r="F590" s="2">
        <v>0.47916666666666702</v>
      </c>
      <c r="G590" s="2">
        <v>0.54027777777777797</v>
      </c>
      <c r="H590">
        <v>88</v>
      </c>
      <c r="I590" s="3">
        <v>0.4375</v>
      </c>
      <c r="J590" s="2">
        <v>0.51041666666666696</v>
      </c>
      <c r="K590">
        <v>135</v>
      </c>
      <c r="L590" s="2">
        <v>0.47916666666666702</v>
      </c>
      <c r="M590" s="2">
        <v>0.53680555555555598</v>
      </c>
      <c r="N590">
        <v>83</v>
      </c>
      <c r="O590" s="2">
        <v>0.49444444444444402</v>
      </c>
      <c r="P590" s="2">
        <v>0.53333333333333299</v>
      </c>
      <c r="Q590" s="2">
        <v>0.53680555555555598</v>
      </c>
      <c r="R590">
        <v>83</v>
      </c>
      <c r="S590">
        <v>56</v>
      </c>
      <c r="T590" s="2">
        <v>0.53870370370370402</v>
      </c>
      <c r="U590" s="2">
        <v>0.563194444444444</v>
      </c>
      <c r="V590">
        <v>36</v>
      </c>
    </row>
    <row r="591" spans="1:25" ht="15" customHeight="1" x14ac:dyDescent="0.2">
      <c r="A591" s="1">
        <v>46255</v>
      </c>
      <c r="B591" t="s">
        <v>26</v>
      </c>
      <c r="C591" t="s">
        <v>27</v>
      </c>
      <c r="D591" t="s">
        <v>28</v>
      </c>
      <c r="E591" t="s">
        <v>29</v>
      </c>
      <c r="F591" s="2">
        <v>0.77361111111111103</v>
      </c>
      <c r="G591" s="2">
        <v>0.85555555555555596</v>
      </c>
      <c r="H591">
        <v>118</v>
      </c>
      <c r="I591" s="3">
        <v>0.77083333333333304</v>
      </c>
      <c r="J591" s="2">
        <v>0.85069444444444398</v>
      </c>
      <c r="K591">
        <v>145</v>
      </c>
      <c r="L591" s="2">
        <v>0.77361111111111103</v>
      </c>
      <c r="M591" s="2">
        <v>0.84861111111111098</v>
      </c>
      <c r="N591">
        <v>108</v>
      </c>
      <c r="O591" s="2">
        <v>0.78541666666666698</v>
      </c>
      <c r="P591" s="2">
        <v>0.84652777777777799</v>
      </c>
      <c r="Q591" s="2">
        <v>0.84861111111111098</v>
      </c>
      <c r="R591">
        <v>108</v>
      </c>
      <c r="S591">
        <v>88</v>
      </c>
      <c r="T591" s="2">
        <v>0.85024305555555602</v>
      </c>
      <c r="U591" s="2">
        <v>0.875694444444444</v>
      </c>
      <c r="V591">
        <v>37</v>
      </c>
    </row>
    <row r="592" spans="1:25" ht="15" customHeight="1" x14ac:dyDescent="0.2">
      <c r="A592" s="1">
        <v>46255</v>
      </c>
      <c r="B592" t="s">
        <v>26</v>
      </c>
      <c r="C592" t="s">
        <v>27</v>
      </c>
      <c r="D592" t="s">
        <v>28</v>
      </c>
      <c r="E592" t="s">
        <v>29</v>
      </c>
      <c r="F592" s="2">
        <v>0.57847222222222205</v>
      </c>
      <c r="G592" s="2">
        <v>0.67222222222222205</v>
      </c>
      <c r="H592">
        <v>135</v>
      </c>
      <c r="I592" s="3">
        <v>0.55555555555555602</v>
      </c>
      <c r="J592" s="2">
        <v>0.61805555555555602</v>
      </c>
      <c r="K592">
        <v>90</v>
      </c>
      <c r="L592" s="2">
        <v>0.57847222222222205</v>
      </c>
      <c r="M592" s="2">
        <v>0.66944444444444395</v>
      </c>
      <c r="N592">
        <v>131</v>
      </c>
      <c r="O592" s="2">
        <v>0.59652777777777799</v>
      </c>
      <c r="P592" s="2">
        <v>0.66527777777777797</v>
      </c>
      <c r="Q592" s="2">
        <v>0.66944444444444395</v>
      </c>
      <c r="R592">
        <v>131</v>
      </c>
      <c r="S592">
        <v>99</v>
      </c>
      <c r="T592" s="2">
        <v>0.672835648148148</v>
      </c>
      <c r="U592" s="2">
        <v>0.70833333333333304</v>
      </c>
      <c r="V592">
        <v>52</v>
      </c>
    </row>
    <row r="593" spans="1:25" ht="15" customHeight="1" x14ac:dyDescent="0.2">
      <c r="A593" s="1">
        <v>46255</v>
      </c>
      <c r="B593" t="s">
        <v>26</v>
      </c>
      <c r="C593" t="s">
        <v>27</v>
      </c>
      <c r="D593" t="s">
        <v>28</v>
      </c>
      <c r="E593" t="s">
        <v>29</v>
      </c>
      <c r="F593" s="2">
        <v>0.66041666666666698</v>
      </c>
      <c r="G593" s="2">
        <v>0.69027777777777799</v>
      </c>
      <c r="H593">
        <v>43</v>
      </c>
      <c r="I593" s="3">
        <v>0.64583333333333304</v>
      </c>
      <c r="J593" s="2">
        <v>0.69097222222222199</v>
      </c>
      <c r="K593">
        <v>95</v>
      </c>
      <c r="L593" s="2">
        <v>0.66041666666666698</v>
      </c>
      <c r="M593" s="2">
        <v>0.68611111111111101</v>
      </c>
      <c r="N593">
        <v>37</v>
      </c>
      <c r="O593" s="2">
        <v>0.67291666666666705</v>
      </c>
      <c r="P593" s="2">
        <v>0.68402777777777801</v>
      </c>
      <c r="Q593" s="2">
        <v>0.68611111111111101</v>
      </c>
      <c r="R593">
        <v>37</v>
      </c>
      <c r="S593">
        <v>16</v>
      </c>
      <c r="T593" s="2">
        <v>0.68736111111111098</v>
      </c>
      <c r="U593" s="2">
        <v>0.71597222222222201</v>
      </c>
      <c r="V593">
        <v>42</v>
      </c>
    </row>
    <row r="594" spans="1:25" ht="15" customHeight="1" x14ac:dyDescent="0.2">
      <c r="A594" s="1">
        <v>46255</v>
      </c>
      <c r="B594" t="s">
        <v>42</v>
      </c>
      <c r="C594" t="s">
        <v>43</v>
      </c>
      <c r="D594" t="s">
        <v>28</v>
      </c>
      <c r="E594" t="s">
        <v>29</v>
      </c>
      <c r="F594" s="2">
        <v>0.69652777777777797</v>
      </c>
      <c r="G594" s="2">
        <v>0.780555555555556</v>
      </c>
      <c r="H594">
        <v>121</v>
      </c>
      <c r="I594" s="3">
        <v>0.64236111111111105</v>
      </c>
      <c r="J594" s="2">
        <v>0.72222222222222199</v>
      </c>
      <c r="K594">
        <v>145</v>
      </c>
      <c r="L594" s="2">
        <v>0.69652777777777797</v>
      </c>
      <c r="M594" s="2">
        <v>0.77361111111111103</v>
      </c>
      <c r="N594">
        <v>111</v>
      </c>
      <c r="O594" s="2">
        <v>0.70694444444444404</v>
      </c>
      <c r="P594" s="2">
        <v>0.77083333333333304</v>
      </c>
      <c r="Q594" s="2">
        <v>0.77361111111111103</v>
      </c>
      <c r="R594">
        <v>111</v>
      </c>
      <c r="S594">
        <v>92</v>
      </c>
      <c r="T594" s="2">
        <v>0.77430555555555602</v>
      </c>
      <c r="U594" s="2">
        <v>0.90972222222222199</v>
      </c>
      <c r="V594">
        <v>195</v>
      </c>
    </row>
    <row r="595" spans="1:25" ht="15" customHeight="1" x14ac:dyDescent="0.2">
      <c r="A595" s="1">
        <v>46255</v>
      </c>
      <c r="B595" t="s">
        <v>42</v>
      </c>
      <c r="C595" t="s">
        <v>43</v>
      </c>
      <c r="D595" t="s">
        <v>28</v>
      </c>
      <c r="E595" t="s">
        <v>29</v>
      </c>
      <c r="F595" s="2">
        <v>0.31527777777777799</v>
      </c>
      <c r="G595" s="2">
        <v>0.36458333333333298</v>
      </c>
      <c r="H595">
        <v>71</v>
      </c>
      <c r="I595" s="3">
        <v>0.3125</v>
      </c>
      <c r="J595" s="2">
        <v>0.375</v>
      </c>
      <c r="K595">
        <v>90</v>
      </c>
      <c r="L595" s="2">
        <v>0.31527777777777799</v>
      </c>
      <c r="M595" s="2">
        <v>0.360416666666667</v>
      </c>
      <c r="N595">
        <v>65</v>
      </c>
      <c r="O595" s="2">
        <v>0.33750000000000002</v>
      </c>
      <c r="P595" s="2">
        <v>0.35277777777777802</v>
      </c>
      <c r="Q595" s="2">
        <v>0.360416666666667</v>
      </c>
      <c r="R595">
        <v>65</v>
      </c>
      <c r="S595">
        <v>22</v>
      </c>
      <c r="T595" s="2">
        <v>0.36111111111111099</v>
      </c>
      <c r="U595" s="2">
        <v>0.38611111111111102</v>
      </c>
      <c r="V595">
        <v>36</v>
      </c>
      <c r="W595" s="2">
        <v>0.38611111111111102</v>
      </c>
      <c r="X595" s="2">
        <v>0.40277777777777801</v>
      </c>
      <c r="Y595">
        <v>24</v>
      </c>
    </row>
    <row r="596" spans="1:25" ht="15" customHeight="1" x14ac:dyDescent="0.2">
      <c r="A596" s="1">
        <v>46256</v>
      </c>
      <c r="B596" t="s">
        <v>26</v>
      </c>
      <c r="C596" t="s">
        <v>27</v>
      </c>
      <c r="D596" t="s">
        <v>28</v>
      </c>
      <c r="E596" t="s">
        <v>29</v>
      </c>
      <c r="F596" s="2">
        <v>0.32986111111111099</v>
      </c>
      <c r="G596" s="2">
        <v>0.40625</v>
      </c>
      <c r="H596">
        <v>110</v>
      </c>
      <c r="I596" s="3">
        <v>0.3125</v>
      </c>
      <c r="J596" s="2">
        <v>0.39583333333333298</v>
      </c>
      <c r="K596">
        <v>120</v>
      </c>
      <c r="L596" s="2">
        <v>0.32638888888888901</v>
      </c>
      <c r="M596" s="2">
        <v>0.40069444444444402</v>
      </c>
      <c r="N596">
        <v>107</v>
      </c>
      <c r="O596" s="2">
        <v>0.35416666666666702</v>
      </c>
      <c r="P596" s="2">
        <v>0.39513888888888898</v>
      </c>
      <c r="Q596" s="2">
        <v>0.40069444444444402</v>
      </c>
      <c r="R596">
        <v>107</v>
      </c>
      <c r="S596">
        <v>59</v>
      </c>
      <c r="T596" s="2">
        <v>0.40765046296296298</v>
      </c>
      <c r="U596" s="2">
        <v>0.46597222222222201</v>
      </c>
      <c r="V596">
        <v>84</v>
      </c>
    </row>
    <row r="597" spans="1:25" ht="15" customHeight="1" x14ac:dyDescent="0.2">
      <c r="A597" s="1">
        <v>46256</v>
      </c>
      <c r="B597" t="s">
        <v>26</v>
      </c>
      <c r="C597" t="s">
        <v>27</v>
      </c>
      <c r="D597" t="s">
        <v>28</v>
      </c>
      <c r="E597" t="s">
        <v>31</v>
      </c>
      <c r="F597" s="2">
        <v>0.38055555555555598</v>
      </c>
      <c r="G597" s="2">
        <v>0.45138888888888901</v>
      </c>
      <c r="H597">
        <v>102</v>
      </c>
      <c r="I597" s="3">
        <v>0.3125</v>
      </c>
      <c r="J597" s="2">
        <v>0.35416666666666702</v>
      </c>
      <c r="K597">
        <v>60</v>
      </c>
      <c r="L597" s="2">
        <v>0.38055555555555598</v>
      </c>
      <c r="M597" s="2">
        <v>0.44722222222222202</v>
      </c>
      <c r="N597">
        <v>96</v>
      </c>
      <c r="O597" s="2">
        <v>0.405555555555556</v>
      </c>
      <c r="P597" s="2">
        <v>0.44444444444444398</v>
      </c>
      <c r="Q597" s="2">
        <v>0.44722222222222202</v>
      </c>
      <c r="R597">
        <v>96</v>
      </c>
      <c r="S597">
        <v>56</v>
      </c>
      <c r="T597" s="2">
        <v>0.44930555555555601</v>
      </c>
      <c r="U597" s="2">
        <v>0.469444444444444</v>
      </c>
      <c r="V597">
        <v>29</v>
      </c>
    </row>
    <row r="598" spans="1:25" ht="15" customHeight="1" x14ac:dyDescent="0.2">
      <c r="A598" s="1">
        <v>46256</v>
      </c>
      <c r="B598" t="s">
        <v>26</v>
      </c>
      <c r="C598" t="s">
        <v>27</v>
      </c>
      <c r="D598" t="s">
        <v>38</v>
      </c>
      <c r="E598" t="s">
        <v>31</v>
      </c>
      <c r="F598" s="2">
        <v>0.65972222222222199</v>
      </c>
      <c r="G598" s="2">
        <v>0.69305555555555598</v>
      </c>
      <c r="H598">
        <v>48</v>
      </c>
      <c r="I598" s="3">
        <v>0.68402777777777801</v>
      </c>
      <c r="J598" s="2">
        <v>0.75694444444444398</v>
      </c>
      <c r="K598">
        <v>105</v>
      </c>
      <c r="L598" s="2">
        <v>0.65972222222222199</v>
      </c>
      <c r="M598" s="2">
        <v>0.68888888888888899</v>
      </c>
      <c r="N598">
        <v>42</v>
      </c>
      <c r="O598" s="2">
        <v>0.67638888888888904</v>
      </c>
      <c r="P598" s="2">
        <v>0.68333333333333302</v>
      </c>
      <c r="Q598" s="2">
        <v>0.68888888888888899</v>
      </c>
      <c r="R598">
        <v>42</v>
      </c>
      <c r="S598">
        <v>10</v>
      </c>
      <c r="T598" s="2">
        <v>0.69282407407407398</v>
      </c>
      <c r="U598" s="2">
        <v>0.72291666666666698</v>
      </c>
      <c r="V598">
        <v>44</v>
      </c>
    </row>
    <row r="599" spans="1:25" ht="15" customHeight="1" x14ac:dyDescent="0.2">
      <c r="A599" s="1">
        <v>46256</v>
      </c>
      <c r="B599" t="s">
        <v>26</v>
      </c>
      <c r="C599" t="s">
        <v>27</v>
      </c>
      <c r="D599" t="s">
        <v>34</v>
      </c>
      <c r="E599" t="s">
        <v>31</v>
      </c>
      <c r="F599" s="2">
        <v>0.42499999999999999</v>
      </c>
      <c r="G599" s="2">
        <v>0.52083333333333304</v>
      </c>
      <c r="H599">
        <v>138</v>
      </c>
      <c r="I599" s="3">
        <v>0.41666666666666702</v>
      </c>
      <c r="J599" s="2">
        <v>0.50694444444444398</v>
      </c>
      <c r="K599">
        <v>130</v>
      </c>
      <c r="L599" s="2">
        <v>0.42499999999999999</v>
      </c>
      <c r="M599" s="2">
        <v>0.51527777777777795</v>
      </c>
      <c r="N599">
        <v>130</v>
      </c>
      <c r="O599" s="2">
        <v>0.44861111111111102</v>
      </c>
      <c r="P599" s="2">
        <v>0.51111111111111096</v>
      </c>
      <c r="Q599" s="2">
        <v>0.51527777777777795</v>
      </c>
      <c r="R599">
        <v>130</v>
      </c>
      <c r="S599">
        <v>90</v>
      </c>
      <c r="T599" s="2">
        <v>0.52137731481481497</v>
      </c>
      <c r="U599" s="2">
        <v>0.54583333333333295</v>
      </c>
      <c r="V599">
        <v>36</v>
      </c>
    </row>
    <row r="600" spans="1:25" ht="15" customHeight="1" x14ac:dyDescent="0.2">
      <c r="A600" s="1">
        <v>46256</v>
      </c>
      <c r="B600" t="s">
        <v>26</v>
      </c>
      <c r="C600" t="s">
        <v>27</v>
      </c>
      <c r="D600" t="s">
        <v>34</v>
      </c>
      <c r="E600" t="s">
        <v>31</v>
      </c>
      <c r="F600" s="2">
        <v>0.54583333333333295</v>
      </c>
      <c r="G600" s="2">
        <v>0.59583333333333299</v>
      </c>
      <c r="H600">
        <v>72</v>
      </c>
      <c r="I600" s="3">
        <v>0.54166666666666696</v>
      </c>
      <c r="J600" s="2">
        <v>0.59375</v>
      </c>
      <c r="K600">
        <v>75</v>
      </c>
      <c r="L600" s="2">
        <v>0.54583333333333295</v>
      </c>
      <c r="M600" s="2">
        <v>0.59236111111111101</v>
      </c>
      <c r="N600">
        <v>67</v>
      </c>
      <c r="O600" s="2">
        <v>0.57222222222222197</v>
      </c>
      <c r="P600" s="2">
        <v>0.58541666666666703</v>
      </c>
      <c r="Q600" s="2">
        <v>0.59236111111111101</v>
      </c>
      <c r="R600">
        <v>67</v>
      </c>
      <c r="S600">
        <v>19</v>
      </c>
      <c r="T600" s="2">
        <v>0.59572916666666698</v>
      </c>
      <c r="U600" s="2">
        <v>0.63611111111111096</v>
      </c>
      <c r="V600">
        <v>59</v>
      </c>
    </row>
    <row r="601" spans="1:25" ht="15" customHeight="1" x14ac:dyDescent="0.2">
      <c r="A601" s="1">
        <v>46256</v>
      </c>
      <c r="B601" t="s">
        <v>26</v>
      </c>
      <c r="C601" t="s">
        <v>27</v>
      </c>
      <c r="D601" t="s">
        <v>34</v>
      </c>
      <c r="E601" t="s">
        <v>40</v>
      </c>
      <c r="F601" s="2">
        <v>1.38888888888889E-2</v>
      </c>
      <c r="G601" s="2">
        <v>7.3611111111111099E-2</v>
      </c>
      <c r="H601">
        <v>86</v>
      </c>
      <c r="I601" s="3">
        <v>6.9444444444444397E-3</v>
      </c>
      <c r="J601" s="2">
        <v>5.2083333333333301E-2</v>
      </c>
      <c r="K601">
        <v>80</v>
      </c>
      <c r="L601" s="2">
        <v>1.38888888888889E-2</v>
      </c>
      <c r="M601" s="2">
        <v>6.6666666666666693E-2</v>
      </c>
      <c r="N601">
        <v>76</v>
      </c>
      <c r="O601" s="2">
        <v>2.8472222222222201E-2</v>
      </c>
      <c r="P601" s="2">
        <v>5.9722222222222197E-2</v>
      </c>
      <c r="Q601" s="2">
        <v>6.6666666666666693E-2</v>
      </c>
      <c r="R601">
        <v>76</v>
      </c>
      <c r="S601">
        <v>45</v>
      </c>
      <c r="T601" s="2">
        <v>6.9444444444444406E-2</v>
      </c>
      <c r="U601" s="2">
        <v>0.123344907407407</v>
      </c>
      <c r="V601">
        <v>77</v>
      </c>
    </row>
    <row r="602" spans="1:25" ht="15" customHeight="1" x14ac:dyDescent="0.2">
      <c r="A602" s="1">
        <v>46256</v>
      </c>
      <c r="B602" t="s">
        <v>26</v>
      </c>
      <c r="C602" t="s">
        <v>27</v>
      </c>
      <c r="D602" t="s">
        <v>28</v>
      </c>
      <c r="E602" t="s">
        <v>31</v>
      </c>
      <c r="F602" s="2">
        <v>0.29930555555555599</v>
      </c>
      <c r="G602" s="2">
        <v>0.375</v>
      </c>
      <c r="H602">
        <v>109</v>
      </c>
      <c r="I602" s="3">
        <v>0.3125</v>
      </c>
      <c r="J602" s="2">
        <v>0.35763888888888901</v>
      </c>
      <c r="K602">
        <v>80</v>
      </c>
      <c r="L602" s="2">
        <v>0.29861111111111099</v>
      </c>
      <c r="M602" s="2">
        <v>0.36944444444444402</v>
      </c>
      <c r="N602">
        <v>102</v>
      </c>
      <c r="O602" s="2">
        <v>0.30972222222222201</v>
      </c>
      <c r="P602" s="2">
        <v>0.359027777777778</v>
      </c>
      <c r="Q602" s="2">
        <v>0.36944444444444402</v>
      </c>
      <c r="R602">
        <v>102</v>
      </c>
      <c r="S602">
        <v>71</v>
      </c>
    </row>
    <row r="603" spans="1:25" ht="15" customHeight="1" x14ac:dyDescent="0.2">
      <c r="A603" s="1">
        <v>46256</v>
      </c>
      <c r="B603" t="s">
        <v>42</v>
      </c>
      <c r="C603" t="s">
        <v>43</v>
      </c>
      <c r="D603" t="s">
        <v>28</v>
      </c>
      <c r="E603" t="s">
        <v>31</v>
      </c>
      <c r="F603" s="2">
        <v>0.48958333333333298</v>
      </c>
      <c r="G603" s="2">
        <v>0.52291666666666703</v>
      </c>
      <c r="H603">
        <v>48</v>
      </c>
      <c r="I603" s="3">
        <v>0.47916666666666702</v>
      </c>
      <c r="J603" s="2">
        <v>0.51388888888888895</v>
      </c>
      <c r="K603">
        <v>50</v>
      </c>
      <c r="L603" s="2">
        <v>0.48958333333333298</v>
      </c>
      <c r="M603" s="2">
        <v>0.51805555555555605</v>
      </c>
      <c r="N603">
        <v>41</v>
      </c>
      <c r="O603" s="2">
        <v>0.50624999999999998</v>
      </c>
      <c r="P603" s="2">
        <v>0.51249999999999996</v>
      </c>
      <c r="Q603" s="2">
        <v>0.51805555555555605</v>
      </c>
      <c r="R603">
        <v>41</v>
      </c>
      <c r="S603">
        <v>9</v>
      </c>
      <c r="T603" s="2">
        <v>0.51875000000000004</v>
      </c>
      <c r="U603" s="2">
        <v>0.53958333333333297</v>
      </c>
      <c r="V603">
        <v>30</v>
      </c>
    </row>
    <row r="604" spans="1:25" ht="15" customHeight="1" x14ac:dyDescent="0.2">
      <c r="A604" s="1">
        <v>46256</v>
      </c>
      <c r="B604" t="s">
        <v>26</v>
      </c>
      <c r="C604" t="s">
        <v>27</v>
      </c>
      <c r="D604" t="s">
        <v>28</v>
      </c>
      <c r="E604" t="s">
        <v>31</v>
      </c>
      <c r="F604" s="2">
        <v>0.60833333333333295</v>
      </c>
      <c r="G604" s="2">
        <v>0.65347222222222201</v>
      </c>
      <c r="H604">
        <v>65</v>
      </c>
      <c r="I604" s="3">
        <v>0.58333333333333304</v>
      </c>
      <c r="J604" s="2">
        <v>0.67013888888888895</v>
      </c>
      <c r="K604">
        <v>125</v>
      </c>
      <c r="L604" s="2">
        <v>0.60833333333333295</v>
      </c>
      <c r="M604" s="2">
        <v>0.65</v>
      </c>
      <c r="N604">
        <v>60</v>
      </c>
      <c r="O604" s="2">
        <v>0.62638888888888899</v>
      </c>
      <c r="P604" s="2">
        <v>0.64305555555555605</v>
      </c>
      <c r="Q604" s="2">
        <v>0.65</v>
      </c>
      <c r="R604">
        <v>60</v>
      </c>
      <c r="S604">
        <v>24</v>
      </c>
      <c r="T604" s="2">
        <v>0.65048611111111099</v>
      </c>
      <c r="U604" s="2">
        <v>0.68958333333333299</v>
      </c>
      <c r="V604">
        <v>57</v>
      </c>
    </row>
    <row r="605" spans="1:25" ht="15" customHeight="1" x14ac:dyDescent="0.2">
      <c r="A605" s="1">
        <v>46256</v>
      </c>
      <c r="B605" t="s">
        <v>26</v>
      </c>
      <c r="C605" t="s">
        <v>27</v>
      </c>
      <c r="D605" t="s">
        <v>28</v>
      </c>
      <c r="E605" t="s">
        <v>29</v>
      </c>
      <c r="F605" s="2">
        <v>0.72847222222222197</v>
      </c>
      <c r="G605" s="2">
        <v>0.8125</v>
      </c>
      <c r="H605">
        <v>121</v>
      </c>
      <c r="I605" s="3">
        <v>0.71875</v>
      </c>
      <c r="J605" s="2">
        <v>0.81597222222222199</v>
      </c>
      <c r="K605">
        <v>140</v>
      </c>
      <c r="L605" s="2">
        <v>0.72847222222222197</v>
      </c>
      <c r="M605" s="2">
        <v>0.8</v>
      </c>
      <c r="N605">
        <v>103</v>
      </c>
      <c r="O605" s="2">
        <v>0.75</v>
      </c>
      <c r="P605" s="2">
        <v>0.79444444444444395</v>
      </c>
      <c r="Q605" s="2">
        <v>0.8</v>
      </c>
      <c r="R605">
        <v>103</v>
      </c>
      <c r="S605">
        <v>64</v>
      </c>
      <c r="T605" s="2">
        <v>0.80151620370370402</v>
      </c>
      <c r="U605" s="2">
        <v>0.82851851851851899</v>
      </c>
      <c r="V605">
        <v>39</v>
      </c>
    </row>
    <row r="606" spans="1:25" ht="15" customHeight="1" x14ac:dyDescent="0.2">
      <c r="A606" s="1">
        <v>46257</v>
      </c>
      <c r="B606" t="s">
        <v>26</v>
      </c>
      <c r="C606" t="s">
        <v>27</v>
      </c>
      <c r="D606" t="s">
        <v>28</v>
      </c>
      <c r="E606" t="s">
        <v>31</v>
      </c>
      <c r="F606" s="2">
        <v>0.422916666666667</v>
      </c>
      <c r="G606" s="2">
        <v>0.51875000000000004</v>
      </c>
      <c r="H606">
        <v>138</v>
      </c>
      <c r="I606" s="3">
        <v>0.41666666666666702</v>
      </c>
      <c r="J606" s="2">
        <v>0.52083333333333304</v>
      </c>
      <c r="K606">
        <v>180</v>
      </c>
      <c r="L606" s="2">
        <v>0.422916666666667</v>
      </c>
      <c r="M606" s="2">
        <v>0.51597222222222205</v>
      </c>
      <c r="N606">
        <v>134</v>
      </c>
      <c r="O606" s="2">
        <v>0.44305555555555598</v>
      </c>
      <c r="P606" s="2">
        <v>0.50624999999999998</v>
      </c>
      <c r="Q606" s="2">
        <v>0.51597222222222205</v>
      </c>
      <c r="R606">
        <v>134</v>
      </c>
      <c r="S606">
        <v>91</v>
      </c>
      <c r="T606" s="2">
        <v>0.51668981481481502</v>
      </c>
      <c r="U606" s="2">
        <v>0.55858796296296298</v>
      </c>
      <c r="V606">
        <v>60</v>
      </c>
    </row>
    <row r="607" spans="1:25" ht="15" customHeight="1" x14ac:dyDescent="0.2">
      <c r="A607" s="1">
        <v>46257</v>
      </c>
      <c r="B607" t="s">
        <v>26</v>
      </c>
      <c r="C607" t="s">
        <v>27</v>
      </c>
      <c r="D607" t="s">
        <v>28</v>
      </c>
      <c r="E607" t="s">
        <v>31</v>
      </c>
      <c r="F607" s="2">
        <v>0.36458333333333298</v>
      </c>
      <c r="G607" s="2">
        <v>0.40277777777777801</v>
      </c>
      <c r="H607">
        <v>55</v>
      </c>
      <c r="I607" s="3">
        <v>0.35416666666666702</v>
      </c>
      <c r="J607" s="2">
        <v>0.38888888888888901</v>
      </c>
      <c r="K607">
        <v>80</v>
      </c>
      <c r="L607" s="2">
        <v>0.36458333333333298</v>
      </c>
      <c r="M607" s="2">
        <v>0.40069444444444402</v>
      </c>
      <c r="N607">
        <v>52</v>
      </c>
      <c r="O607" s="2">
        <v>0.37777777777777799</v>
      </c>
      <c r="P607" s="2">
        <v>0.39374999999999999</v>
      </c>
      <c r="Q607" s="2">
        <v>0.40069444444444402</v>
      </c>
      <c r="R607">
        <v>52</v>
      </c>
      <c r="S607">
        <v>23</v>
      </c>
      <c r="T607" s="2">
        <v>0.40277777777777801</v>
      </c>
      <c r="U607" s="2">
        <v>0.43337962962963</v>
      </c>
      <c r="V607">
        <v>44</v>
      </c>
    </row>
    <row r="608" spans="1:25" ht="15" customHeight="1" x14ac:dyDescent="0.2">
      <c r="A608" s="1">
        <v>46257</v>
      </c>
      <c r="B608" t="s">
        <v>26</v>
      </c>
      <c r="C608" t="s">
        <v>27</v>
      </c>
      <c r="D608" t="s">
        <v>28</v>
      </c>
      <c r="E608" t="s">
        <v>29</v>
      </c>
      <c r="F608" s="2">
        <v>0.56736111111111098</v>
      </c>
      <c r="G608" s="2">
        <v>0.64583333333333304</v>
      </c>
      <c r="H608">
        <v>113</v>
      </c>
      <c r="I608" s="3">
        <v>0.54166666666666696</v>
      </c>
      <c r="J608" s="2">
        <v>0.61458333333333304</v>
      </c>
      <c r="K608">
        <v>135</v>
      </c>
      <c r="L608" s="2">
        <v>0.56736111111111098</v>
      </c>
      <c r="M608" s="2">
        <v>0.64236111111111105</v>
      </c>
      <c r="N608">
        <v>108</v>
      </c>
      <c r="O608" s="2">
        <v>0.58541666666666703</v>
      </c>
      <c r="P608" s="2">
        <v>0.63888888888888895</v>
      </c>
      <c r="Q608" s="2">
        <v>0.64236111111111105</v>
      </c>
      <c r="R608">
        <v>108</v>
      </c>
      <c r="S608">
        <v>77</v>
      </c>
      <c r="T608" s="2">
        <v>0.64564814814814797</v>
      </c>
      <c r="U608" s="2">
        <v>0.691539351851852</v>
      </c>
      <c r="V608">
        <v>66</v>
      </c>
    </row>
    <row r="609" spans="1:25" ht="15" customHeight="1" x14ac:dyDescent="0.2">
      <c r="A609" s="1">
        <v>46257</v>
      </c>
      <c r="B609" t="s">
        <v>26</v>
      </c>
      <c r="C609" t="s">
        <v>27</v>
      </c>
      <c r="D609" t="s">
        <v>28</v>
      </c>
      <c r="E609" t="s">
        <v>31</v>
      </c>
      <c r="F609" s="2">
        <v>0.59236111111111101</v>
      </c>
      <c r="G609" s="2">
        <v>0.66111111111111098</v>
      </c>
      <c r="H609">
        <v>99</v>
      </c>
      <c r="I609" s="3">
        <v>0.5625</v>
      </c>
      <c r="J609" s="2">
        <v>0.63888888888888895</v>
      </c>
      <c r="K609">
        <v>140</v>
      </c>
      <c r="L609" s="2">
        <v>0.59236111111111101</v>
      </c>
      <c r="M609" s="2">
        <v>0.65416666666666701</v>
      </c>
      <c r="N609">
        <v>89</v>
      </c>
      <c r="O609" s="2">
        <v>0.60833333333333295</v>
      </c>
      <c r="P609" s="2">
        <v>0.65138888888888902</v>
      </c>
      <c r="Q609" s="2">
        <v>0.65416666666666701</v>
      </c>
      <c r="R609">
        <v>89</v>
      </c>
      <c r="S609">
        <v>62</v>
      </c>
      <c r="T609" s="2">
        <v>0.65615740740740702</v>
      </c>
      <c r="U609" s="2">
        <v>0.70484953703703701</v>
      </c>
      <c r="V609">
        <v>70</v>
      </c>
    </row>
    <row r="610" spans="1:25" ht="15" customHeight="1" x14ac:dyDescent="0.2">
      <c r="A610" s="1">
        <v>46257</v>
      </c>
      <c r="B610" t="s">
        <v>26</v>
      </c>
      <c r="C610" t="s">
        <v>27</v>
      </c>
      <c r="D610" t="s">
        <v>34</v>
      </c>
      <c r="E610" t="s">
        <v>29</v>
      </c>
      <c r="F610" s="2">
        <v>0.43333333333333302</v>
      </c>
      <c r="G610" s="2">
        <v>0.58819444444444402</v>
      </c>
      <c r="H610">
        <v>223</v>
      </c>
      <c r="I610" s="3">
        <v>0.41666666666666702</v>
      </c>
      <c r="J610" s="2">
        <v>0.54166666666666696</v>
      </c>
      <c r="K610">
        <v>210</v>
      </c>
      <c r="L610" s="2">
        <v>0.43333333333333302</v>
      </c>
      <c r="M610" s="2">
        <v>0.58125000000000004</v>
      </c>
      <c r="N610">
        <v>213</v>
      </c>
      <c r="O610" s="2">
        <v>0.452777777777778</v>
      </c>
      <c r="P610" s="2">
        <v>0.57291666666666696</v>
      </c>
      <c r="Q610" s="2">
        <v>0.58125000000000004</v>
      </c>
      <c r="R610">
        <v>213</v>
      </c>
      <c r="S610">
        <v>173</v>
      </c>
      <c r="T610" s="2">
        <v>0.58229166666666698</v>
      </c>
      <c r="U610" s="2">
        <v>0.61944444444444402</v>
      </c>
      <c r="V610">
        <v>54</v>
      </c>
    </row>
    <row r="611" spans="1:25" ht="15" customHeight="1" x14ac:dyDescent="0.2">
      <c r="A611" s="1">
        <v>46257</v>
      </c>
      <c r="B611" t="s">
        <v>26</v>
      </c>
      <c r="C611" t="s">
        <v>27</v>
      </c>
      <c r="D611" t="s">
        <v>28</v>
      </c>
      <c r="E611" t="s">
        <v>29</v>
      </c>
      <c r="F611" s="2">
        <v>0.66736111111111096</v>
      </c>
      <c r="G611" s="2">
        <v>0.73263888888888895</v>
      </c>
      <c r="H611">
        <v>94</v>
      </c>
      <c r="I611" s="3">
        <v>0.64583333333333304</v>
      </c>
      <c r="J611" s="2">
        <v>0.71527777777777801</v>
      </c>
      <c r="K611">
        <v>130</v>
      </c>
      <c r="L611" s="2">
        <v>0.66736111111111096</v>
      </c>
      <c r="M611" s="2">
        <v>0.72916666666666696</v>
      </c>
      <c r="N611">
        <v>89</v>
      </c>
      <c r="O611" s="2">
        <v>0.6875</v>
      </c>
      <c r="P611" s="2">
        <v>0.72499999999999998</v>
      </c>
      <c r="Q611" s="2">
        <v>0.72916666666666696</v>
      </c>
      <c r="R611">
        <v>89</v>
      </c>
      <c r="S611">
        <v>54</v>
      </c>
      <c r="T611" s="2">
        <v>0.72986111111111096</v>
      </c>
      <c r="U611" s="2">
        <v>0.775358796296296</v>
      </c>
      <c r="V611">
        <v>65</v>
      </c>
    </row>
    <row r="612" spans="1:25" ht="15" customHeight="1" x14ac:dyDescent="0.2">
      <c r="A612" s="1">
        <v>46258</v>
      </c>
      <c r="B612" t="s">
        <v>42</v>
      </c>
      <c r="C612" t="s">
        <v>43</v>
      </c>
      <c r="D612" t="s">
        <v>28</v>
      </c>
      <c r="E612" t="s">
        <v>35</v>
      </c>
      <c r="F612" s="2">
        <v>0.33055555555555599</v>
      </c>
      <c r="G612" s="2">
        <v>0.50833333333333297</v>
      </c>
      <c r="H612">
        <v>256</v>
      </c>
      <c r="I612" s="3">
        <v>0.33333333333333298</v>
      </c>
      <c r="J612" s="2">
        <v>0.58333333333333304</v>
      </c>
      <c r="K612">
        <v>360</v>
      </c>
      <c r="L612" s="2">
        <v>0.33055555555555599</v>
      </c>
      <c r="M612" s="2">
        <v>0.50416666666666698</v>
      </c>
      <c r="N612">
        <v>250</v>
      </c>
      <c r="O612" s="2">
        <v>0.35486111111111102</v>
      </c>
      <c r="P612" s="2">
        <v>0.49722222222222201</v>
      </c>
      <c r="Q612" s="2">
        <v>0.50416666666666698</v>
      </c>
      <c r="R612">
        <v>250</v>
      </c>
      <c r="S612">
        <v>205</v>
      </c>
      <c r="T612" s="2">
        <v>0.50763888888888897</v>
      </c>
      <c r="U612" s="2">
        <v>0.531944444444444</v>
      </c>
      <c r="V612">
        <v>35</v>
      </c>
    </row>
    <row r="613" spans="1:25" ht="15" customHeight="1" x14ac:dyDescent="0.2">
      <c r="A613" s="1">
        <v>46258</v>
      </c>
      <c r="B613" t="s">
        <v>42</v>
      </c>
      <c r="C613" t="s">
        <v>43</v>
      </c>
      <c r="D613" t="s">
        <v>28</v>
      </c>
      <c r="E613" t="s">
        <v>31</v>
      </c>
      <c r="F613" s="2">
        <v>0.390277777777778</v>
      </c>
      <c r="G613" s="2">
        <v>0.42569444444444399</v>
      </c>
      <c r="H613">
        <v>51</v>
      </c>
      <c r="I613" s="3">
        <v>0.38541666666666702</v>
      </c>
      <c r="J613" s="2">
        <v>0.41666666666666702</v>
      </c>
      <c r="K613">
        <v>45</v>
      </c>
      <c r="L613" s="2">
        <v>0.390277777777778</v>
      </c>
      <c r="M613" s="2">
        <v>0.422916666666667</v>
      </c>
      <c r="N613">
        <v>47</v>
      </c>
      <c r="O613" s="2">
        <v>0.41041666666666698</v>
      </c>
      <c r="P613" s="2">
        <v>0.41666666666666702</v>
      </c>
      <c r="Q613" s="2">
        <v>0.422916666666667</v>
      </c>
      <c r="R613">
        <v>47</v>
      </c>
      <c r="S613">
        <v>9</v>
      </c>
      <c r="T613" s="2">
        <v>0.423877314814815</v>
      </c>
      <c r="U613" s="2">
        <v>0.453819444444444</v>
      </c>
      <c r="V613">
        <v>43</v>
      </c>
      <c r="W613" s="2">
        <v>0.45383101851851898</v>
      </c>
      <c r="X613" s="2">
        <v>0.46149305555555598</v>
      </c>
      <c r="Y613">
        <v>11</v>
      </c>
    </row>
    <row r="614" spans="1:25" ht="15" customHeight="1" x14ac:dyDescent="0.2">
      <c r="A614" s="1">
        <v>46258</v>
      </c>
      <c r="B614" t="s">
        <v>26</v>
      </c>
      <c r="C614" t="s">
        <v>27</v>
      </c>
      <c r="D614" t="s">
        <v>34</v>
      </c>
      <c r="E614" t="s">
        <v>36</v>
      </c>
      <c r="F614" s="2">
        <v>0.34861111111111098</v>
      </c>
      <c r="G614" s="2">
        <v>0.70486111111111105</v>
      </c>
      <c r="H614">
        <v>513</v>
      </c>
      <c r="I614" s="3">
        <v>0.33333333333333298</v>
      </c>
      <c r="J614" s="2">
        <v>0.625</v>
      </c>
      <c r="K614">
        <v>420</v>
      </c>
      <c r="L614" s="2">
        <v>0.34861111111111098</v>
      </c>
      <c r="M614" s="2">
        <v>0.69652777777777797</v>
      </c>
      <c r="N614">
        <v>501</v>
      </c>
      <c r="O614" s="2">
        <v>0.438194444444444</v>
      </c>
      <c r="P614" s="2">
        <v>0.68125000000000002</v>
      </c>
      <c r="Q614" s="2">
        <v>0.69652777777777797</v>
      </c>
      <c r="R614">
        <v>501</v>
      </c>
      <c r="S614">
        <v>350</v>
      </c>
    </row>
    <row r="615" spans="1:25" ht="15" customHeight="1" x14ac:dyDescent="0.2">
      <c r="A615" s="1">
        <v>46258</v>
      </c>
      <c r="B615" t="s">
        <v>42</v>
      </c>
      <c r="C615" t="s">
        <v>43</v>
      </c>
      <c r="D615" t="s">
        <v>28</v>
      </c>
      <c r="E615" t="s">
        <v>29</v>
      </c>
      <c r="F615" s="2">
        <v>0.33402777777777798</v>
      </c>
      <c r="G615" s="2">
        <v>0.44305555555555598</v>
      </c>
      <c r="H615">
        <v>157</v>
      </c>
      <c r="I615" s="3">
        <v>0.33333333333333298</v>
      </c>
      <c r="J615" s="2">
        <v>0.41666666666666702</v>
      </c>
      <c r="K615">
        <v>120</v>
      </c>
      <c r="L615" s="2">
        <v>0.33402777777777798</v>
      </c>
      <c r="M615" s="2">
        <v>0.43958333333333299</v>
      </c>
      <c r="N615">
        <v>152</v>
      </c>
      <c r="O615" s="2">
        <v>0.35138888888888897</v>
      </c>
      <c r="P615" s="2">
        <v>0.43611111111111101</v>
      </c>
      <c r="Q615" s="2">
        <v>0.43958333333333299</v>
      </c>
      <c r="R615">
        <v>152</v>
      </c>
      <c r="S615">
        <v>122</v>
      </c>
      <c r="T615" s="2">
        <v>0.444270833333333</v>
      </c>
      <c r="U615" s="2">
        <v>0.57361111111111096</v>
      </c>
      <c r="V615">
        <v>187</v>
      </c>
      <c r="W615" s="2">
        <v>0.59200231481481502</v>
      </c>
      <c r="X615" s="2">
        <v>0.60694444444444395</v>
      </c>
      <c r="Y615">
        <v>22</v>
      </c>
    </row>
    <row r="616" spans="1:25" ht="15" customHeight="1" x14ac:dyDescent="0.2">
      <c r="A616" s="1">
        <v>46258</v>
      </c>
      <c r="B616" t="s">
        <v>42</v>
      </c>
      <c r="C616" t="s">
        <v>43</v>
      </c>
      <c r="D616" t="s">
        <v>28</v>
      </c>
      <c r="E616" t="s">
        <v>29</v>
      </c>
      <c r="F616" s="2">
        <v>0.46041666666666697</v>
      </c>
      <c r="G616" s="2">
        <v>0.53819444444444398</v>
      </c>
      <c r="H616">
        <v>112</v>
      </c>
      <c r="I616" s="3">
        <v>0.4375</v>
      </c>
      <c r="J616" s="2">
        <v>0.52083333333333304</v>
      </c>
      <c r="K616">
        <v>120</v>
      </c>
      <c r="L616" s="2">
        <v>0.46041666666666697</v>
      </c>
      <c r="M616" s="2">
        <v>0.53472222222222199</v>
      </c>
      <c r="N616">
        <v>107</v>
      </c>
      <c r="O616" s="2">
        <v>0.48125000000000001</v>
      </c>
      <c r="P616" s="2">
        <v>0.52708333333333302</v>
      </c>
      <c r="Q616" s="2">
        <v>0.53472222222222199</v>
      </c>
      <c r="R616">
        <v>107</v>
      </c>
      <c r="S616">
        <v>66</v>
      </c>
      <c r="T616" s="2">
        <v>0.53769675925925897</v>
      </c>
      <c r="U616" s="2">
        <v>0.60332175925925902</v>
      </c>
      <c r="V616">
        <v>94</v>
      </c>
      <c r="W616" s="2">
        <v>0.60334490740740698</v>
      </c>
      <c r="X616" s="2">
        <v>0.60998842592592595</v>
      </c>
      <c r="Y616">
        <v>10</v>
      </c>
    </row>
    <row r="617" spans="1:25" ht="15" customHeight="1" x14ac:dyDescent="0.2">
      <c r="A617" s="1">
        <v>46258</v>
      </c>
      <c r="B617" t="s">
        <v>42</v>
      </c>
      <c r="C617" t="s">
        <v>43</v>
      </c>
      <c r="D617" t="s">
        <v>28</v>
      </c>
      <c r="E617" t="s">
        <v>31</v>
      </c>
      <c r="F617" s="2">
        <v>0.624305555555556</v>
      </c>
      <c r="G617" s="2">
        <v>0.65972222222222199</v>
      </c>
      <c r="H617">
        <v>51</v>
      </c>
      <c r="I617" s="3">
        <v>0.58333333333333304</v>
      </c>
      <c r="J617" s="2">
        <v>0.61458333333333304</v>
      </c>
      <c r="K617">
        <v>45</v>
      </c>
      <c r="L617" s="2">
        <v>0.624305555555556</v>
      </c>
      <c r="M617" s="2">
        <v>0.655555555555556</v>
      </c>
      <c r="N617">
        <v>45</v>
      </c>
      <c r="O617" s="2">
        <v>0.63888888888888895</v>
      </c>
      <c r="P617" s="2">
        <v>0.64861111111111103</v>
      </c>
      <c r="Q617" s="2">
        <v>0.655555555555556</v>
      </c>
      <c r="R617">
        <v>45</v>
      </c>
      <c r="S617">
        <v>14</v>
      </c>
      <c r="T617" s="2">
        <v>0.65677083333333297</v>
      </c>
      <c r="U617" s="2">
        <v>0.67361111111111105</v>
      </c>
      <c r="V617">
        <v>25</v>
      </c>
      <c r="W617" s="2">
        <v>0.67430555555555605</v>
      </c>
      <c r="X617" s="2">
        <v>0.6875</v>
      </c>
      <c r="Y617">
        <v>19</v>
      </c>
    </row>
    <row r="618" spans="1:25" ht="15" customHeight="1" x14ac:dyDescent="0.2">
      <c r="A618" s="1">
        <v>46258</v>
      </c>
      <c r="B618" t="s">
        <v>42</v>
      </c>
      <c r="C618" t="s">
        <v>43</v>
      </c>
      <c r="D618" t="s">
        <v>28</v>
      </c>
      <c r="E618" t="s">
        <v>31</v>
      </c>
      <c r="F618" s="2">
        <v>0.55347222222222203</v>
      </c>
      <c r="G618" s="2">
        <v>0.76249999999999996</v>
      </c>
      <c r="H618">
        <v>301</v>
      </c>
      <c r="I618" s="3">
        <v>0.5625</v>
      </c>
      <c r="J618" s="2">
        <v>0.8125</v>
      </c>
      <c r="K618">
        <v>360</v>
      </c>
      <c r="L618" s="2">
        <v>0.55347222222222203</v>
      </c>
      <c r="M618" s="2">
        <v>0.75972222222222197</v>
      </c>
      <c r="N618">
        <v>297</v>
      </c>
      <c r="O618" s="2">
        <v>0.57499999999999996</v>
      </c>
      <c r="P618" s="2">
        <v>0.75277777777777799</v>
      </c>
      <c r="Q618" s="2">
        <v>0.75972222222222197</v>
      </c>
      <c r="R618">
        <v>297</v>
      </c>
      <c r="S618">
        <v>256</v>
      </c>
      <c r="T618" s="2">
        <v>0.76167824074074097</v>
      </c>
      <c r="U618" s="2">
        <v>0.811805555555556</v>
      </c>
      <c r="V618">
        <v>73</v>
      </c>
    </row>
    <row r="619" spans="1:25" ht="15" customHeight="1" x14ac:dyDescent="0.2">
      <c r="A619" s="1">
        <v>46258</v>
      </c>
      <c r="B619" t="s">
        <v>42</v>
      </c>
      <c r="C619" t="s">
        <v>43</v>
      </c>
      <c r="D619" t="s">
        <v>28</v>
      </c>
      <c r="E619" t="s">
        <v>29</v>
      </c>
      <c r="F619" s="2">
        <v>0.36666666666666697</v>
      </c>
      <c r="G619" s="2">
        <v>0.48888888888888898</v>
      </c>
      <c r="H619">
        <v>176</v>
      </c>
      <c r="I619" s="3">
        <v>0.36458333333333298</v>
      </c>
      <c r="J619" s="2">
        <v>0.46875</v>
      </c>
      <c r="K619">
        <v>150</v>
      </c>
      <c r="L619" s="2">
        <v>0.36666666666666697</v>
      </c>
      <c r="M619" s="2">
        <v>0.485416666666667</v>
      </c>
      <c r="N619">
        <v>171</v>
      </c>
      <c r="O619" s="2">
        <v>0.38333333333333303</v>
      </c>
      <c r="P619" s="2">
        <v>0.47986111111111102</v>
      </c>
      <c r="Q619" s="2">
        <v>0.485416666666667</v>
      </c>
      <c r="R619">
        <v>171</v>
      </c>
      <c r="S619">
        <v>139</v>
      </c>
      <c r="T619" s="2">
        <v>0.48696759259259298</v>
      </c>
      <c r="U619" s="2">
        <v>0.50347222222222199</v>
      </c>
      <c r="V619">
        <v>24</v>
      </c>
    </row>
    <row r="620" spans="1:25" ht="15" customHeight="1" x14ac:dyDescent="0.2">
      <c r="A620" s="1">
        <v>46258</v>
      </c>
      <c r="B620" t="s">
        <v>42</v>
      </c>
      <c r="C620" t="s">
        <v>43</v>
      </c>
      <c r="D620" t="s">
        <v>28</v>
      </c>
      <c r="E620" t="s">
        <v>31</v>
      </c>
      <c r="F620" s="2">
        <v>0.44791666666666702</v>
      </c>
      <c r="G620" s="2">
        <v>0.500694444444444</v>
      </c>
      <c r="H620">
        <v>76</v>
      </c>
      <c r="I620" s="3">
        <v>0.4375</v>
      </c>
      <c r="J620" s="2">
        <v>0.48958333333333298</v>
      </c>
      <c r="K620">
        <v>75</v>
      </c>
      <c r="L620" s="2">
        <v>0.44791666666666702</v>
      </c>
      <c r="M620" s="2">
        <v>0.49722222222222201</v>
      </c>
      <c r="N620">
        <v>71</v>
      </c>
      <c r="O620" s="2">
        <v>0.47083333333333299</v>
      </c>
      <c r="P620" s="2">
        <v>0.483333333333333</v>
      </c>
      <c r="Q620" s="2">
        <v>0.49722222222222201</v>
      </c>
      <c r="R620">
        <v>71</v>
      </c>
      <c r="S620">
        <v>18</v>
      </c>
      <c r="T620" s="2">
        <v>0.50053240740740701</v>
      </c>
      <c r="U620" s="2">
        <v>0.57291666666666696</v>
      </c>
      <c r="V620">
        <v>105</v>
      </c>
      <c r="W620" s="2">
        <v>0.57361111111111096</v>
      </c>
      <c r="X620" s="2">
        <v>0.62013888888888902</v>
      </c>
      <c r="Y620">
        <v>67</v>
      </c>
    </row>
    <row r="621" spans="1:25" ht="15" customHeight="1" x14ac:dyDescent="0.2">
      <c r="A621" s="1">
        <v>46258</v>
      </c>
      <c r="B621" t="s">
        <v>42</v>
      </c>
      <c r="C621" t="s">
        <v>43</v>
      </c>
      <c r="D621" t="s">
        <v>28</v>
      </c>
      <c r="E621" t="s">
        <v>29</v>
      </c>
      <c r="F621" s="2">
        <v>0.48680555555555599</v>
      </c>
      <c r="G621" s="2">
        <v>0.52916666666666701</v>
      </c>
      <c r="H621">
        <v>61</v>
      </c>
      <c r="I621" s="3">
        <v>0.47916666666666702</v>
      </c>
      <c r="J621" s="2">
        <v>0.52083333333333304</v>
      </c>
      <c r="K621">
        <v>60</v>
      </c>
      <c r="L621" s="2">
        <v>0.48680555555555599</v>
      </c>
      <c r="M621" s="2">
        <v>0.52500000000000002</v>
      </c>
      <c r="N621">
        <v>55</v>
      </c>
      <c r="O621" s="2">
        <v>0.5</v>
      </c>
      <c r="P621" s="2">
        <v>0.52013888888888904</v>
      </c>
      <c r="Q621" s="2">
        <v>0.52500000000000002</v>
      </c>
      <c r="R621">
        <v>55</v>
      </c>
      <c r="S621">
        <v>29</v>
      </c>
      <c r="T621" s="2">
        <v>0.52927083333333302</v>
      </c>
      <c r="U621" s="2">
        <v>0.563194444444444</v>
      </c>
      <c r="V621">
        <v>49</v>
      </c>
      <c r="W621" s="2">
        <v>0.56388888888888899</v>
      </c>
      <c r="X621" s="2">
        <v>0.60944444444444401</v>
      </c>
      <c r="Y621">
        <v>65</v>
      </c>
    </row>
    <row r="622" spans="1:25" ht="15" customHeight="1" x14ac:dyDescent="0.2">
      <c r="A622" s="1">
        <v>46258</v>
      </c>
      <c r="B622" t="s">
        <v>42</v>
      </c>
      <c r="C622" t="s">
        <v>43</v>
      </c>
      <c r="D622" t="s">
        <v>38</v>
      </c>
      <c r="E622" t="s">
        <v>31</v>
      </c>
      <c r="F622" s="2">
        <v>0.33402777777777798</v>
      </c>
      <c r="G622" s="2">
        <v>0.36736111111111103</v>
      </c>
      <c r="H622">
        <v>48</v>
      </c>
      <c r="I622" s="3">
        <v>0.33333333333333298</v>
      </c>
      <c r="J622" s="2">
        <v>0.375</v>
      </c>
      <c r="K622">
        <v>60</v>
      </c>
      <c r="L622" s="2">
        <v>0.33402777777777798</v>
      </c>
      <c r="M622" s="2">
        <v>0.360416666666667</v>
      </c>
      <c r="N622">
        <v>38</v>
      </c>
      <c r="O622" s="2">
        <v>0.34583333333333299</v>
      </c>
      <c r="P622" s="2">
        <v>0.35763888888888901</v>
      </c>
      <c r="Q622" s="2">
        <v>0.360416666666667</v>
      </c>
      <c r="R622">
        <v>38</v>
      </c>
      <c r="S622">
        <v>17</v>
      </c>
      <c r="T622" s="2">
        <v>0.36371527777777801</v>
      </c>
      <c r="U622" s="2">
        <v>0.38194444444444398</v>
      </c>
      <c r="V622">
        <v>27</v>
      </c>
      <c r="W622" s="2">
        <v>0.38263888888888897</v>
      </c>
      <c r="X622" s="2">
        <v>0.40833333333333299</v>
      </c>
      <c r="Y622">
        <v>37</v>
      </c>
    </row>
    <row r="623" spans="1:25" ht="15" customHeight="1" x14ac:dyDescent="0.2">
      <c r="A623" s="1">
        <v>46258</v>
      </c>
      <c r="B623" t="s">
        <v>42</v>
      </c>
      <c r="C623" t="s">
        <v>43</v>
      </c>
      <c r="D623" t="s">
        <v>28</v>
      </c>
      <c r="E623" t="s">
        <v>29</v>
      </c>
      <c r="F623" s="2">
        <v>0.33124999999999999</v>
      </c>
      <c r="G623" s="2">
        <v>0.46597222222222201</v>
      </c>
      <c r="H623">
        <v>194</v>
      </c>
      <c r="I623" s="3">
        <v>0.33333333333333298</v>
      </c>
      <c r="J623" s="2">
        <v>0.45833333333333298</v>
      </c>
      <c r="K623">
        <v>180</v>
      </c>
      <c r="L623" s="2">
        <v>0.33124999999999999</v>
      </c>
      <c r="M623" s="2">
        <v>0.46111111111111103</v>
      </c>
      <c r="N623">
        <v>187</v>
      </c>
      <c r="O623" s="2">
        <v>0.35763888888888901</v>
      </c>
      <c r="P623" s="2">
        <v>0.454166666666667</v>
      </c>
      <c r="Q623" s="2">
        <v>0.46111111111111103</v>
      </c>
      <c r="R623">
        <v>187</v>
      </c>
      <c r="S623">
        <v>139</v>
      </c>
      <c r="T623" s="2">
        <v>0.46362268518518501</v>
      </c>
      <c r="U623" s="2">
        <v>0.49305555555555602</v>
      </c>
      <c r="V623">
        <v>43</v>
      </c>
      <c r="W623" s="2">
        <v>0.49305555555555602</v>
      </c>
      <c r="X623" s="2">
        <v>0.50694444444444398</v>
      </c>
      <c r="Y623">
        <v>20</v>
      </c>
    </row>
    <row r="624" spans="1:25" ht="15" customHeight="1" x14ac:dyDescent="0.2">
      <c r="A624" s="1">
        <v>46258</v>
      </c>
      <c r="B624" t="s">
        <v>42</v>
      </c>
      <c r="C624" t="s">
        <v>43</v>
      </c>
      <c r="D624" t="s">
        <v>28</v>
      </c>
      <c r="E624" t="s">
        <v>31</v>
      </c>
      <c r="F624" s="2">
        <v>0.52708333333333302</v>
      </c>
      <c r="G624" s="2">
        <v>0.60138888888888897</v>
      </c>
      <c r="H624">
        <v>107</v>
      </c>
      <c r="I624" s="3">
        <v>0.51041666666666696</v>
      </c>
      <c r="J624" s="2">
        <v>0.5625</v>
      </c>
      <c r="K624">
        <v>75</v>
      </c>
      <c r="L624" s="2">
        <v>0.52708333333333302</v>
      </c>
      <c r="M624" s="2">
        <v>0.59861111111111098</v>
      </c>
      <c r="N624">
        <v>103</v>
      </c>
      <c r="O624" s="2">
        <v>0.56111111111111101</v>
      </c>
      <c r="P624" s="2">
        <v>0.58819444444444402</v>
      </c>
      <c r="Q624" s="2">
        <v>0.59861111111111098</v>
      </c>
      <c r="R624">
        <v>103</v>
      </c>
      <c r="S624">
        <v>39</v>
      </c>
      <c r="T624" s="2">
        <v>0.59930555555555598</v>
      </c>
      <c r="U624" s="2">
        <v>0.65625</v>
      </c>
      <c r="V624">
        <v>82</v>
      </c>
      <c r="W624" s="2">
        <v>0.656944444444444</v>
      </c>
      <c r="X624" s="2">
        <v>0.73263888888888895</v>
      </c>
      <c r="Y624">
        <v>109</v>
      </c>
    </row>
    <row r="625" spans="1:25" ht="15" customHeight="1" x14ac:dyDescent="0.2">
      <c r="A625" s="1">
        <v>46258</v>
      </c>
      <c r="B625" t="s">
        <v>42</v>
      </c>
      <c r="C625" t="s">
        <v>43</v>
      </c>
      <c r="D625" t="s">
        <v>28</v>
      </c>
      <c r="E625" t="s">
        <v>31</v>
      </c>
      <c r="F625" s="2">
        <v>0.53819444444444398</v>
      </c>
      <c r="G625" s="2">
        <v>0.57083333333333297</v>
      </c>
      <c r="H625">
        <v>47</v>
      </c>
      <c r="I625" s="3">
        <v>0.54166666666666696</v>
      </c>
      <c r="J625" s="2">
        <v>0.58333333333333304</v>
      </c>
      <c r="K625">
        <v>60</v>
      </c>
      <c r="L625" s="2">
        <v>0.53819444444444398</v>
      </c>
      <c r="M625" s="2">
        <v>0.56458333333333299</v>
      </c>
      <c r="N625">
        <v>38</v>
      </c>
      <c r="O625" s="2">
        <v>0.55000000000000004</v>
      </c>
      <c r="P625" s="2">
        <v>0.55972222222222201</v>
      </c>
      <c r="Q625" s="2">
        <v>0.56458333333333299</v>
      </c>
      <c r="R625">
        <v>38</v>
      </c>
      <c r="S625">
        <v>14</v>
      </c>
      <c r="T625" s="2">
        <v>0.56844907407407397</v>
      </c>
      <c r="U625" s="2">
        <v>0.60416666666666696</v>
      </c>
      <c r="V625">
        <v>52</v>
      </c>
      <c r="W625" s="2">
        <v>0.60416666666666696</v>
      </c>
      <c r="X625" s="2">
        <v>0.627581018518519</v>
      </c>
      <c r="Y625">
        <v>33</v>
      </c>
    </row>
    <row r="626" spans="1:25" ht="15" customHeight="1" x14ac:dyDescent="0.2">
      <c r="A626" s="1">
        <v>46258</v>
      </c>
      <c r="B626" t="s">
        <v>26</v>
      </c>
      <c r="C626" t="s">
        <v>27</v>
      </c>
      <c r="D626" t="s">
        <v>28</v>
      </c>
      <c r="E626" t="s">
        <v>29</v>
      </c>
      <c r="F626" s="2">
        <v>0.56944444444444398</v>
      </c>
      <c r="G626" s="2">
        <v>0.67986111111111103</v>
      </c>
      <c r="H626">
        <v>159</v>
      </c>
      <c r="I626" s="3">
        <v>0.54166666666666696</v>
      </c>
      <c r="J626" s="2">
        <v>0.66666666666666696</v>
      </c>
      <c r="K626">
        <v>180</v>
      </c>
      <c r="L626" s="2">
        <v>0.56944444444444398</v>
      </c>
      <c r="M626" s="2">
        <v>0.67638888888888904</v>
      </c>
      <c r="N626">
        <v>154</v>
      </c>
      <c r="O626" s="2">
        <v>0.59375</v>
      </c>
      <c r="P626" s="2">
        <v>0.66458333333333297</v>
      </c>
      <c r="Q626" s="2">
        <v>0.67638888888888904</v>
      </c>
      <c r="R626">
        <v>154</v>
      </c>
      <c r="S626">
        <v>102</v>
      </c>
      <c r="T626" s="2">
        <v>0.67873842592592604</v>
      </c>
      <c r="U626" s="2">
        <v>0.69025462962963002</v>
      </c>
      <c r="V626">
        <v>16</v>
      </c>
    </row>
    <row r="627" spans="1:25" ht="15" customHeight="1" x14ac:dyDescent="0.2">
      <c r="A627" s="1">
        <v>46258</v>
      </c>
      <c r="B627" t="s">
        <v>26</v>
      </c>
      <c r="C627" t="s">
        <v>27</v>
      </c>
      <c r="D627" t="s">
        <v>28</v>
      </c>
      <c r="E627" t="s">
        <v>29</v>
      </c>
      <c r="F627" s="2">
        <v>0.36111111111111099</v>
      </c>
      <c r="G627" s="2">
        <v>0.43958333333333299</v>
      </c>
      <c r="H627">
        <v>113</v>
      </c>
      <c r="I627" s="3">
        <v>0.33333333333333298</v>
      </c>
      <c r="J627" s="2">
        <v>0.38541666666666702</v>
      </c>
      <c r="K627">
        <v>75</v>
      </c>
      <c r="L627" s="2">
        <v>0.36111111111111099</v>
      </c>
      <c r="M627" s="2">
        <v>0.43333333333333302</v>
      </c>
      <c r="N627">
        <v>104</v>
      </c>
      <c r="O627" s="2">
        <v>0.38819444444444401</v>
      </c>
      <c r="P627" s="2">
        <v>0.42430555555555599</v>
      </c>
      <c r="Q627" s="2">
        <v>0.43333333333333302</v>
      </c>
      <c r="R627">
        <v>104</v>
      </c>
      <c r="S627">
        <v>52</v>
      </c>
      <c r="T627" s="2">
        <v>0.43472222222222201</v>
      </c>
      <c r="U627" s="2">
        <v>0.45833333333333298</v>
      </c>
      <c r="V627">
        <v>34</v>
      </c>
      <c r="W627" s="2">
        <v>0.45902777777777798</v>
      </c>
      <c r="X627" s="2">
        <v>0.49375000000000002</v>
      </c>
      <c r="Y627">
        <v>50</v>
      </c>
    </row>
    <row r="628" spans="1:25" ht="15" customHeight="1" x14ac:dyDescent="0.2">
      <c r="A628" s="1">
        <v>46258</v>
      </c>
      <c r="B628" t="s">
        <v>42</v>
      </c>
      <c r="C628" t="s">
        <v>43</v>
      </c>
      <c r="D628" t="s">
        <v>34</v>
      </c>
      <c r="E628" t="s">
        <v>31</v>
      </c>
      <c r="F628" s="2">
        <v>0.52361111111111103</v>
      </c>
      <c r="G628" s="2">
        <v>0.67361111111111105</v>
      </c>
      <c r="H628">
        <v>216</v>
      </c>
      <c r="I628" s="3">
        <v>0.52083333333333304</v>
      </c>
      <c r="J628" s="2">
        <v>0.625</v>
      </c>
      <c r="K628">
        <v>150</v>
      </c>
      <c r="L628" s="2">
        <v>0.52361111111111103</v>
      </c>
      <c r="M628" s="2">
        <v>0.66805555555555596</v>
      </c>
      <c r="N628">
        <v>208</v>
      </c>
      <c r="O628" s="2">
        <v>0.55763888888888902</v>
      </c>
      <c r="P628" s="2">
        <v>0.66388888888888897</v>
      </c>
      <c r="Q628" s="2">
        <v>0.66805555555555596</v>
      </c>
      <c r="R628">
        <v>208</v>
      </c>
      <c r="S628">
        <v>153</v>
      </c>
      <c r="T628" s="2">
        <v>0.67034722222222198</v>
      </c>
      <c r="U628" s="2">
        <v>0.70775462962962998</v>
      </c>
      <c r="V628">
        <v>54</v>
      </c>
      <c r="W628" s="2">
        <v>0.70777777777777795</v>
      </c>
      <c r="X628" s="2">
        <v>0.72916666666666696</v>
      </c>
      <c r="Y628">
        <v>31</v>
      </c>
    </row>
    <row r="629" spans="1:25" ht="15" customHeight="1" x14ac:dyDescent="0.2">
      <c r="A629" s="1">
        <v>46258</v>
      </c>
      <c r="B629" t="s">
        <v>26</v>
      </c>
      <c r="C629" t="s">
        <v>27</v>
      </c>
      <c r="D629" t="s">
        <v>28</v>
      </c>
      <c r="E629" t="s">
        <v>29</v>
      </c>
      <c r="F629" s="2">
        <v>0.47152777777777799</v>
      </c>
      <c r="G629" s="2">
        <v>0.56597222222222199</v>
      </c>
      <c r="H629">
        <v>136</v>
      </c>
      <c r="I629" s="3">
        <v>0.42708333333333298</v>
      </c>
      <c r="J629" s="2">
        <v>0.53125</v>
      </c>
      <c r="K629">
        <v>150</v>
      </c>
      <c r="L629" s="2">
        <v>0.468055555555556</v>
      </c>
      <c r="M629" s="2">
        <v>0.55972222222222201</v>
      </c>
      <c r="N629">
        <v>132</v>
      </c>
      <c r="O629" s="2">
        <v>0.50138888888888899</v>
      </c>
      <c r="P629" s="2">
        <v>0.55555555555555602</v>
      </c>
      <c r="Q629" s="2">
        <v>0.55972222222222201</v>
      </c>
      <c r="R629">
        <v>132</v>
      </c>
      <c r="S629">
        <v>78</v>
      </c>
      <c r="T629" s="2">
        <v>0.56111111111111101</v>
      </c>
      <c r="U629" s="2">
        <v>0.59791666666666698</v>
      </c>
      <c r="V629">
        <v>53</v>
      </c>
    </row>
    <row r="630" spans="1:25" ht="15" customHeight="1" x14ac:dyDescent="0.2">
      <c r="A630" s="1">
        <v>46258</v>
      </c>
      <c r="B630" t="s">
        <v>26</v>
      </c>
      <c r="C630" t="s">
        <v>27</v>
      </c>
      <c r="D630" t="s">
        <v>28</v>
      </c>
      <c r="E630" t="s">
        <v>29</v>
      </c>
      <c r="F630" s="2">
        <v>0.40347222222222201</v>
      </c>
      <c r="G630" s="2">
        <v>0.60277777777777797</v>
      </c>
      <c r="H630">
        <v>287</v>
      </c>
      <c r="I630" s="3">
        <v>0.39583333333333298</v>
      </c>
      <c r="J630" s="2">
        <v>0.5625</v>
      </c>
      <c r="K630">
        <v>240</v>
      </c>
      <c r="L630" s="2">
        <v>0.40277777777777801</v>
      </c>
      <c r="M630" s="2">
        <v>0.59583333333333299</v>
      </c>
      <c r="N630">
        <v>278</v>
      </c>
      <c r="O630" s="2">
        <v>0.47708333333333303</v>
      </c>
      <c r="P630" s="2">
        <v>0.58611111111111103</v>
      </c>
      <c r="Q630" s="2">
        <v>0.59583333333333299</v>
      </c>
      <c r="R630">
        <v>278</v>
      </c>
      <c r="S630">
        <v>157</v>
      </c>
    </row>
    <row r="631" spans="1:25" ht="15" customHeight="1" x14ac:dyDescent="0.2">
      <c r="A631" s="1">
        <v>46258</v>
      </c>
      <c r="B631" t="s">
        <v>26</v>
      </c>
      <c r="C631" t="s">
        <v>27</v>
      </c>
      <c r="D631" t="s">
        <v>28</v>
      </c>
      <c r="E631" t="s">
        <v>29</v>
      </c>
      <c r="F631" s="2">
        <v>0.56458333333333299</v>
      </c>
      <c r="G631" s="2">
        <v>0.61666666666666703</v>
      </c>
      <c r="H631">
        <v>75</v>
      </c>
      <c r="I631" s="3">
        <v>0.54166666666666696</v>
      </c>
      <c r="J631" s="2">
        <v>0.67361111111111105</v>
      </c>
      <c r="K631">
        <v>220</v>
      </c>
      <c r="L631" s="2">
        <v>0.56458333333333299</v>
      </c>
      <c r="M631" s="2">
        <v>0.61041666666666705</v>
      </c>
      <c r="N631">
        <v>66</v>
      </c>
      <c r="O631" s="2">
        <v>0.58541666666666703</v>
      </c>
      <c r="P631" s="2">
        <v>0.60416666666666696</v>
      </c>
      <c r="Q631" s="2">
        <v>0.61041666666666705</v>
      </c>
      <c r="R631">
        <v>66</v>
      </c>
      <c r="S631">
        <v>27</v>
      </c>
      <c r="T631" s="2">
        <v>0.61579861111111101</v>
      </c>
      <c r="U631" s="2">
        <v>0.65310185185185199</v>
      </c>
      <c r="V631">
        <v>54</v>
      </c>
    </row>
    <row r="632" spans="1:25" ht="15" customHeight="1" x14ac:dyDescent="0.2">
      <c r="A632" s="1">
        <v>46258</v>
      </c>
      <c r="B632" t="s">
        <v>26</v>
      </c>
      <c r="C632" t="s">
        <v>27</v>
      </c>
      <c r="D632" t="s">
        <v>28</v>
      </c>
      <c r="E632" t="s">
        <v>29</v>
      </c>
      <c r="F632" s="2">
        <v>0.64375000000000004</v>
      </c>
      <c r="G632" s="2">
        <v>0.73263888888888895</v>
      </c>
      <c r="H632">
        <v>128</v>
      </c>
      <c r="I632" s="3">
        <v>0.58333333333333304</v>
      </c>
      <c r="J632" s="2">
        <v>0.67361111111111105</v>
      </c>
      <c r="K632">
        <v>130</v>
      </c>
      <c r="L632" s="2">
        <v>0.64375000000000004</v>
      </c>
      <c r="M632" s="2">
        <v>0.72916666666666696</v>
      </c>
      <c r="N632">
        <v>123</v>
      </c>
      <c r="O632" s="2">
        <v>0.67500000000000004</v>
      </c>
      <c r="P632" s="2">
        <v>0.719444444444444</v>
      </c>
      <c r="Q632" s="2">
        <v>0.72916666666666696</v>
      </c>
      <c r="R632">
        <v>123</v>
      </c>
      <c r="S632">
        <v>64</v>
      </c>
      <c r="T632" s="2">
        <v>0.73055555555555596</v>
      </c>
      <c r="U632" s="2">
        <v>0.77608796296296301</v>
      </c>
      <c r="V632">
        <v>65</v>
      </c>
    </row>
    <row r="633" spans="1:25" ht="15" customHeight="1" x14ac:dyDescent="0.2">
      <c r="A633" s="1">
        <v>46258</v>
      </c>
      <c r="B633" t="s">
        <v>42</v>
      </c>
      <c r="C633" t="s">
        <v>43</v>
      </c>
      <c r="D633" t="s">
        <v>28</v>
      </c>
      <c r="E633" t="s">
        <v>31</v>
      </c>
      <c r="F633" s="2">
        <v>0.33958333333333302</v>
      </c>
      <c r="G633" s="2">
        <v>0.36944444444444402</v>
      </c>
      <c r="H633">
        <v>43</v>
      </c>
      <c r="I633" s="3">
        <v>0.33333333333333298</v>
      </c>
      <c r="J633" s="2">
        <v>0.36458333333333298</v>
      </c>
      <c r="K633">
        <v>45</v>
      </c>
      <c r="L633" s="2">
        <v>0.33958333333333302</v>
      </c>
      <c r="M633" s="2">
        <v>0.36597222222222198</v>
      </c>
      <c r="N633">
        <v>38</v>
      </c>
      <c r="O633" s="2">
        <v>0.35416666666666702</v>
      </c>
      <c r="P633" s="2">
        <v>0.359722222222222</v>
      </c>
      <c r="Q633" s="2">
        <v>0.36597222222222198</v>
      </c>
      <c r="R633">
        <v>38</v>
      </c>
      <c r="S633">
        <v>8</v>
      </c>
      <c r="T633" s="2">
        <v>0.367650462962963</v>
      </c>
      <c r="U633" s="2">
        <v>0.41736111111111102</v>
      </c>
      <c r="V633">
        <v>72</v>
      </c>
      <c r="W633" s="2">
        <v>0.41805555555555601</v>
      </c>
      <c r="X633" s="2">
        <v>0.46388888888888902</v>
      </c>
      <c r="Y633">
        <v>66</v>
      </c>
    </row>
    <row r="634" spans="1:25" ht="15" customHeight="1" x14ac:dyDescent="0.2">
      <c r="A634" s="1">
        <v>46258</v>
      </c>
      <c r="B634" t="s">
        <v>26</v>
      </c>
      <c r="C634" t="s">
        <v>27</v>
      </c>
      <c r="D634" t="s">
        <v>38</v>
      </c>
      <c r="E634" t="s">
        <v>29</v>
      </c>
      <c r="F634" s="2">
        <v>0.65208333333333302</v>
      </c>
      <c r="G634" s="2">
        <v>0.69166666666666698</v>
      </c>
      <c r="H634">
        <v>57</v>
      </c>
      <c r="I634" s="3">
        <v>0.66666666666666696</v>
      </c>
      <c r="J634" s="2">
        <v>0.70486111111111105</v>
      </c>
      <c r="K634">
        <v>85</v>
      </c>
      <c r="L634" s="2">
        <v>0.65208333333333302</v>
      </c>
      <c r="M634" s="2">
        <v>0.68541666666666701</v>
      </c>
      <c r="N634">
        <v>48</v>
      </c>
      <c r="O634" s="2">
        <v>0.66597222222222197</v>
      </c>
      <c r="P634" s="2">
        <v>0.68125000000000002</v>
      </c>
      <c r="Q634" s="2">
        <v>0.68541666666666701</v>
      </c>
      <c r="R634">
        <v>48</v>
      </c>
      <c r="S634">
        <v>22</v>
      </c>
      <c r="T634" s="2">
        <v>0.688194444444444</v>
      </c>
      <c r="U634" s="2">
        <v>0.70555555555555605</v>
      </c>
      <c r="V634">
        <v>25</v>
      </c>
    </row>
    <row r="635" spans="1:25" ht="15" customHeight="1" x14ac:dyDescent="0.2">
      <c r="A635" s="1">
        <v>46258</v>
      </c>
      <c r="B635" t="s">
        <v>26</v>
      </c>
      <c r="C635" t="s">
        <v>27</v>
      </c>
      <c r="D635" t="s">
        <v>28</v>
      </c>
      <c r="E635" t="s">
        <v>31</v>
      </c>
      <c r="F635" s="2">
        <v>0.49722222222222201</v>
      </c>
      <c r="G635" s="2">
        <v>0.65486111111111101</v>
      </c>
      <c r="H635">
        <v>227</v>
      </c>
      <c r="I635" s="3">
        <v>0.5</v>
      </c>
      <c r="J635" s="2">
        <v>0.68402777777777801</v>
      </c>
      <c r="K635">
        <v>295</v>
      </c>
      <c r="L635" s="2">
        <v>0.49375000000000002</v>
      </c>
      <c r="M635" s="2">
        <v>0.65069444444444402</v>
      </c>
      <c r="N635">
        <v>226</v>
      </c>
      <c r="O635" s="2">
        <v>0.51666666666666705</v>
      </c>
      <c r="P635" s="2">
        <v>0.64791666666666703</v>
      </c>
      <c r="Q635" s="2">
        <v>0.65069444444444402</v>
      </c>
      <c r="R635">
        <v>226</v>
      </c>
      <c r="S635">
        <v>189</v>
      </c>
      <c r="T635" s="2">
        <v>0.65375000000000005</v>
      </c>
      <c r="U635" s="2">
        <v>0.70859953703703704</v>
      </c>
      <c r="V635">
        <v>79</v>
      </c>
    </row>
    <row r="636" spans="1:25" ht="15" customHeight="1" x14ac:dyDescent="0.2">
      <c r="A636" s="1">
        <v>46258</v>
      </c>
      <c r="B636" t="s">
        <v>42</v>
      </c>
      <c r="C636" t="s">
        <v>43</v>
      </c>
      <c r="D636" t="s">
        <v>28</v>
      </c>
      <c r="E636" t="s">
        <v>31</v>
      </c>
      <c r="F636" s="2">
        <v>0.33472222222222198</v>
      </c>
      <c r="G636" s="2">
        <v>0.44722222222222202</v>
      </c>
      <c r="H636">
        <v>162</v>
      </c>
      <c r="I636" s="3">
        <v>0.33333333333333298</v>
      </c>
      <c r="J636" s="2">
        <v>0.46180555555555602</v>
      </c>
      <c r="K636">
        <v>215</v>
      </c>
      <c r="L636" s="2">
        <v>0.33472222222222198</v>
      </c>
      <c r="M636" s="2">
        <v>0.44374999999999998</v>
      </c>
      <c r="N636">
        <v>157</v>
      </c>
      <c r="O636" s="2">
        <v>0.35486111111111102</v>
      </c>
      <c r="P636" s="2">
        <v>0.44097222222222199</v>
      </c>
      <c r="Q636" s="2">
        <v>0.44374999999999998</v>
      </c>
      <c r="R636">
        <v>157</v>
      </c>
      <c r="S636">
        <v>124</v>
      </c>
      <c r="T636" s="2">
        <v>0.44488425925925901</v>
      </c>
      <c r="U636" s="2">
        <v>0.47916666666666702</v>
      </c>
      <c r="V636">
        <v>50</v>
      </c>
    </row>
    <row r="637" spans="1:25" ht="15" customHeight="1" x14ac:dyDescent="0.2">
      <c r="A637" s="1">
        <v>46258</v>
      </c>
      <c r="B637" t="s">
        <v>26</v>
      </c>
      <c r="C637" t="s">
        <v>27</v>
      </c>
      <c r="D637" t="s">
        <v>28</v>
      </c>
      <c r="E637" t="s">
        <v>29</v>
      </c>
      <c r="F637" s="2">
        <v>0.77638888888888902</v>
      </c>
      <c r="G637" s="2">
        <v>0.88611111111111096</v>
      </c>
      <c r="H637">
        <v>158</v>
      </c>
      <c r="I637" s="3">
        <v>0.6875</v>
      </c>
      <c r="J637" s="2">
        <v>0.77777777777777801</v>
      </c>
      <c r="K637">
        <v>160</v>
      </c>
      <c r="L637" s="2">
        <v>0.77638888888888902</v>
      </c>
      <c r="M637" s="2">
        <v>0.88124999999999998</v>
      </c>
      <c r="N637">
        <v>151</v>
      </c>
      <c r="O637" s="2">
        <v>0.80763888888888902</v>
      </c>
      <c r="P637" s="2">
        <v>0.875694444444444</v>
      </c>
      <c r="Q637" s="2">
        <v>0.88124999999999998</v>
      </c>
      <c r="R637">
        <v>151</v>
      </c>
      <c r="S637">
        <v>98</v>
      </c>
      <c r="T637" s="2">
        <v>0.88560185185185203</v>
      </c>
      <c r="U637" s="2">
        <v>0.93293981481481503</v>
      </c>
      <c r="V637">
        <v>68</v>
      </c>
    </row>
    <row r="638" spans="1:25" ht="15" customHeight="1" x14ac:dyDescent="0.2">
      <c r="A638" s="1">
        <v>46258</v>
      </c>
      <c r="B638" t="s">
        <v>26</v>
      </c>
      <c r="C638" t="s">
        <v>27</v>
      </c>
      <c r="D638" t="s">
        <v>28</v>
      </c>
      <c r="E638" t="s">
        <v>31</v>
      </c>
      <c r="F638" s="2">
        <v>0.47013888888888899</v>
      </c>
      <c r="G638" s="2">
        <v>0.52430555555555602</v>
      </c>
      <c r="H638">
        <v>78</v>
      </c>
      <c r="I638" s="3">
        <v>0.4375</v>
      </c>
      <c r="J638" s="2">
        <v>0.48263888888888901</v>
      </c>
      <c r="K638">
        <v>95</v>
      </c>
      <c r="L638" s="2">
        <v>0.47013888888888899</v>
      </c>
      <c r="M638" s="2">
        <v>0.52083333333333304</v>
      </c>
      <c r="N638">
        <v>73</v>
      </c>
      <c r="O638" s="2">
        <v>0.48680555555555599</v>
      </c>
      <c r="P638" s="2">
        <v>0.51527777777777795</v>
      </c>
      <c r="Q638" s="2">
        <v>0.52083333333333304</v>
      </c>
      <c r="R638">
        <v>73</v>
      </c>
      <c r="S638">
        <v>41</v>
      </c>
      <c r="T638" s="2">
        <v>0.52230324074074097</v>
      </c>
      <c r="U638" s="2">
        <v>0.5625</v>
      </c>
      <c r="V638">
        <v>58</v>
      </c>
    </row>
    <row r="639" spans="1:25" ht="15" customHeight="1" x14ac:dyDescent="0.2">
      <c r="A639" s="1">
        <v>46258</v>
      </c>
      <c r="B639" t="s">
        <v>26</v>
      </c>
      <c r="C639" t="s">
        <v>27</v>
      </c>
      <c r="D639" t="s">
        <v>28</v>
      </c>
      <c r="E639" t="s">
        <v>31</v>
      </c>
      <c r="F639" s="2">
        <v>0.55486111111111103</v>
      </c>
      <c r="G639" s="2">
        <v>0.66180555555555598</v>
      </c>
      <c r="H639">
        <v>154</v>
      </c>
      <c r="I639" s="3">
        <v>0.52777777777777801</v>
      </c>
      <c r="J639" s="2">
        <v>0.58680555555555602</v>
      </c>
      <c r="K639">
        <v>115</v>
      </c>
      <c r="L639" s="2">
        <v>0.55486111111111103</v>
      </c>
      <c r="M639" s="2">
        <v>0.65833333333333299</v>
      </c>
      <c r="N639">
        <v>149</v>
      </c>
      <c r="O639" s="2">
        <v>0.57430555555555596</v>
      </c>
      <c r="P639" s="2">
        <v>0.65347222222222201</v>
      </c>
      <c r="Q639" s="2">
        <v>0.65833333333333299</v>
      </c>
      <c r="R639">
        <v>149</v>
      </c>
      <c r="S639">
        <v>114</v>
      </c>
      <c r="T639" s="2">
        <v>0.66111111111111098</v>
      </c>
      <c r="U639" s="2">
        <v>0.70833333333333304</v>
      </c>
      <c r="V639">
        <v>68</v>
      </c>
    </row>
    <row r="640" spans="1:25" ht="15" customHeight="1" x14ac:dyDescent="0.2">
      <c r="A640" s="1">
        <v>46258</v>
      </c>
      <c r="B640" t="s">
        <v>48</v>
      </c>
      <c r="C640" t="s">
        <v>27</v>
      </c>
      <c r="D640" t="s">
        <v>38</v>
      </c>
      <c r="E640" t="s">
        <v>31</v>
      </c>
      <c r="F640" s="2">
        <v>0.60833333333333295</v>
      </c>
      <c r="G640" s="2">
        <v>0.64513888888888904</v>
      </c>
      <c r="H640">
        <v>53</v>
      </c>
      <c r="I640" s="3">
        <v>0.60416666666666696</v>
      </c>
      <c r="J640" s="2">
        <v>0.64236111111111105</v>
      </c>
      <c r="K640">
        <v>85</v>
      </c>
      <c r="L640" s="2">
        <v>0.60833333333333295</v>
      </c>
      <c r="M640" s="2">
        <v>0.63958333333333295</v>
      </c>
      <c r="N640">
        <v>45</v>
      </c>
      <c r="O640" s="2">
        <v>0.61388888888888904</v>
      </c>
      <c r="P640" s="2">
        <v>0.63749999999999996</v>
      </c>
      <c r="Q640" s="2">
        <v>0.63958333333333295</v>
      </c>
      <c r="R640">
        <v>45</v>
      </c>
      <c r="S640">
        <v>34</v>
      </c>
      <c r="T640" s="2">
        <v>0.64047453703703705</v>
      </c>
      <c r="U640" s="2">
        <v>0.67216435185185197</v>
      </c>
      <c r="V640">
        <v>45</v>
      </c>
      <c r="W640" s="2">
        <v>0.67217592592592601</v>
      </c>
      <c r="X640" s="2">
        <v>0.72619212962962998</v>
      </c>
      <c r="Y640">
        <v>78</v>
      </c>
    </row>
    <row r="641" spans="1:25" ht="15" customHeight="1" x14ac:dyDescent="0.2">
      <c r="A641" s="1">
        <v>46258</v>
      </c>
      <c r="B641" t="s">
        <v>26</v>
      </c>
      <c r="C641" t="s">
        <v>27</v>
      </c>
      <c r="D641" t="s">
        <v>28</v>
      </c>
      <c r="E641" t="s">
        <v>29</v>
      </c>
      <c r="F641" s="2">
        <v>0.77361111111111103</v>
      </c>
      <c r="G641" s="2">
        <v>0.83333333333333304</v>
      </c>
      <c r="H641">
        <v>86</v>
      </c>
      <c r="I641" s="3">
        <v>0.72916666666666696</v>
      </c>
      <c r="J641" s="2">
        <v>0.78819444444444398</v>
      </c>
      <c r="K641">
        <v>115</v>
      </c>
      <c r="L641" s="2">
        <v>0.77361111111111103</v>
      </c>
      <c r="M641" s="2">
        <v>0.82986111111111105</v>
      </c>
      <c r="N641">
        <v>81</v>
      </c>
      <c r="O641" s="2">
        <v>0.79722222222222205</v>
      </c>
      <c r="P641" s="2">
        <v>0.82222222222222197</v>
      </c>
      <c r="Q641" s="2">
        <v>0.82986111111111105</v>
      </c>
      <c r="R641">
        <v>81</v>
      </c>
      <c r="S641">
        <v>36</v>
      </c>
      <c r="T641" s="2">
        <v>0.82986111111111105</v>
      </c>
      <c r="U641" s="2">
        <v>0.844444444444444</v>
      </c>
      <c r="V641">
        <v>21</v>
      </c>
    </row>
    <row r="642" spans="1:25" ht="15" customHeight="1" x14ac:dyDescent="0.2">
      <c r="A642" s="1">
        <v>46258</v>
      </c>
      <c r="B642" t="s">
        <v>26</v>
      </c>
      <c r="C642" t="s">
        <v>27</v>
      </c>
      <c r="D642" t="s">
        <v>28</v>
      </c>
      <c r="E642" t="s">
        <v>29</v>
      </c>
      <c r="F642" s="2">
        <v>0.70625000000000004</v>
      </c>
      <c r="G642" s="2">
        <v>0.74097222222222203</v>
      </c>
      <c r="H642">
        <v>50</v>
      </c>
      <c r="I642" s="3">
        <v>0.67708333333333304</v>
      </c>
      <c r="J642" s="2">
        <v>0.71180555555555602</v>
      </c>
      <c r="K642">
        <v>80</v>
      </c>
      <c r="L642" s="2">
        <v>0.70625000000000004</v>
      </c>
      <c r="M642" s="2">
        <v>0.73750000000000004</v>
      </c>
      <c r="N642">
        <v>45</v>
      </c>
      <c r="O642" s="2">
        <v>0.72499999999999998</v>
      </c>
      <c r="P642" s="2">
        <v>0.73263888888888895</v>
      </c>
      <c r="Q642" s="2">
        <v>0.73750000000000004</v>
      </c>
      <c r="R642">
        <v>45</v>
      </c>
      <c r="S642">
        <v>11</v>
      </c>
      <c r="T642" s="2">
        <v>0.73958333333333304</v>
      </c>
      <c r="U642" s="2">
        <v>0.76041666666666696</v>
      </c>
      <c r="V642">
        <v>30</v>
      </c>
    </row>
    <row r="643" spans="1:25" ht="15" customHeight="1" x14ac:dyDescent="0.2">
      <c r="A643" s="1">
        <v>46258</v>
      </c>
      <c r="B643" t="s">
        <v>26</v>
      </c>
      <c r="C643" t="s">
        <v>27</v>
      </c>
      <c r="D643" t="s">
        <v>28</v>
      </c>
      <c r="E643" t="s">
        <v>29</v>
      </c>
      <c r="F643" s="2">
        <v>0.75</v>
      </c>
      <c r="G643" s="2">
        <v>0.83333333333333304</v>
      </c>
      <c r="H643">
        <v>120</v>
      </c>
      <c r="I643" s="3">
        <v>0.72916666666666696</v>
      </c>
      <c r="J643" s="2">
        <v>0.84375</v>
      </c>
      <c r="K643">
        <v>195</v>
      </c>
      <c r="L643" s="2">
        <v>0.75</v>
      </c>
      <c r="M643" s="2">
        <v>0.82916666666666705</v>
      </c>
      <c r="N643">
        <v>114</v>
      </c>
      <c r="O643" s="2">
        <v>0.77152777777777803</v>
      </c>
      <c r="P643" s="2">
        <v>0.82430555555555596</v>
      </c>
      <c r="Q643" s="2">
        <v>0.82916666666666705</v>
      </c>
      <c r="R643">
        <v>114</v>
      </c>
      <c r="S643">
        <v>76</v>
      </c>
      <c r="T643" s="2">
        <v>0.82986111111111105</v>
      </c>
      <c r="U643" s="2">
        <v>0.85416666666666696</v>
      </c>
      <c r="V643">
        <v>35</v>
      </c>
    </row>
    <row r="644" spans="1:25" ht="15" customHeight="1" x14ac:dyDescent="0.2">
      <c r="A644" s="1">
        <v>46258</v>
      </c>
      <c r="B644" t="s">
        <v>26</v>
      </c>
      <c r="C644" t="s">
        <v>27</v>
      </c>
      <c r="D644" t="s">
        <v>28</v>
      </c>
      <c r="E644" t="s">
        <v>36</v>
      </c>
      <c r="F644" s="2">
        <v>0.75902777777777797</v>
      </c>
      <c r="G644" s="2">
        <v>0.82708333333333295</v>
      </c>
      <c r="H644">
        <v>98</v>
      </c>
      <c r="I644" s="3">
        <v>0.76041666666666696</v>
      </c>
      <c r="J644" s="2">
        <v>0.83333333333333304</v>
      </c>
      <c r="K644">
        <v>135</v>
      </c>
      <c r="L644" s="2">
        <v>0.75902777777777797</v>
      </c>
      <c r="M644" s="2">
        <v>0.82152777777777797</v>
      </c>
      <c r="N644">
        <v>90</v>
      </c>
      <c r="O644" s="2">
        <v>0.77361111111111103</v>
      </c>
      <c r="P644" s="2">
        <v>0.80972222222222201</v>
      </c>
      <c r="Q644" s="2">
        <v>0.82152777777777797</v>
      </c>
      <c r="R644">
        <v>90</v>
      </c>
      <c r="S644">
        <v>52</v>
      </c>
    </row>
    <row r="645" spans="1:25" ht="15" customHeight="1" x14ac:dyDescent="0.2">
      <c r="A645" s="1">
        <v>46258</v>
      </c>
      <c r="B645" t="s">
        <v>26</v>
      </c>
      <c r="C645" t="s">
        <v>27</v>
      </c>
      <c r="D645" t="s">
        <v>34</v>
      </c>
      <c r="E645" t="s">
        <v>29</v>
      </c>
      <c r="F645" s="2">
        <v>0.33958333333333302</v>
      </c>
      <c r="G645" s="2">
        <v>0.48680555555555599</v>
      </c>
      <c r="H645">
        <v>212</v>
      </c>
      <c r="I645" s="3">
        <v>0.33333333333333298</v>
      </c>
      <c r="J645" s="2">
        <v>0.5</v>
      </c>
      <c r="K645">
        <v>240</v>
      </c>
      <c r="L645" s="2">
        <v>0.33958333333333302</v>
      </c>
      <c r="M645" s="2">
        <v>0.48194444444444401</v>
      </c>
      <c r="N645">
        <v>205</v>
      </c>
      <c r="O645" s="2">
        <v>0.375694444444444</v>
      </c>
      <c r="P645" s="2">
        <v>0.47847222222222202</v>
      </c>
      <c r="Q645" s="2">
        <v>0.48194444444444401</v>
      </c>
      <c r="R645">
        <v>205</v>
      </c>
      <c r="S645">
        <v>148</v>
      </c>
      <c r="T645" s="2">
        <v>0.48291666666666699</v>
      </c>
      <c r="U645" s="2">
        <v>0.50414351851851802</v>
      </c>
      <c r="V645">
        <v>30</v>
      </c>
    </row>
    <row r="646" spans="1:25" ht="15" customHeight="1" x14ac:dyDescent="0.2">
      <c r="A646" s="1">
        <v>46258</v>
      </c>
      <c r="B646" t="s">
        <v>26</v>
      </c>
      <c r="C646" t="s">
        <v>27</v>
      </c>
      <c r="D646" t="s">
        <v>34</v>
      </c>
      <c r="E646" t="s">
        <v>36</v>
      </c>
      <c r="F646" s="2">
        <v>0.27083333333333298</v>
      </c>
      <c r="G646" s="2">
        <v>0.65833333333333299</v>
      </c>
      <c r="H646">
        <v>558</v>
      </c>
      <c r="I646" s="3">
        <v>0.26041666666666702</v>
      </c>
      <c r="J646" s="2">
        <v>0.51041666666666696</v>
      </c>
      <c r="K646">
        <v>360</v>
      </c>
      <c r="L646" s="2">
        <v>0.27083333333333298</v>
      </c>
      <c r="M646" s="2">
        <v>0.63958333333333295</v>
      </c>
      <c r="N646">
        <v>531</v>
      </c>
      <c r="O646" s="2">
        <v>0.41527777777777802</v>
      </c>
      <c r="P646" s="2">
        <v>0.62638888888888899</v>
      </c>
      <c r="Q646" s="2">
        <v>0.63958333333333295</v>
      </c>
      <c r="R646">
        <v>531</v>
      </c>
      <c r="S646">
        <v>304</v>
      </c>
    </row>
    <row r="647" spans="1:25" ht="15" customHeight="1" x14ac:dyDescent="0.2">
      <c r="A647" s="1">
        <v>46259</v>
      </c>
      <c r="B647" t="s">
        <v>42</v>
      </c>
      <c r="C647" t="s">
        <v>43</v>
      </c>
      <c r="D647" t="s">
        <v>34</v>
      </c>
      <c r="E647" t="s">
        <v>31</v>
      </c>
      <c r="F647" s="2">
        <v>0.3125</v>
      </c>
      <c r="G647" s="2">
        <v>0.41736111111111102</v>
      </c>
      <c r="H647">
        <v>151</v>
      </c>
      <c r="I647" s="3">
        <v>0.3125</v>
      </c>
      <c r="J647" s="2">
        <v>0.39583333333333298</v>
      </c>
      <c r="K647">
        <v>120</v>
      </c>
      <c r="L647" s="2">
        <v>0.3125</v>
      </c>
      <c r="M647" s="2">
        <v>0.41041666666666698</v>
      </c>
      <c r="N647">
        <v>141</v>
      </c>
      <c r="O647" s="2">
        <v>0.33611111111111103</v>
      </c>
      <c r="P647" s="2">
        <v>0.406944444444444</v>
      </c>
      <c r="Q647" s="2">
        <v>0.41041666666666698</v>
      </c>
      <c r="R647">
        <v>141</v>
      </c>
      <c r="S647">
        <v>102</v>
      </c>
      <c r="T647" s="2">
        <v>0.414178240740741</v>
      </c>
      <c r="U647" s="2">
        <v>0.43975694444444402</v>
      </c>
      <c r="V647">
        <v>37</v>
      </c>
      <c r="W647" s="2">
        <v>0.44305555555555598</v>
      </c>
      <c r="X647" s="2">
        <v>0.5</v>
      </c>
      <c r="Y647">
        <v>82</v>
      </c>
    </row>
    <row r="648" spans="1:25" ht="15" customHeight="1" x14ac:dyDescent="0.2">
      <c r="A648" s="1">
        <v>46259</v>
      </c>
      <c r="B648" t="s">
        <v>42</v>
      </c>
      <c r="C648" t="s">
        <v>43</v>
      </c>
      <c r="D648" t="s">
        <v>34</v>
      </c>
      <c r="E648" t="s">
        <v>31</v>
      </c>
      <c r="F648" s="2">
        <v>0.31388888888888899</v>
      </c>
      <c r="G648" s="2">
        <v>0.52708333333333302</v>
      </c>
      <c r="H648">
        <v>307</v>
      </c>
      <c r="I648" s="3">
        <v>0.3125</v>
      </c>
      <c r="J648" s="2">
        <v>0.45833333333333298</v>
      </c>
      <c r="K648">
        <v>210</v>
      </c>
      <c r="L648" s="2">
        <v>0.31388888888888899</v>
      </c>
      <c r="M648" s="2">
        <v>0.52013888888888904</v>
      </c>
      <c r="N648">
        <v>297</v>
      </c>
      <c r="O648" s="2">
        <v>0.33680555555555602</v>
      </c>
      <c r="P648" s="2">
        <v>0.51805555555555605</v>
      </c>
      <c r="Q648" s="2">
        <v>0.52013888888888904</v>
      </c>
      <c r="R648">
        <v>297</v>
      </c>
      <c r="S648">
        <v>261</v>
      </c>
      <c r="T648" s="2">
        <v>0.52133101851851804</v>
      </c>
      <c r="U648" s="2">
        <v>0.54979166666666701</v>
      </c>
      <c r="V648">
        <v>41</v>
      </c>
      <c r="W648" s="2">
        <v>0.55416666666666703</v>
      </c>
      <c r="X648" s="2">
        <v>0.58750000000000002</v>
      </c>
      <c r="Y648">
        <v>48</v>
      </c>
    </row>
    <row r="649" spans="1:25" ht="15" customHeight="1" x14ac:dyDescent="0.2">
      <c r="A649" s="1">
        <v>46259</v>
      </c>
      <c r="B649" t="s">
        <v>42</v>
      </c>
      <c r="C649" t="s">
        <v>43</v>
      </c>
      <c r="D649" t="s">
        <v>34</v>
      </c>
      <c r="E649" t="s">
        <v>31</v>
      </c>
      <c r="F649" s="2">
        <v>0.31805555555555598</v>
      </c>
      <c r="G649" s="2">
        <v>0.41944444444444401</v>
      </c>
      <c r="H649">
        <v>146</v>
      </c>
      <c r="I649" s="3">
        <v>0.3125</v>
      </c>
      <c r="J649" s="2">
        <v>0.4375</v>
      </c>
      <c r="K649">
        <v>180</v>
      </c>
      <c r="L649" s="2">
        <v>0.31805555555555598</v>
      </c>
      <c r="M649" s="2">
        <v>0.41597222222222202</v>
      </c>
      <c r="N649">
        <v>141</v>
      </c>
      <c r="O649" s="2">
        <v>0.328472222222222</v>
      </c>
      <c r="P649" s="2">
        <v>0.41249999999999998</v>
      </c>
      <c r="Q649" s="2">
        <v>0.41597222222222202</v>
      </c>
      <c r="R649">
        <v>141</v>
      </c>
      <c r="S649">
        <v>121</v>
      </c>
      <c r="T649" s="2">
        <v>0.41666666666666702</v>
      </c>
      <c r="U649" s="2">
        <v>0.49097222222222198</v>
      </c>
      <c r="V649">
        <v>107</v>
      </c>
      <c r="W649" s="2">
        <v>0.49166666666666697</v>
      </c>
      <c r="X649" s="2">
        <v>0.52708333333333302</v>
      </c>
      <c r="Y649">
        <v>51</v>
      </c>
    </row>
    <row r="650" spans="1:25" ht="15" customHeight="1" x14ac:dyDescent="0.2">
      <c r="A650" s="1">
        <v>46259</v>
      </c>
      <c r="B650" t="s">
        <v>26</v>
      </c>
      <c r="C650" t="s">
        <v>27</v>
      </c>
      <c r="D650" t="s">
        <v>34</v>
      </c>
      <c r="E650" t="s">
        <v>31</v>
      </c>
      <c r="F650" s="2">
        <v>0.43888888888888899</v>
      </c>
      <c r="G650" s="2">
        <v>0.563194444444444</v>
      </c>
      <c r="H650">
        <v>179</v>
      </c>
      <c r="I650" s="3">
        <v>0.41666666666666702</v>
      </c>
      <c r="J650" s="2">
        <v>0.5</v>
      </c>
      <c r="K650">
        <v>120</v>
      </c>
      <c r="L650" s="2">
        <v>0.43888888888888899</v>
      </c>
      <c r="M650" s="2">
        <v>0.55625000000000002</v>
      </c>
      <c r="N650">
        <v>169</v>
      </c>
      <c r="O650" s="2">
        <v>0.46597222222222201</v>
      </c>
      <c r="P650" s="2">
        <v>0.54791666666666705</v>
      </c>
      <c r="Q650" s="2">
        <v>0.55625000000000002</v>
      </c>
      <c r="R650">
        <v>169</v>
      </c>
      <c r="S650">
        <v>118</v>
      </c>
      <c r="T650" s="2">
        <v>0.55681712962963004</v>
      </c>
      <c r="U650" s="2">
        <v>0.59827546296296297</v>
      </c>
      <c r="V650">
        <v>60</v>
      </c>
    </row>
    <row r="651" spans="1:25" ht="15" customHeight="1" x14ac:dyDescent="0.2">
      <c r="A651" s="1">
        <v>46259</v>
      </c>
      <c r="B651" t="s">
        <v>42</v>
      </c>
      <c r="C651" t="s">
        <v>43</v>
      </c>
      <c r="D651" t="s">
        <v>34</v>
      </c>
      <c r="E651" t="s">
        <v>31</v>
      </c>
      <c r="F651" s="2">
        <v>0.58750000000000002</v>
      </c>
      <c r="G651" s="2">
        <v>0.68055555555555602</v>
      </c>
      <c r="H651">
        <v>134</v>
      </c>
      <c r="I651" s="3">
        <v>0.52083333333333304</v>
      </c>
      <c r="J651" s="2">
        <v>0.60416666666666696</v>
      </c>
      <c r="K651">
        <v>120</v>
      </c>
      <c r="L651" s="2">
        <v>0.58750000000000002</v>
      </c>
      <c r="M651" s="2">
        <v>0.67361111111111105</v>
      </c>
      <c r="N651">
        <v>124</v>
      </c>
      <c r="O651" s="2">
        <v>0.60902777777777795</v>
      </c>
      <c r="P651" s="2">
        <v>0.67152777777777795</v>
      </c>
      <c r="Q651" s="2">
        <v>0.67361111111111105</v>
      </c>
      <c r="R651">
        <v>124</v>
      </c>
      <c r="S651">
        <v>90</v>
      </c>
      <c r="T651" s="2">
        <v>0.67464120370370395</v>
      </c>
      <c r="U651" s="2">
        <v>0.72528935185185195</v>
      </c>
      <c r="V651">
        <v>73</v>
      </c>
      <c r="W651" s="2">
        <v>0.72638888888888897</v>
      </c>
      <c r="X651" s="2">
        <v>0.75486111111111098</v>
      </c>
      <c r="Y651">
        <v>41</v>
      </c>
    </row>
    <row r="652" spans="1:25" ht="15" customHeight="1" x14ac:dyDescent="0.2">
      <c r="A652" s="1">
        <v>46259</v>
      </c>
      <c r="B652" t="s">
        <v>42</v>
      </c>
      <c r="C652" t="s">
        <v>43</v>
      </c>
      <c r="D652" t="s">
        <v>28</v>
      </c>
      <c r="E652" t="s">
        <v>31</v>
      </c>
      <c r="F652" s="2">
        <v>0.44583333333333303</v>
      </c>
      <c r="G652" s="2">
        <v>0.58888888888888902</v>
      </c>
      <c r="H652">
        <v>206</v>
      </c>
      <c r="I652" s="3">
        <v>0.45833333333333298</v>
      </c>
      <c r="J652" s="2">
        <v>0.55208333333333304</v>
      </c>
      <c r="K652">
        <v>135</v>
      </c>
      <c r="L652" s="2">
        <v>0.44583333333333303</v>
      </c>
      <c r="M652" s="2">
        <v>0.58194444444444404</v>
      </c>
      <c r="N652">
        <v>196</v>
      </c>
      <c r="O652" s="2">
        <v>0.46388888888888902</v>
      </c>
      <c r="P652" s="2">
        <v>0.57777777777777795</v>
      </c>
      <c r="Q652" s="2">
        <v>0.58194444444444404</v>
      </c>
      <c r="R652">
        <v>196</v>
      </c>
      <c r="S652">
        <v>164</v>
      </c>
      <c r="T652" s="2">
        <v>0.58574074074074101</v>
      </c>
      <c r="U652" s="2">
        <v>0.67777777777777803</v>
      </c>
      <c r="V652">
        <v>133</v>
      </c>
      <c r="W652" s="2">
        <v>0.67847222222222203</v>
      </c>
      <c r="X652" s="2">
        <v>0.73680555555555605</v>
      </c>
      <c r="Y652">
        <v>84</v>
      </c>
    </row>
    <row r="653" spans="1:25" ht="15" customHeight="1" x14ac:dyDescent="0.2">
      <c r="A653" s="1">
        <v>46259</v>
      </c>
      <c r="B653" t="s">
        <v>42</v>
      </c>
      <c r="C653" t="s">
        <v>43</v>
      </c>
      <c r="D653" t="s">
        <v>28</v>
      </c>
      <c r="E653" t="s">
        <v>31</v>
      </c>
      <c r="F653" s="2">
        <v>0.39305555555555599</v>
      </c>
      <c r="G653" s="2">
        <v>0.422916666666667</v>
      </c>
      <c r="H653">
        <v>43</v>
      </c>
      <c r="I653" s="3">
        <v>0.42708333333333298</v>
      </c>
      <c r="J653" s="2">
        <v>0.45833333333333298</v>
      </c>
      <c r="K653">
        <v>45</v>
      </c>
      <c r="L653" s="2">
        <v>0.39305555555555599</v>
      </c>
      <c r="M653" s="2">
        <v>0.42013888888888901</v>
      </c>
      <c r="N653">
        <v>39</v>
      </c>
      <c r="O653" s="2">
        <v>0.40069444444444402</v>
      </c>
      <c r="P653" s="2">
        <v>0.41597222222222202</v>
      </c>
      <c r="Q653" s="2">
        <v>0.42013888888888901</v>
      </c>
      <c r="R653">
        <v>39</v>
      </c>
      <c r="S653">
        <v>22</v>
      </c>
      <c r="T653" s="2">
        <v>0.42189814814814802</v>
      </c>
      <c r="U653" s="2">
        <v>0.47013888888888899</v>
      </c>
      <c r="V653">
        <v>70</v>
      </c>
      <c r="W653" s="2">
        <v>0.47152777777777799</v>
      </c>
      <c r="X653" s="2">
        <v>0.50694444444444398</v>
      </c>
      <c r="Y653">
        <v>51</v>
      </c>
    </row>
    <row r="654" spans="1:25" ht="15" customHeight="1" x14ac:dyDescent="0.2">
      <c r="A654" s="1">
        <v>46259</v>
      </c>
      <c r="B654" t="s">
        <v>26</v>
      </c>
      <c r="C654" t="s">
        <v>27</v>
      </c>
      <c r="D654" t="s">
        <v>34</v>
      </c>
      <c r="E654" t="s">
        <v>36</v>
      </c>
      <c r="F654" s="2">
        <v>0.26041666666666702</v>
      </c>
      <c r="G654" s="2">
        <v>0.52986111111111101</v>
      </c>
      <c r="H654">
        <v>388</v>
      </c>
      <c r="I654" s="3">
        <v>0.26041666666666702</v>
      </c>
      <c r="J654" s="2">
        <v>0.51041666666666696</v>
      </c>
      <c r="K654">
        <v>360</v>
      </c>
      <c r="L654" s="2">
        <v>0.26041666666666702</v>
      </c>
      <c r="M654" s="2">
        <v>0.52013888888888904</v>
      </c>
      <c r="N654">
        <v>374</v>
      </c>
      <c r="O654" s="2">
        <v>0.35208333333333303</v>
      </c>
      <c r="P654" s="2">
        <v>0.49097222222222198</v>
      </c>
      <c r="Q654" s="2">
        <v>0.52013888888888904</v>
      </c>
      <c r="R654">
        <v>374</v>
      </c>
      <c r="S654">
        <v>200</v>
      </c>
    </row>
    <row r="655" spans="1:25" ht="15" customHeight="1" x14ac:dyDescent="0.2">
      <c r="A655" s="1">
        <v>46259</v>
      </c>
      <c r="B655" t="s">
        <v>42</v>
      </c>
      <c r="C655" t="s">
        <v>43</v>
      </c>
      <c r="D655" t="s">
        <v>28</v>
      </c>
      <c r="E655" t="s">
        <v>31</v>
      </c>
      <c r="F655" s="2">
        <v>0.60972222222222205</v>
      </c>
      <c r="G655" s="2">
        <v>0.72291666666666698</v>
      </c>
      <c r="H655">
        <v>163</v>
      </c>
      <c r="I655" s="3">
        <v>0.57291666666666696</v>
      </c>
      <c r="J655" s="2">
        <v>0.66666666666666696</v>
      </c>
      <c r="K655">
        <v>135</v>
      </c>
      <c r="L655" s="2">
        <v>0.60972222222222205</v>
      </c>
      <c r="M655" s="2">
        <v>0.71666666666666701</v>
      </c>
      <c r="N655">
        <v>154</v>
      </c>
      <c r="O655" s="2">
        <v>0.62847222222222199</v>
      </c>
      <c r="P655" s="2">
        <v>0.71180555555555602</v>
      </c>
      <c r="Q655" s="2">
        <v>0.71666666666666701</v>
      </c>
      <c r="R655">
        <v>154</v>
      </c>
      <c r="S655">
        <v>120</v>
      </c>
      <c r="T655" s="2">
        <v>0.71891203703703699</v>
      </c>
      <c r="U655" s="2">
        <v>0.76111111111111096</v>
      </c>
      <c r="V655">
        <v>61</v>
      </c>
      <c r="W655" s="2">
        <v>0.76180555555555596</v>
      </c>
      <c r="X655" s="2">
        <v>0.77152777777777803</v>
      </c>
      <c r="Y655">
        <v>14</v>
      </c>
    </row>
    <row r="656" spans="1:25" ht="15" customHeight="1" x14ac:dyDescent="0.2">
      <c r="A656" s="1">
        <v>46259</v>
      </c>
      <c r="B656" t="s">
        <v>42</v>
      </c>
      <c r="C656" t="s">
        <v>43</v>
      </c>
      <c r="D656" t="s">
        <v>28</v>
      </c>
      <c r="E656" t="s">
        <v>31</v>
      </c>
      <c r="F656" s="2">
        <v>0.329166666666667</v>
      </c>
      <c r="G656" s="2">
        <v>0.35555555555555601</v>
      </c>
      <c r="H656">
        <v>38</v>
      </c>
      <c r="I656" s="3">
        <v>0.3125</v>
      </c>
      <c r="J656" s="2">
        <v>0.35416666666666702</v>
      </c>
      <c r="K656">
        <v>60</v>
      </c>
      <c r="L656" s="2">
        <v>0.329166666666667</v>
      </c>
      <c r="M656" s="2">
        <v>0.35277777777777802</v>
      </c>
      <c r="N656">
        <v>34</v>
      </c>
      <c r="O656" s="2">
        <v>0.34027777777777801</v>
      </c>
      <c r="P656" s="2">
        <v>0.34861111111111098</v>
      </c>
      <c r="Q656" s="2">
        <v>0.35277777777777802</v>
      </c>
      <c r="R656">
        <v>34</v>
      </c>
      <c r="S656">
        <v>12</v>
      </c>
      <c r="T656" s="2">
        <v>0.35268518518518499</v>
      </c>
      <c r="U656" s="2">
        <v>0.38611111111111102</v>
      </c>
      <c r="V656">
        <v>49</v>
      </c>
      <c r="W656" s="2">
        <v>0.38680555555555601</v>
      </c>
      <c r="X656" s="2">
        <v>0.41666666666666702</v>
      </c>
      <c r="Y656">
        <v>43</v>
      </c>
    </row>
    <row r="657" spans="1:25" ht="15" customHeight="1" x14ac:dyDescent="0.2">
      <c r="A657" s="1">
        <v>46259</v>
      </c>
      <c r="B657" t="s">
        <v>42</v>
      </c>
      <c r="C657" t="s">
        <v>43</v>
      </c>
      <c r="D657" t="s">
        <v>28</v>
      </c>
      <c r="E657" t="s">
        <v>29</v>
      </c>
      <c r="F657" s="2">
        <v>0.58888888888888902</v>
      </c>
      <c r="G657" s="2">
        <v>0.63819444444444395</v>
      </c>
      <c r="H657">
        <v>71</v>
      </c>
      <c r="I657" s="3">
        <v>0.57291666666666696</v>
      </c>
      <c r="J657" s="2">
        <v>0.63541666666666696</v>
      </c>
      <c r="K657">
        <v>90</v>
      </c>
      <c r="L657" s="2">
        <v>0.58888888888888902</v>
      </c>
      <c r="M657" s="2">
        <v>0.63124999999999998</v>
      </c>
      <c r="N657">
        <v>61</v>
      </c>
      <c r="O657" s="2">
        <v>0.60208333333333297</v>
      </c>
      <c r="P657" s="2">
        <v>0.62708333333333299</v>
      </c>
      <c r="Q657" s="2">
        <v>0.63124999999999998</v>
      </c>
      <c r="R657">
        <v>61</v>
      </c>
      <c r="S657">
        <v>36</v>
      </c>
      <c r="T657" s="2">
        <v>0.63268518518518502</v>
      </c>
      <c r="U657" s="2">
        <v>0.66292824074074097</v>
      </c>
      <c r="V657">
        <v>43</v>
      </c>
      <c r="W657" s="2">
        <v>0.66295138888888905</v>
      </c>
      <c r="X657" s="2">
        <v>0.67708333333333304</v>
      </c>
      <c r="Y657">
        <v>21</v>
      </c>
    </row>
    <row r="658" spans="1:25" ht="15" customHeight="1" x14ac:dyDescent="0.2">
      <c r="A658" s="1">
        <v>46259</v>
      </c>
      <c r="B658" t="s">
        <v>26</v>
      </c>
      <c r="C658" t="s">
        <v>27</v>
      </c>
      <c r="D658" t="s">
        <v>28</v>
      </c>
      <c r="E658" t="s">
        <v>31</v>
      </c>
      <c r="F658" s="2">
        <v>0.31527777777777799</v>
      </c>
      <c r="G658" s="2">
        <v>0.438194444444444</v>
      </c>
      <c r="H658">
        <v>177</v>
      </c>
      <c r="I658" s="3">
        <v>0.3125</v>
      </c>
      <c r="J658" s="2">
        <v>0.45833333333333298</v>
      </c>
      <c r="K658">
        <v>210</v>
      </c>
      <c r="L658" s="2">
        <v>0.31527777777777799</v>
      </c>
      <c r="M658" s="2">
        <v>0.43541666666666701</v>
      </c>
      <c r="N658">
        <v>173</v>
      </c>
      <c r="O658" s="2">
        <v>0.33402777777777798</v>
      </c>
      <c r="P658" s="2">
        <v>0.43263888888888902</v>
      </c>
      <c r="Q658" s="2">
        <v>0.43541666666666701</v>
      </c>
      <c r="R658">
        <v>173</v>
      </c>
      <c r="S658">
        <v>142</v>
      </c>
      <c r="T658" s="2">
        <v>0.43768518518518501</v>
      </c>
      <c r="U658" s="2">
        <v>0.46597222222222201</v>
      </c>
      <c r="V658">
        <v>41</v>
      </c>
    </row>
    <row r="659" spans="1:25" ht="15" customHeight="1" x14ac:dyDescent="0.2">
      <c r="A659" s="1">
        <v>46259</v>
      </c>
      <c r="B659" t="s">
        <v>42</v>
      </c>
      <c r="C659" t="s">
        <v>43</v>
      </c>
      <c r="D659" t="s">
        <v>28</v>
      </c>
      <c r="E659" t="s">
        <v>31</v>
      </c>
      <c r="F659" s="2">
        <v>0.327777777777778</v>
      </c>
      <c r="G659" s="2">
        <v>0.42430555555555599</v>
      </c>
      <c r="H659">
        <v>139</v>
      </c>
      <c r="I659" s="3">
        <v>0.3125</v>
      </c>
      <c r="J659" s="2">
        <v>0.39583333333333298</v>
      </c>
      <c r="K659">
        <v>120</v>
      </c>
      <c r="L659" s="2">
        <v>0.327777777777778</v>
      </c>
      <c r="M659" s="2">
        <v>0.41805555555555601</v>
      </c>
      <c r="N659">
        <v>130</v>
      </c>
      <c r="O659" s="2">
        <v>0.33680555555555602</v>
      </c>
      <c r="P659" s="2">
        <v>0.41597222222222202</v>
      </c>
      <c r="Q659" s="2">
        <v>0.41805555555555601</v>
      </c>
      <c r="R659">
        <v>130</v>
      </c>
      <c r="S659">
        <v>114</v>
      </c>
      <c r="T659" s="2">
        <v>0.42040509259259301</v>
      </c>
      <c r="U659" s="2">
        <v>0.48958333333333298</v>
      </c>
      <c r="V659">
        <v>100</v>
      </c>
      <c r="W659" s="2">
        <v>0.49278935185185202</v>
      </c>
      <c r="X659" s="2">
        <v>0.506655092592593</v>
      </c>
      <c r="Y659">
        <v>20</v>
      </c>
    </row>
    <row r="660" spans="1:25" ht="15" customHeight="1" x14ac:dyDescent="0.2">
      <c r="A660" s="1">
        <v>46259</v>
      </c>
      <c r="B660" t="s">
        <v>42</v>
      </c>
      <c r="C660" t="s">
        <v>43</v>
      </c>
      <c r="D660" t="s">
        <v>28</v>
      </c>
      <c r="E660" t="s">
        <v>31</v>
      </c>
      <c r="F660" s="2">
        <v>0.436805555555556</v>
      </c>
      <c r="G660" s="2">
        <v>0.50486111111111098</v>
      </c>
      <c r="H660">
        <v>98</v>
      </c>
      <c r="I660" s="3">
        <v>0.41666666666666702</v>
      </c>
      <c r="J660" s="2">
        <v>0.47916666666666702</v>
      </c>
      <c r="K660">
        <v>90</v>
      </c>
      <c r="L660" s="2">
        <v>0.436805555555556</v>
      </c>
      <c r="M660" s="2">
        <v>0.49791666666666701</v>
      </c>
      <c r="N660">
        <v>88</v>
      </c>
      <c r="O660" s="2">
        <v>0.44513888888888897</v>
      </c>
      <c r="P660" s="2">
        <v>0.48958333333333298</v>
      </c>
      <c r="Q660" s="2">
        <v>0.49791666666666701</v>
      </c>
      <c r="R660">
        <v>88</v>
      </c>
      <c r="S660">
        <v>64</v>
      </c>
      <c r="T660" s="2">
        <v>0.50075231481481497</v>
      </c>
      <c r="U660" s="2">
        <v>0.53125</v>
      </c>
      <c r="V660">
        <v>44</v>
      </c>
      <c r="W660" s="2">
        <v>0.53125</v>
      </c>
      <c r="X660" s="2">
        <v>0.54824074074074103</v>
      </c>
      <c r="Y660">
        <v>24</v>
      </c>
    </row>
    <row r="661" spans="1:25" ht="15" customHeight="1" x14ac:dyDescent="0.2">
      <c r="A661" s="1">
        <v>46259</v>
      </c>
      <c r="B661" t="s">
        <v>42</v>
      </c>
      <c r="C661" t="s">
        <v>43</v>
      </c>
      <c r="D661" t="s">
        <v>28</v>
      </c>
      <c r="E661" t="s">
        <v>31</v>
      </c>
      <c r="F661" s="2">
        <v>0.44166666666666698</v>
      </c>
      <c r="G661" s="2">
        <v>0.47152777777777799</v>
      </c>
      <c r="H661">
        <v>43</v>
      </c>
      <c r="I661" s="3">
        <v>0.47916666666666702</v>
      </c>
      <c r="J661" s="2">
        <v>0.52083333333333304</v>
      </c>
      <c r="K661">
        <v>60</v>
      </c>
      <c r="L661" s="2">
        <v>0.44166666666666698</v>
      </c>
      <c r="M661" s="2">
        <v>0.469444444444444</v>
      </c>
      <c r="N661">
        <v>40</v>
      </c>
      <c r="O661" s="2">
        <v>0.44861111111111102</v>
      </c>
      <c r="P661" s="2">
        <v>0.46527777777777801</v>
      </c>
      <c r="Q661" s="2">
        <v>0.469444444444444</v>
      </c>
      <c r="R661">
        <v>40</v>
      </c>
      <c r="S661">
        <v>24</v>
      </c>
      <c r="T661" s="2">
        <v>0.47085648148148102</v>
      </c>
      <c r="U661" s="2">
        <v>0.495763888888889</v>
      </c>
      <c r="V661">
        <v>35</v>
      </c>
      <c r="W661" s="2">
        <v>0.49578703703703703</v>
      </c>
      <c r="X661" s="2">
        <v>0.51052083333333298</v>
      </c>
      <c r="Y661">
        <v>22</v>
      </c>
    </row>
    <row r="662" spans="1:25" ht="15" customHeight="1" x14ac:dyDescent="0.2">
      <c r="A662" s="1">
        <v>46259</v>
      </c>
      <c r="B662" t="s">
        <v>42</v>
      </c>
      <c r="C662" t="s">
        <v>43</v>
      </c>
      <c r="D662" t="s">
        <v>28</v>
      </c>
      <c r="E662" t="s">
        <v>31</v>
      </c>
      <c r="F662" s="2">
        <v>0.36458333333333298</v>
      </c>
      <c r="G662" s="2">
        <v>0.38819444444444401</v>
      </c>
      <c r="H662">
        <v>34</v>
      </c>
      <c r="I662" s="3">
        <v>0.375</v>
      </c>
      <c r="J662" s="2">
        <v>0.40625</v>
      </c>
      <c r="K662">
        <v>45</v>
      </c>
      <c r="L662" s="2">
        <v>0.36458333333333298</v>
      </c>
      <c r="M662" s="2">
        <v>0.38541666666666702</v>
      </c>
      <c r="N662">
        <v>30</v>
      </c>
      <c r="O662" s="2">
        <v>0.37291666666666701</v>
      </c>
      <c r="P662" s="2">
        <v>0.38124999999999998</v>
      </c>
      <c r="Q662" s="2">
        <v>0.38541666666666702</v>
      </c>
      <c r="R662">
        <v>30</v>
      </c>
      <c r="S662">
        <v>12</v>
      </c>
      <c r="T662" s="2">
        <v>0.38680555555555601</v>
      </c>
      <c r="U662" s="2">
        <v>0.40625</v>
      </c>
      <c r="V662">
        <v>28</v>
      </c>
      <c r="W662" s="2">
        <v>0.406944444444444</v>
      </c>
      <c r="X662" s="2">
        <v>0.4375</v>
      </c>
      <c r="Y662">
        <v>44</v>
      </c>
    </row>
    <row r="663" spans="1:25" ht="15" customHeight="1" x14ac:dyDescent="0.2">
      <c r="A663" s="1">
        <v>46259</v>
      </c>
      <c r="B663" t="s">
        <v>42</v>
      </c>
      <c r="C663" t="s">
        <v>43</v>
      </c>
      <c r="D663" t="s">
        <v>28</v>
      </c>
      <c r="E663" t="s">
        <v>31</v>
      </c>
      <c r="F663" s="2">
        <v>0.499305555555556</v>
      </c>
      <c r="G663" s="2">
        <v>0.52847222222222201</v>
      </c>
      <c r="H663">
        <v>42</v>
      </c>
      <c r="I663" s="3">
        <v>0.54166666666666696</v>
      </c>
      <c r="J663" s="2">
        <v>0.57291666666666696</v>
      </c>
      <c r="K663">
        <v>45</v>
      </c>
      <c r="L663" s="2">
        <v>0.499305555555556</v>
      </c>
      <c r="M663" s="2">
        <v>0.52638888888888902</v>
      </c>
      <c r="N663">
        <v>39</v>
      </c>
      <c r="O663" s="2">
        <v>0.50833333333333297</v>
      </c>
      <c r="P663" s="2">
        <v>0.52291666666666703</v>
      </c>
      <c r="Q663" s="2">
        <v>0.52638888888888902</v>
      </c>
      <c r="R663">
        <v>39</v>
      </c>
      <c r="S663">
        <v>21</v>
      </c>
      <c r="T663" s="2">
        <v>0.52716435185185195</v>
      </c>
      <c r="U663" s="2">
        <v>0.55277777777777803</v>
      </c>
      <c r="V663">
        <v>37</v>
      </c>
      <c r="W663" s="2">
        <v>0.55347222222222203</v>
      </c>
      <c r="X663" s="2">
        <v>0.59097222222222201</v>
      </c>
      <c r="Y663">
        <v>54</v>
      </c>
    </row>
    <row r="664" spans="1:25" ht="15" customHeight="1" x14ac:dyDescent="0.2">
      <c r="A664" s="1">
        <v>46259</v>
      </c>
      <c r="B664" t="s">
        <v>42</v>
      </c>
      <c r="C664" t="s">
        <v>43</v>
      </c>
      <c r="D664" t="s">
        <v>28</v>
      </c>
      <c r="E664" t="s">
        <v>31</v>
      </c>
      <c r="F664" s="2">
        <v>0.53958333333333297</v>
      </c>
      <c r="G664" s="2">
        <v>0.58125000000000004</v>
      </c>
      <c r="H664">
        <v>60</v>
      </c>
      <c r="I664" s="3">
        <v>0.59375</v>
      </c>
      <c r="J664" s="2">
        <v>0.63541666666666696</v>
      </c>
      <c r="K664">
        <v>60</v>
      </c>
      <c r="L664" s="2">
        <v>0.53958333333333297</v>
      </c>
      <c r="M664" s="2">
        <v>0.57916666666666705</v>
      </c>
      <c r="N664">
        <v>57</v>
      </c>
      <c r="O664" s="2">
        <v>0.56111111111111101</v>
      </c>
      <c r="P664" s="2">
        <v>0.57569444444444395</v>
      </c>
      <c r="Q664" s="2">
        <v>0.57916666666666705</v>
      </c>
      <c r="R664">
        <v>57</v>
      </c>
      <c r="S664">
        <v>21</v>
      </c>
      <c r="T664" s="2">
        <v>0.58021990740740703</v>
      </c>
      <c r="U664" s="2">
        <v>0.61339120370370404</v>
      </c>
      <c r="V664">
        <v>48</v>
      </c>
      <c r="W664" s="2">
        <v>0.613414351851852</v>
      </c>
      <c r="X664" s="2">
        <v>0.625</v>
      </c>
      <c r="Y664">
        <v>17</v>
      </c>
    </row>
    <row r="665" spans="1:25" ht="15" customHeight="1" x14ac:dyDescent="0.2">
      <c r="A665" s="1">
        <v>46259</v>
      </c>
      <c r="B665" t="s">
        <v>26</v>
      </c>
      <c r="C665" t="s">
        <v>27</v>
      </c>
      <c r="D665" t="s">
        <v>28</v>
      </c>
      <c r="E665" t="s">
        <v>29</v>
      </c>
      <c r="F665" s="2">
        <v>0.31527777777777799</v>
      </c>
      <c r="G665" s="2">
        <v>0.64027777777777795</v>
      </c>
      <c r="H665">
        <v>468</v>
      </c>
      <c r="I665" s="3">
        <v>0.3125</v>
      </c>
      <c r="J665" s="2">
        <v>0.64583333333333304</v>
      </c>
      <c r="K665">
        <v>480</v>
      </c>
      <c r="L665" s="2">
        <v>0.31527777777777799</v>
      </c>
      <c r="M665" s="2">
        <v>0.63472222222222197</v>
      </c>
      <c r="N665">
        <v>460</v>
      </c>
      <c r="O665" s="2">
        <v>0.359027777777778</v>
      </c>
      <c r="P665" s="2">
        <v>0.61875000000000002</v>
      </c>
      <c r="Q665" s="2">
        <v>0.63472222222222197</v>
      </c>
      <c r="R665">
        <v>460</v>
      </c>
      <c r="S665">
        <v>374</v>
      </c>
    </row>
    <row r="666" spans="1:25" ht="15" customHeight="1" x14ac:dyDescent="0.2">
      <c r="A666" s="1">
        <v>46259</v>
      </c>
      <c r="B666" t="s">
        <v>42</v>
      </c>
      <c r="C666" t="s">
        <v>43</v>
      </c>
      <c r="D666" t="s">
        <v>28</v>
      </c>
      <c r="E666" t="s">
        <v>31</v>
      </c>
      <c r="F666" s="2">
        <v>0.55486111111111103</v>
      </c>
      <c r="G666" s="2">
        <v>0.58819444444444402</v>
      </c>
      <c r="H666">
        <v>48</v>
      </c>
      <c r="I666" s="3">
        <v>0.54166666666666696</v>
      </c>
      <c r="J666" s="2">
        <v>0.58333333333333304</v>
      </c>
      <c r="K666">
        <v>60</v>
      </c>
      <c r="L666" s="2">
        <v>0.55486111111111103</v>
      </c>
      <c r="M666" s="2">
        <v>0.58263888888888904</v>
      </c>
      <c r="N666">
        <v>40</v>
      </c>
      <c r="O666" s="2">
        <v>0.56388888888888899</v>
      </c>
      <c r="P666" s="2">
        <v>0.57847222222222205</v>
      </c>
      <c r="Q666" s="2">
        <v>0.58263888888888904</v>
      </c>
      <c r="R666">
        <v>40</v>
      </c>
      <c r="S666">
        <v>21</v>
      </c>
      <c r="T666" s="2">
        <v>0.58635416666666695</v>
      </c>
      <c r="U666" s="2">
        <v>0.625694444444444</v>
      </c>
      <c r="V666">
        <v>57</v>
      </c>
      <c r="W666" s="2">
        <v>0.62638888888888899</v>
      </c>
      <c r="X666" s="2">
        <v>0.64722222222222203</v>
      </c>
      <c r="Y666">
        <v>30</v>
      </c>
    </row>
    <row r="667" spans="1:25" ht="15" customHeight="1" x14ac:dyDescent="0.2">
      <c r="A667" s="1">
        <v>46259</v>
      </c>
      <c r="B667" t="s">
        <v>26</v>
      </c>
      <c r="C667" t="s">
        <v>27</v>
      </c>
      <c r="D667" t="s">
        <v>34</v>
      </c>
      <c r="E667" t="s">
        <v>36</v>
      </c>
      <c r="F667" s="2">
        <v>0.58680555555555602</v>
      </c>
      <c r="G667" s="2">
        <v>0.81736111111111098</v>
      </c>
      <c r="H667">
        <v>332</v>
      </c>
      <c r="I667" s="3">
        <v>0.58333333333333304</v>
      </c>
      <c r="J667" s="2">
        <v>0.70833333333333304</v>
      </c>
      <c r="K667">
        <v>180</v>
      </c>
      <c r="L667" s="2">
        <v>0.58680555555555602</v>
      </c>
      <c r="M667" s="2">
        <v>0.813194444444444</v>
      </c>
      <c r="N667">
        <v>326</v>
      </c>
      <c r="O667" s="2">
        <v>0.61458333333333304</v>
      </c>
      <c r="P667" s="2">
        <v>0.80625000000000002</v>
      </c>
      <c r="Q667" s="2">
        <v>0.813194444444444</v>
      </c>
      <c r="R667">
        <v>326</v>
      </c>
      <c r="S667">
        <v>276</v>
      </c>
      <c r="T667" s="2">
        <v>0.81629629629629596</v>
      </c>
      <c r="U667" s="2">
        <v>0.83333333333333304</v>
      </c>
      <c r="V667">
        <v>25</v>
      </c>
    </row>
    <row r="668" spans="1:25" ht="15" customHeight="1" x14ac:dyDescent="0.2">
      <c r="A668" s="1">
        <v>46259</v>
      </c>
      <c r="B668" t="s">
        <v>26</v>
      </c>
      <c r="C668" t="s">
        <v>27</v>
      </c>
      <c r="D668" t="s">
        <v>28</v>
      </c>
      <c r="E668" t="s">
        <v>31</v>
      </c>
      <c r="F668" s="2">
        <v>0.311805555555556</v>
      </c>
      <c r="G668" s="2">
        <v>0.37847222222222199</v>
      </c>
      <c r="H668">
        <v>96</v>
      </c>
      <c r="I668" s="3">
        <v>0.3125</v>
      </c>
      <c r="J668" s="2">
        <v>0.38541666666666702</v>
      </c>
      <c r="K668">
        <v>105</v>
      </c>
      <c r="L668" s="2">
        <v>0.311805555555556</v>
      </c>
      <c r="M668" s="2">
        <v>0.37361111111111101</v>
      </c>
      <c r="N668">
        <v>89</v>
      </c>
      <c r="O668" s="2">
        <v>0.33333333333333298</v>
      </c>
      <c r="P668" s="2">
        <v>0.36875000000000002</v>
      </c>
      <c r="Q668" s="2">
        <v>0.37361111111111101</v>
      </c>
      <c r="R668">
        <v>89</v>
      </c>
      <c r="S668">
        <v>51</v>
      </c>
      <c r="T668" s="2">
        <v>0.37457175925925901</v>
      </c>
      <c r="U668" s="2">
        <v>0.38263888888888897</v>
      </c>
      <c r="V668">
        <v>12</v>
      </c>
    </row>
    <row r="669" spans="1:25" ht="15" customHeight="1" x14ac:dyDescent="0.2">
      <c r="A669" s="1">
        <v>46259</v>
      </c>
      <c r="B669" t="s">
        <v>42</v>
      </c>
      <c r="C669" t="s">
        <v>43</v>
      </c>
      <c r="D669" t="s">
        <v>28</v>
      </c>
      <c r="E669" t="s">
        <v>31</v>
      </c>
      <c r="F669" s="2">
        <v>0.59166666666666701</v>
      </c>
      <c r="G669" s="2">
        <v>0.62708333333333299</v>
      </c>
      <c r="H669">
        <v>51</v>
      </c>
      <c r="I669" s="3">
        <v>0.65625</v>
      </c>
      <c r="J669" s="2">
        <v>0.69791666666666696</v>
      </c>
      <c r="K669">
        <v>60</v>
      </c>
      <c r="L669" s="2">
        <v>0.59166666666666701</v>
      </c>
      <c r="M669" s="2">
        <v>0.624305555555556</v>
      </c>
      <c r="N669">
        <v>47</v>
      </c>
      <c r="O669" s="2">
        <v>0.61111111111111105</v>
      </c>
      <c r="P669" s="2">
        <v>0.62083333333333302</v>
      </c>
      <c r="Q669" s="2">
        <v>0.624305555555556</v>
      </c>
      <c r="R669">
        <v>47</v>
      </c>
      <c r="S669">
        <v>14</v>
      </c>
      <c r="T669" s="2">
        <v>0.625</v>
      </c>
      <c r="U669" s="2">
        <v>0.655555555555556</v>
      </c>
      <c r="V669">
        <v>44</v>
      </c>
      <c r="W669" s="2">
        <v>0.65625</v>
      </c>
      <c r="X669" s="2">
        <v>0.69791666666666696</v>
      </c>
      <c r="Y669">
        <v>60</v>
      </c>
    </row>
    <row r="670" spans="1:25" ht="15" customHeight="1" x14ac:dyDescent="0.2">
      <c r="A670" s="1">
        <v>46259</v>
      </c>
      <c r="B670" t="s">
        <v>42</v>
      </c>
      <c r="C670" t="s">
        <v>43</v>
      </c>
      <c r="D670" t="s">
        <v>28</v>
      </c>
      <c r="E670" t="s">
        <v>31</v>
      </c>
      <c r="F670" s="2">
        <v>0.57916666666666705</v>
      </c>
      <c r="G670" s="2">
        <v>0.63611111111111096</v>
      </c>
      <c r="H670">
        <v>82</v>
      </c>
      <c r="I670" s="3">
        <v>0.5625</v>
      </c>
      <c r="J670" s="2">
        <v>0.63541666666666696</v>
      </c>
      <c r="K670">
        <v>105</v>
      </c>
      <c r="L670" s="2">
        <v>0.57916666666666705</v>
      </c>
      <c r="M670" s="2">
        <v>0.63124999999999998</v>
      </c>
      <c r="N670">
        <v>75</v>
      </c>
      <c r="O670" s="2">
        <v>0.6</v>
      </c>
      <c r="P670" s="2">
        <v>0.62916666666666698</v>
      </c>
      <c r="Q670" s="2">
        <v>0.63124999999999998</v>
      </c>
      <c r="R670">
        <v>75</v>
      </c>
      <c r="S670">
        <v>42</v>
      </c>
      <c r="T670" s="2">
        <v>0.65159722222222205</v>
      </c>
      <c r="U670" s="2">
        <v>0.688194444444444</v>
      </c>
      <c r="V670">
        <v>53</v>
      </c>
      <c r="W670" s="2">
        <v>0.68888888888888899</v>
      </c>
      <c r="X670" s="2">
        <v>0.70208333333333295</v>
      </c>
      <c r="Y670">
        <v>19</v>
      </c>
    </row>
    <row r="671" spans="1:25" ht="15" customHeight="1" x14ac:dyDescent="0.2">
      <c r="A671" s="1">
        <v>46259</v>
      </c>
      <c r="B671" t="s">
        <v>26</v>
      </c>
      <c r="C671" t="s">
        <v>27</v>
      </c>
      <c r="D671" t="s">
        <v>28</v>
      </c>
      <c r="E671" t="s">
        <v>31</v>
      </c>
      <c r="F671" s="2">
        <v>0.41180555555555598</v>
      </c>
      <c r="G671" s="2">
        <v>0.49791666666666701</v>
      </c>
      <c r="H671">
        <v>124</v>
      </c>
      <c r="I671" s="3">
        <v>0.40625</v>
      </c>
      <c r="J671" s="2">
        <v>0.51041666666666696</v>
      </c>
      <c r="K671">
        <v>150</v>
      </c>
      <c r="L671" s="2">
        <v>0.41180555555555598</v>
      </c>
      <c r="M671" s="2">
        <v>0.49305555555555602</v>
      </c>
      <c r="N671">
        <v>117</v>
      </c>
      <c r="O671" s="2">
        <v>0.43263888888888902</v>
      </c>
      <c r="P671" s="2">
        <v>0.48749999999999999</v>
      </c>
      <c r="Q671" s="2">
        <v>0.49305555555555602</v>
      </c>
      <c r="R671">
        <v>117</v>
      </c>
      <c r="S671">
        <v>79</v>
      </c>
      <c r="T671" s="2">
        <v>0.49392361111111099</v>
      </c>
      <c r="U671" s="2">
        <v>0.51180555555555596</v>
      </c>
      <c r="V671">
        <v>26</v>
      </c>
    </row>
    <row r="672" spans="1:25" ht="15" customHeight="1" x14ac:dyDescent="0.2">
      <c r="A672" s="1">
        <v>46259</v>
      </c>
      <c r="B672" t="s">
        <v>26</v>
      </c>
      <c r="C672" t="s">
        <v>27</v>
      </c>
      <c r="D672" t="s">
        <v>28</v>
      </c>
      <c r="E672" t="s">
        <v>29</v>
      </c>
      <c r="F672" s="2">
        <v>0.3125</v>
      </c>
      <c r="G672" s="2">
        <v>0.64166666666666705</v>
      </c>
      <c r="H672">
        <v>474</v>
      </c>
      <c r="I672" s="3">
        <v>0.3125</v>
      </c>
      <c r="J672" s="2">
        <v>0.47916666666666702</v>
      </c>
      <c r="K672">
        <v>240</v>
      </c>
      <c r="L672" s="2">
        <v>0.3125</v>
      </c>
      <c r="M672" s="2">
        <v>0.63958333333333295</v>
      </c>
      <c r="N672">
        <v>471</v>
      </c>
      <c r="O672" s="2">
        <v>0.34791666666666698</v>
      </c>
      <c r="P672" s="2">
        <v>0.63680555555555596</v>
      </c>
      <c r="Q672" s="2">
        <v>0.63958333333333295</v>
      </c>
      <c r="R672">
        <v>471</v>
      </c>
      <c r="S672">
        <v>416</v>
      </c>
      <c r="T672" s="2">
        <v>0.64097222222222205</v>
      </c>
      <c r="U672" s="2">
        <v>0.688194444444444</v>
      </c>
      <c r="V672">
        <v>68</v>
      </c>
    </row>
    <row r="673" spans="1:25" ht="15" customHeight="1" x14ac:dyDescent="0.2">
      <c r="A673" s="1">
        <v>46259</v>
      </c>
      <c r="B673" t="s">
        <v>26</v>
      </c>
      <c r="C673" t="s">
        <v>27</v>
      </c>
      <c r="D673" t="s">
        <v>28</v>
      </c>
      <c r="E673" t="s">
        <v>29</v>
      </c>
      <c r="F673" s="2">
        <v>0.72708333333333297</v>
      </c>
      <c r="G673" s="2">
        <v>0.75208333333333299</v>
      </c>
      <c r="H673">
        <v>36</v>
      </c>
      <c r="I673" s="3">
        <v>0.71875</v>
      </c>
      <c r="J673" s="2">
        <v>0.75</v>
      </c>
      <c r="K673">
        <v>45</v>
      </c>
      <c r="L673" s="2">
        <v>0.72708333333333297</v>
      </c>
      <c r="M673" s="2">
        <v>0.74861111111111101</v>
      </c>
      <c r="N673">
        <v>31</v>
      </c>
      <c r="O673" s="2">
        <v>0.73402777777777795</v>
      </c>
      <c r="P673" s="2">
        <v>0.74583333333333302</v>
      </c>
      <c r="Q673" s="2">
        <v>0.74861111111111101</v>
      </c>
      <c r="R673">
        <v>31</v>
      </c>
      <c r="S673">
        <v>17</v>
      </c>
      <c r="T673" s="2">
        <v>0.74983796296296301</v>
      </c>
      <c r="U673" s="2">
        <v>0.78337962962963004</v>
      </c>
      <c r="V673">
        <v>49</v>
      </c>
    </row>
    <row r="674" spans="1:25" ht="15" customHeight="1" x14ac:dyDescent="0.2">
      <c r="A674" s="1">
        <v>46259</v>
      </c>
      <c r="B674" t="s">
        <v>26</v>
      </c>
      <c r="C674" t="s">
        <v>27</v>
      </c>
      <c r="D674" t="s">
        <v>28</v>
      </c>
      <c r="E674" t="s">
        <v>29</v>
      </c>
      <c r="F674" s="2">
        <v>0.52291666666666703</v>
      </c>
      <c r="G674" s="2">
        <v>0.55972222222222201</v>
      </c>
      <c r="H674">
        <v>53</v>
      </c>
      <c r="I674" s="3">
        <v>0.52083333333333304</v>
      </c>
      <c r="J674" s="2">
        <v>0.55208333333333304</v>
      </c>
      <c r="K674">
        <v>45</v>
      </c>
      <c r="L674" s="2">
        <v>0.52291666666666703</v>
      </c>
      <c r="M674" s="2">
        <v>0.55555555555555602</v>
      </c>
      <c r="N674">
        <v>47</v>
      </c>
      <c r="O674" s="2">
        <v>0.53819444444444398</v>
      </c>
      <c r="P674" s="2">
        <v>0.54930555555555605</v>
      </c>
      <c r="Q674" s="2">
        <v>0.55555555555555602</v>
      </c>
      <c r="R674">
        <v>47</v>
      </c>
      <c r="S674">
        <v>16</v>
      </c>
      <c r="T674" s="2">
        <v>0.55771990740740696</v>
      </c>
      <c r="U674" s="2">
        <v>0.59930555555555598</v>
      </c>
      <c r="V674">
        <v>60</v>
      </c>
    </row>
    <row r="675" spans="1:25" ht="15" customHeight="1" x14ac:dyDescent="0.2">
      <c r="A675" s="1">
        <v>46259</v>
      </c>
      <c r="B675" t="s">
        <v>26</v>
      </c>
      <c r="C675" t="s">
        <v>27</v>
      </c>
      <c r="D675" t="s">
        <v>28</v>
      </c>
      <c r="E675" t="s">
        <v>29</v>
      </c>
      <c r="F675" s="2">
        <v>0.49236111111111103</v>
      </c>
      <c r="G675" s="2">
        <v>0.68472222222222201</v>
      </c>
      <c r="H675">
        <v>277</v>
      </c>
      <c r="I675" s="3">
        <v>0.46875</v>
      </c>
      <c r="J675" s="2">
        <v>0.63541666666666696</v>
      </c>
      <c r="K675">
        <v>240</v>
      </c>
      <c r="L675" s="2">
        <v>0.49236111111111103</v>
      </c>
      <c r="M675" s="2">
        <v>0.68055555555555602</v>
      </c>
      <c r="N675">
        <v>271</v>
      </c>
      <c r="O675" s="2">
        <v>0.54374999999999996</v>
      </c>
      <c r="P675" s="2">
        <v>0.65347222222222201</v>
      </c>
      <c r="Q675" s="2">
        <v>0.68055555555555602</v>
      </c>
      <c r="R675">
        <v>271</v>
      </c>
      <c r="S675">
        <v>158</v>
      </c>
    </row>
    <row r="676" spans="1:25" ht="15" customHeight="1" x14ac:dyDescent="0.2">
      <c r="A676" s="1">
        <v>46259</v>
      </c>
      <c r="B676" t="s">
        <v>26</v>
      </c>
      <c r="C676" t="s">
        <v>27</v>
      </c>
      <c r="D676" t="s">
        <v>38</v>
      </c>
      <c r="E676" t="s">
        <v>29</v>
      </c>
      <c r="F676" s="2">
        <v>0.67569444444444404</v>
      </c>
      <c r="G676" s="2">
        <v>0.70694444444444404</v>
      </c>
      <c r="H676">
        <v>45</v>
      </c>
      <c r="I676" s="3">
        <v>0.66666666666666696</v>
      </c>
      <c r="J676" s="2">
        <v>0.69791666666666696</v>
      </c>
      <c r="K676">
        <v>45</v>
      </c>
      <c r="L676" s="2">
        <v>0.67569444444444404</v>
      </c>
      <c r="M676" s="2">
        <v>0.70208333333333295</v>
      </c>
      <c r="N676">
        <v>38</v>
      </c>
      <c r="O676" s="2">
        <v>0.68055555555555602</v>
      </c>
      <c r="P676" s="2">
        <v>0.69930555555555596</v>
      </c>
      <c r="Q676" s="2">
        <v>0.70208333333333295</v>
      </c>
      <c r="R676">
        <v>38</v>
      </c>
      <c r="S676">
        <v>27</v>
      </c>
      <c r="T676" s="2">
        <v>0.70414351851851897</v>
      </c>
      <c r="U676" s="2">
        <v>0.77013888888888904</v>
      </c>
      <c r="V676">
        <v>96</v>
      </c>
    </row>
    <row r="677" spans="1:25" ht="15" customHeight="1" x14ac:dyDescent="0.2">
      <c r="A677" s="1">
        <v>46259</v>
      </c>
      <c r="B677" t="s">
        <v>26</v>
      </c>
      <c r="C677" t="s">
        <v>27</v>
      </c>
      <c r="D677" t="s">
        <v>28</v>
      </c>
      <c r="E677" t="s">
        <v>31</v>
      </c>
      <c r="F677" s="2">
        <v>0.61597222222222203</v>
      </c>
      <c r="G677" s="2">
        <v>0.71180555555555602</v>
      </c>
      <c r="H677">
        <v>138</v>
      </c>
      <c r="I677" s="3">
        <v>0.60416666666666696</v>
      </c>
      <c r="J677" s="2">
        <v>0.71875</v>
      </c>
      <c r="K677">
        <v>165</v>
      </c>
      <c r="L677" s="2">
        <v>0.61597222222222203</v>
      </c>
      <c r="M677" s="2">
        <v>0.70694444444444404</v>
      </c>
      <c r="N677">
        <v>131</v>
      </c>
      <c r="O677" s="2">
        <v>0.63611111111111096</v>
      </c>
      <c r="P677" s="2">
        <v>0.70416666666666705</v>
      </c>
      <c r="Q677" s="2">
        <v>0.70694444444444404</v>
      </c>
      <c r="R677">
        <v>131</v>
      </c>
      <c r="S677">
        <v>98</v>
      </c>
      <c r="T677" s="2">
        <v>0.71038194444444402</v>
      </c>
      <c r="U677" s="2">
        <v>0.73611111111111105</v>
      </c>
      <c r="V677">
        <v>38</v>
      </c>
    </row>
    <row r="678" spans="1:25" ht="15" customHeight="1" x14ac:dyDescent="0.2">
      <c r="A678" s="1">
        <v>46259</v>
      </c>
      <c r="B678" t="s">
        <v>26</v>
      </c>
      <c r="C678" t="s">
        <v>27</v>
      </c>
      <c r="D678" t="s">
        <v>28</v>
      </c>
      <c r="E678" t="s">
        <v>36</v>
      </c>
      <c r="F678" s="2">
        <v>0.74583333333333302</v>
      </c>
      <c r="G678" s="2">
        <v>0.81597222222222199</v>
      </c>
      <c r="H678">
        <v>101</v>
      </c>
      <c r="I678" s="3">
        <v>0.70833333333333304</v>
      </c>
      <c r="J678" s="2">
        <v>0.77083333333333304</v>
      </c>
      <c r="K678">
        <v>90</v>
      </c>
      <c r="L678" s="2">
        <v>0.74583333333333302</v>
      </c>
      <c r="M678" s="2">
        <v>0.81041666666666701</v>
      </c>
      <c r="N678">
        <v>93</v>
      </c>
      <c r="O678" s="2">
        <v>0.76875000000000004</v>
      </c>
      <c r="P678" s="2">
        <v>0.80625000000000002</v>
      </c>
      <c r="Q678" s="2">
        <v>0.81041666666666701</v>
      </c>
      <c r="R678">
        <v>93</v>
      </c>
      <c r="S678">
        <v>54</v>
      </c>
      <c r="T678" s="2">
        <v>0.812037037037037</v>
      </c>
      <c r="U678" s="2">
        <v>0.83402777777777803</v>
      </c>
      <c r="V678">
        <v>32</v>
      </c>
    </row>
    <row r="679" spans="1:25" ht="15" customHeight="1" x14ac:dyDescent="0.2">
      <c r="A679" s="1">
        <v>46259</v>
      </c>
      <c r="B679" t="s">
        <v>26</v>
      </c>
      <c r="C679" t="s">
        <v>27</v>
      </c>
      <c r="D679" t="s">
        <v>28</v>
      </c>
      <c r="E679" t="s">
        <v>29</v>
      </c>
      <c r="F679" s="2">
        <v>0.68125000000000002</v>
      </c>
      <c r="G679" s="2">
        <v>0.71666666666666701</v>
      </c>
      <c r="H679">
        <v>51</v>
      </c>
      <c r="I679" s="3">
        <v>0.64930555555555602</v>
      </c>
      <c r="J679" s="2">
        <v>0.69097222222222199</v>
      </c>
      <c r="K679">
        <v>60</v>
      </c>
      <c r="L679" s="2">
        <v>0.68125000000000002</v>
      </c>
      <c r="M679" s="2">
        <v>0.71388888888888902</v>
      </c>
      <c r="N679">
        <v>47</v>
      </c>
      <c r="O679" s="2">
        <v>0.69652777777777797</v>
      </c>
      <c r="P679" s="2">
        <v>0.70555555555555605</v>
      </c>
      <c r="Q679" s="2">
        <v>0.71388888888888902</v>
      </c>
      <c r="R679">
        <v>47</v>
      </c>
      <c r="S679">
        <v>13</v>
      </c>
      <c r="T679" s="2">
        <v>0.71489583333333295</v>
      </c>
      <c r="U679" s="2">
        <v>0.74375000000000002</v>
      </c>
      <c r="V679">
        <v>42</v>
      </c>
    </row>
    <row r="680" spans="1:25" ht="15" customHeight="1" x14ac:dyDescent="0.2">
      <c r="A680" s="1">
        <v>46259</v>
      </c>
      <c r="B680" t="s">
        <v>26</v>
      </c>
      <c r="C680" t="s">
        <v>27</v>
      </c>
      <c r="D680" t="s">
        <v>28</v>
      </c>
      <c r="E680" t="s">
        <v>31</v>
      </c>
      <c r="F680" s="2">
        <v>0.83472222222222203</v>
      </c>
      <c r="G680" s="2">
        <v>0.89930555555555602</v>
      </c>
      <c r="H680">
        <v>93</v>
      </c>
      <c r="I680" s="3">
        <v>0.79166666666666696</v>
      </c>
      <c r="J680" s="2">
        <v>0.83333333333333304</v>
      </c>
      <c r="K680">
        <v>90</v>
      </c>
      <c r="L680" s="2">
        <v>0.83472222222222203</v>
      </c>
      <c r="M680" s="2">
        <v>0.89513888888888904</v>
      </c>
      <c r="N680">
        <v>87</v>
      </c>
      <c r="O680" s="2">
        <v>0.86527777777777803</v>
      </c>
      <c r="P680" s="2">
        <v>0.89236111111111105</v>
      </c>
      <c r="Q680" s="2">
        <v>0.89513888888888904</v>
      </c>
      <c r="R680">
        <v>87</v>
      </c>
      <c r="S680">
        <v>39</v>
      </c>
      <c r="T680" s="2">
        <v>0.89652777777777803</v>
      </c>
      <c r="U680" s="2">
        <v>0.91736111111111096</v>
      </c>
      <c r="V680">
        <v>30</v>
      </c>
    </row>
    <row r="681" spans="1:25" ht="15" customHeight="1" x14ac:dyDescent="0.2">
      <c r="A681" s="1">
        <v>46259</v>
      </c>
      <c r="B681" t="s">
        <v>26</v>
      </c>
      <c r="C681" t="s">
        <v>27</v>
      </c>
      <c r="D681" t="s">
        <v>28</v>
      </c>
      <c r="E681" t="s">
        <v>36</v>
      </c>
      <c r="F681" s="2">
        <v>0.74027777777777803</v>
      </c>
      <c r="G681" s="2">
        <v>0.80069444444444404</v>
      </c>
      <c r="H681">
        <v>87</v>
      </c>
      <c r="I681" s="3">
        <v>0.64930555555555602</v>
      </c>
      <c r="J681" s="2">
        <v>0.71875</v>
      </c>
      <c r="K681">
        <v>130</v>
      </c>
      <c r="L681" s="2">
        <v>0.74027777777777803</v>
      </c>
      <c r="M681" s="2">
        <v>0.79027777777777797</v>
      </c>
      <c r="N681">
        <v>72</v>
      </c>
      <c r="O681" s="2">
        <v>0.75694444444444398</v>
      </c>
      <c r="P681" s="2">
        <v>0.781944444444444</v>
      </c>
      <c r="Q681" s="2">
        <v>0.79027777777777797</v>
      </c>
      <c r="R681">
        <v>72</v>
      </c>
      <c r="S681">
        <v>36</v>
      </c>
    </row>
    <row r="682" spans="1:25" ht="15" customHeight="1" x14ac:dyDescent="0.2">
      <c r="A682" s="1">
        <v>46259</v>
      </c>
      <c r="B682" t="s">
        <v>26</v>
      </c>
      <c r="C682" t="s">
        <v>27</v>
      </c>
      <c r="D682" t="s">
        <v>28</v>
      </c>
      <c r="E682" t="s">
        <v>36</v>
      </c>
      <c r="F682" s="2">
        <v>0.43333333333333302</v>
      </c>
      <c r="G682" s="2">
        <v>0.57430555555555596</v>
      </c>
      <c r="H682">
        <v>203</v>
      </c>
      <c r="I682" s="3">
        <v>0.41666666666666702</v>
      </c>
      <c r="J682" s="2">
        <v>0.48263888888888901</v>
      </c>
      <c r="K682">
        <v>125</v>
      </c>
      <c r="L682" s="2">
        <v>0.43333333333333302</v>
      </c>
      <c r="M682" s="2">
        <v>0.56736111111111098</v>
      </c>
      <c r="N682">
        <v>193</v>
      </c>
      <c r="O682" s="2">
        <v>0.454166666666667</v>
      </c>
      <c r="P682" s="2">
        <v>0.55069444444444404</v>
      </c>
      <c r="Q682" s="2">
        <v>0.56736111111111098</v>
      </c>
      <c r="R682">
        <v>193</v>
      </c>
      <c r="S682">
        <v>139</v>
      </c>
    </row>
    <row r="683" spans="1:25" ht="15" customHeight="1" x14ac:dyDescent="0.2">
      <c r="A683" s="1">
        <v>46259</v>
      </c>
      <c r="B683" t="s">
        <v>26</v>
      </c>
      <c r="C683" t="s">
        <v>27</v>
      </c>
      <c r="D683" t="s">
        <v>28</v>
      </c>
      <c r="E683" t="s">
        <v>36</v>
      </c>
      <c r="F683" s="2">
        <v>0.31944444444444398</v>
      </c>
      <c r="G683" s="2">
        <v>0.45138888888888901</v>
      </c>
      <c r="H683">
        <v>190</v>
      </c>
      <c r="I683" s="3">
        <v>0.3125</v>
      </c>
      <c r="J683" s="2">
        <v>0.41666666666666702</v>
      </c>
      <c r="K683">
        <v>180</v>
      </c>
      <c r="L683" s="2">
        <v>0.32222222222222202</v>
      </c>
      <c r="M683" s="2">
        <v>0.44791666666666702</v>
      </c>
      <c r="N683">
        <v>181</v>
      </c>
      <c r="O683" s="2">
        <v>0.36458333333333298</v>
      </c>
      <c r="P683" s="2">
        <v>0.43472222222222201</v>
      </c>
      <c r="Q683" s="2">
        <v>0.44791666666666702</v>
      </c>
      <c r="R683">
        <v>181</v>
      </c>
      <c r="S683">
        <v>101</v>
      </c>
    </row>
    <row r="684" spans="1:25" ht="15" customHeight="1" x14ac:dyDescent="0.2">
      <c r="A684" s="1">
        <v>46259</v>
      </c>
      <c r="B684" t="s">
        <v>26</v>
      </c>
      <c r="C684" t="s">
        <v>27</v>
      </c>
      <c r="D684" t="s">
        <v>34</v>
      </c>
      <c r="E684" t="s">
        <v>29</v>
      </c>
      <c r="F684" s="2">
        <v>0.74097222222222203</v>
      </c>
      <c r="G684" s="2">
        <v>0.81458333333333299</v>
      </c>
      <c r="H684">
        <v>106</v>
      </c>
      <c r="I684" s="3">
        <v>0.73958333333333304</v>
      </c>
      <c r="J684" s="2">
        <v>0.82291666666666696</v>
      </c>
      <c r="K684">
        <v>120</v>
      </c>
      <c r="L684" s="2">
        <v>0.74097222222222203</v>
      </c>
      <c r="M684" s="2">
        <v>0.8125</v>
      </c>
      <c r="N684">
        <v>103</v>
      </c>
      <c r="O684" s="2">
        <v>0.75972222222222197</v>
      </c>
      <c r="P684" s="2">
        <v>0.80902777777777801</v>
      </c>
      <c r="Q684" s="2">
        <v>0.8125</v>
      </c>
      <c r="R684">
        <v>103</v>
      </c>
      <c r="S684">
        <v>71</v>
      </c>
      <c r="T684" s="2">
        <v>0.81671296296296303</v>
      </c>
      <c r="U684" s="2">
        <v>0.86190972222222195</v>
      </c>
      <c r="V684">
        <v>65</v>
      </c>
    </row>
    <row r="685" spans="1:25" ht="15" customHeight="1" x14ac:dyDescent="0.2">
      <c r="A685" s="1">
        <v>46259</v>
      </c>
      <c r="B685" t="s">
        <v>26</v>
      </c>
      <c r="C685" t="s">
        <v>27</v>
      </c>
      <c r="D685" t="s">
        <v>28</v>
      </c>
      <c r="E685" t="s">
        <v>31</v>
      </c>
      <c r="F685" s="2">
        <v>0.69166666666666698</v>
      </c>
      <c r="G685" s="2">
        <v>0.93125000000000002</v>
      </c>
      <c r="H685">
        <v>345</v>
      </c>
      <c r="I685" s="3">
        <v>0.54166666666666696</v>
      </c>
      <c r="J685" s="2">
        <v>0.85069444444444398</v>
      </c>
      <c r="K685">
        <v>475</v>
      </c>
      <c r="L685" s="2">
        <v>0.69166666666666698</v>
      </c>
      <c r="M685" s="2">
        <v>0.92847222222222203</v>
      </c>
      <c r="N685">
        <v>341</v>
      </c>
      <c r="O685" s="2">
        <v>0.72499999999999998</v>
      </c>
      <c r="P685" s="2">
        <v>0.92638888888888904</v>
      </c>
      <c r="Q685" s="2">
        <v>0.92847222222222203</v>
      </c>
      <c r="R685">
        <v>341</v>
      </c>
      <c r="S685">
        <v>290</v>
      </c>
      <c r="T685" s="2">
        <v>0.93307870370370405</v>
      </c>
      <c r="U685" s="2">
        <v>0.96604166666666702</v>
      </c>
      <c r="V685">
        <v>48</v>
      </c>
    </row>
    <row r="686" spans="1:25" ht="15" customHeight="1" x14ac:dyDescent="0.2">
      <c r="A686" s="1">
        <v>46259</v>
      </c>
      <c r="B686" t="s">
        <v>26</v>
      </c>
      <c r="C686" t="s">
        <v>27</v>
      </c>
      <c r="D686" t="s">
        <v>34</v>
      </c>
      <c r="E686" t="s">
        <v>35</v>
      </c>
      <c r="F686" s="2">
        <v>0.66874999999999996</v>
      </c>
      <c r="G686" s="2">
        <v>0.82013888888888897</v>
      </c>
      <c r="H686">
        <v>218</v>
      </c>
      <c r="I686" s="3">
        <v>0.66666666666666696</v>
      </c>
      <c r="J686" s="2">
        <v>0.75</v>
      </c>
      <c r="K686">
        <v>120</v>
      </c>
      <c r="L686" s="2">
        <v>0.66874999999999996</v>
      </c>
      <c r="M686" s="2">
        <v>0.81666666666666698</v>
      </c>
      <c r="N686">
        <v>213</v>
      </c>
      <c r="O686" s="2">
        <v>0.688194444444444</v>
      </c>
      <c r="P686" s="2">
        <v>0.811805555555556</v>
      </c>
      <c r="Q686" s="2">
        <v>0.81666666666666698</v>
      </c>
      <c r="R686">
        <v>213</v>
      </c>
      <c r="S686">
        <v>178</v>
      </c>
      <c r="T686" s="2">
        <v>0.81805555555555598</v>
      </c>
      <c r="U686" s="2">
        <v>0.84248842592592599</v>
      </c>
      <c r="V686">
        <v>35</v>
      </c>
    </row>
    <row r="687" spans="1:25" ht="15" customHeight="1" x14ac:dyDescent="0.2">
      <c r="A687" s="1">
        <v>46259</v>
      </c>
      <c r="B687" t="s">
        <v>48</v>
      </c>
      <c r="C687" t="s">
        <v>27</v>
      </c>
      <c r="D687" t="s">
        <v>28</v>
      </c>
      <c r="E687" t="s">
        <v>31</v>
      </c>
      <c r="F687" s="2">
        <v>0.63333333333333297</v>
      </c>
      <c r="G687" s="2">
        <v>0.70763888888888904</v>
      </c>
      <c r="H687">
        <v>107</v>
      </c>
      <c r="I687" s="3">
        <v>0.625</v>
      </c>
      <c r="J687" s="2">
        <v>0.68055555555555602</v>
      </c>
      <c r="K687">
        <v>80</v>
      </c>
      <c r="L687" s="2">
        <v>0.63333333333333297</v>
      </c>
      <c r="M687" s="2">
        <v>0.70208333333333295</v>
      </c>
      <c r="N687">
        <v>99</v>
      </c>
      <c r="O687" s="2">
        <v>0.656944444444444</v>
      </c>
      <c r="P687" s="2">
        <v>0.69861111111111096</v>
      </c>
      <c r="Q687" s="2">
        <v>0.70208333333333295</v>
      </c>
      <c r="R687">
        <v>99</v>
      </c>
      <c r="S687">
        <v>60</v>
      </c>
      <c r="T687" s="2">
        <v>0.70486111111111105</v>
      </c>
      <c r="U687" s="2">
        <v>0.78472222222222199</v>
      </c>
      <c r="V687">
        <v>115</v>
      </c>
      <c r="W687" s="2">
        <v>0.78541666666666698</v>
      </c>
      <c r="X687" s="2">
        <v>0.82152777777777797</v>
      </c>
      <c r="Y687">
        <v>52</v>
      </c>
    </row>
    <row r="688" spans="1:25" ht="15" customHeight="1" x14ac:dyDescent="0.2">
      <c r="A688" s="1">
        <v>46259</v>
      </c>
      <c r="B688" t="s">
        <v>42</v>
      </c>
      <c r="C688" t="s">
        <v>43</v>
      </c>
      <c r="D688" t="s">
        <v>28</v>
      </c>
      <c r="E688" t="s">
        <v>31</v>
      </c>
      <c r="F688" s="2">
        <v>0.47152777777777799</v>
      </c>
      <c r="G688" s="2">
        <v>0.54027777777777797</v>
      </c>
      <c r="H688">
        <v>99</v>
      </c>
      <c r="I688" s="3">
        <v>0.47916666666666702</v>
      </c>
      <c r="J688" s="2">
        <v>0.5625</v>
      </c>
      <c r="K688">
        <v>120</v>
      </c>
      <c r="L688" s="2">
        <v>0.47152777777777799</v>
      </c>
      <c r="M688" s="2">
        <v>0.53680555555555598</v>
      </c>
      <c r="N688">
        <v>94</v>
      </c>
      <c r="O688" s="2">
        <v>0.48819444444444399</v>
      </c>
      <c r="P688" s="2">
        <v>0.531944444444444</v>
      </c>
      <c r="Q688" s="2">
        <v>0.53680555555555598</v>
      </c>
      <c r="R688">
        <v>94</v>
      </c>
      <c r="S688">
        <v>63</v>
      </c>
      <c r="T688" s="2">
        <v>0.538599537037037</v>
      </c>
      <c r="U688" s="2">
        <v>0.61458333333333304</v>
      </c>
      <c r="V688">
        <v>110</v>
      </c>
      <c r="W688" s="2">
        <v>0.61527777777777803</v>
      </c>
      <c r="X688" s="2">
        <v>0.65277777777777801</v>
      </c>
      <c r="Y688">
        <v>54</v>
      </c>
    </row>
    <row r="689" spans="1:25" ht="15" customHeight="1" x14ac:dyDescent="0.2">
      <c r="A689" s="1">
        <v>46260</v>
      </c>
      <c r="B689" t="s">
        <v>26</v>
      </c>
      <c r="C689" t="s">
        <v>27</v>
      </c>
      <c r="D689" t="s">
        <v>28</v>
      </c>
      <c r="E689" t="s">
        <v>31</v>
      </c>
      <c r="F689" s="2">
        <v>0.31736111111111098</v>
      </c>
      <c r="G689" s="2">
        <v>0.66736111111111096</v>
      </c>
      <c r="H689">
        <v>504</v>
      </c>
      <c r="I689" s="3">
        <v>0.3125</v>
      </c>
      <c r="J689" s="2">
        <v>0.60416666666666696</v>
      </c>
      <c r="K689">
        <v>420</v>
      </c>
      <c r="L689" s="2">
        <v>0.31736111111111098</v>
      </c>
      <c r="M689" s="2">
        <v>0.66180555555555598</v>
      </c>
      <c r="N689">
        <v>496</v>
      </c>
      <c r="O689" s="2">
        <v>0.34722222222222199</v>
      </c>
      <c r="P689" s="2">
        <v>0.65763888888888899</v>
      </c>
      <c r="Q689" s="2">
        <v>0.66180555555555598</v>
      </c>
      <c r="R689">
        <v>496</v>
      </c>
      <c r="S689">
        <v>447</v>
      </c>
      <c r="T689" s="2">
        <v>0.663564814814815</v>
      </c>
      <c r="U689" s="2">
        <v>0.72087962962963004</v>
      </c>
      <c r="V689">
        <v>83</v>
      </c>
    </row>
    <row r="690" spans="1:25" ht="15" customHeight="1" x14ac:dyDescent="0.2">
      <c r="A690" s="1">
        <v>46260</v>
      </c>
      <c r="B690" t="s">
        <v>42</v>
      </c>
      <c r="C690" t="s">
        <v>43</v>
      </c>
      <c r="D690" t="s">
        <v>28</v>
      </c>
      <c r="E690" t="s">
        <v>29</v>
      </c>
      <c r="F690" s="2">
        <v>0.3125</v>
      </c>
      <c r="G690" s="2">
        <v>0.343055555555556</v>
      </c>
      <c r="H690">
        <v>44</v>
      </c>
      <c r="I690" s="3">
        <v>0.3125</v>
      </c>
      <c r="J690" s="2">
        <v>0.34375</v>
      </c>
      <c r="K690">
        <v>45</v>
      </c>
      <c r="L690" s="2">
        <v>0.3125</v>
      </c>
      <c r="M690" s="2">
        <v>0.33819444444444402</v>
      </c>
      <c r="N690">
        <v>37</v>
      </c>
      <c r="O690" s="2">
        <v>0.327777777777778</v>
      </c>
      <c r="P690" s="2">
        <v>0.33263888888888898</v>
      </c>
      <c r="Q690" s="2">
        <v>0.33819444444444402</v>
      </c>
      <c r="R690">
        <v>37</v>
      </c>
      <c r="S690">
        <v>7</v>
      </c>
      <c r="T690" s="2">
        <v>0.34027777777777801</v>
      </c>
      <c r="U690" s="2">
        <v>0.39513888888888898</v>
      </c>
      <c r="V690">
        <v>79</v>
      </c>
      <c r="W690" s="2">
        <v>0.39583333333333298</v>
      </c>
      <c r="X690" s="2">
        <v>0.40650462962963002</v>
      </c>
      <c r="Y690">
        <v>15</v>
      </c>
    </row>
    <row r="691" spans="1:25" ht="15" customHeight="1" x14ac:dyDescent="0.2">
      <c r="A691" s="1">
        <v>46260</v>
      </c>
      <c r="B691" t="s">
        <v>26</v>
      </c>
      <c r="C691" t="s">
        <v>27</v>
      </c>
      <c r="D691" t="s">
        <v>28</v>
      </c>
      <c r="E691" t="s">
        <v>29</v>
      </c>
      <c r="F691" s="2">
        <v>0.43194444444444402</v>
      </c>
      <c r="G691" s="2">
        <v>0.56944444444444398</v>
      </c>
      <c r="H691">
        <v>198</v>
      </c>
      <c r="I691" s="3">
        <v>0.4375</v>
      </c>
      <c r="J691" s="2">
        <v>0.5625</v>
      </c>
      <c r="K691">
        <v>180</v>
      </c>
      <c r="L691" s="2">
        <v>0.43194444444444402</v>
      </c>
      <c r="M691" s="2">
        <v>0.56597222222222199</v>
      </c>
      <c r="N691">
        <v>193</v>
      </c>
      <c r="O691" s="2">
        <v>0.45486111111111099</v>
      </c>
      <c r="P691" s="2">
        <v>0.55972222222222201</v>
      </c>
      <c r="Q691" s="2">
        <v>0.56597222222222199</v>
      </c>
      <c r="R691">
        <v>193</v>
      </c>
      <c r="S691">
        <v>151</v>
      </c>
      <c r="T691" s="2">
        <v>0.57012731481481504</v>
      </c>
      <c r="U691" s="2">
        <v>0.67708333333333304</v>
      </c>
      <c r="V691">
        <v>155</v>
      </c>
    </row>
    <row r="692" spans="1:25" ht="15" customHeight="1" x14ac:dyDescent="0.2">
      <c r="A692" s="1">
        <v>46260</v>
      </c>
      <c r="B692" t="s">
        <v>42</v>
      </c>
      <c r="C692" t="s">
        <v>43</v>
      </c>
      <c r="D692" t="s">
        <v>28</v>
      </c>
      <c r="E692" t="s">
        <v>31</v>
      </c>
      <c r="F692" s="2">
        <v>0.36805555555555602</v>
      </c>
      <c r="G692" s="2">
        <v>0.43333333333333302</v>
      </c>
      <c r="H692">
        <v>94</v>
      </c>
      <c r="I692" s="3">
        <v>0.41666666666666702</v>
      </c>
      <c r="J692" s="2">
        <v>0.47916666666666702</v>
      </c>
      <c r="K692">
        <v>90</v>
      </c>
      <c r="L692" s="2">
        <v>0.36805555555555602</v>
      </c>
      <c r="M692" s="2">
        <v>0.42986111111111103</v>
      </c>
      <c r="N692">
        <v>89</v>
      </c>
      <c r="O692" s="2">
        <v>0.38541666666666702</v>
      </c>
      <c r="P692" s="2">
        <v>0.42013888888888901</v>
      </c>
      <c r="Q692" s="2">
        <v>0.42986111111111103</v>
      </c>
      <c r="R692">
        <v>89</v>
      </c>
      <c r="S692">
        <v>50</v>
      </c>
      <c r="T692" s="2">
        <v>0.43263888888888902</v>
      </c>
      <c r="U692" s="2">
        <v>0.45833333333333298</v>
      </c>
      <c r="V692">
        <v>37</v>
      </c>
      <c r="W692" s="2">
        <v>0.45902777777777798</v>
      </c>
      <c r="X692" s="2">
        <v>0.51736111111111105</v>
      </c>
      <c r="Y692">
        <v>84</v>
      </c>
    </row>
    <row r="693" spans="1:25" ht="15" customHeight="1" x14ac:dyDescent="0.2">
      <c r="A693" s="1">
        <v>46260</v>
      </c>
      <c r="B693" t="s">
        <v>42</v>
      </c>
      <c r="C693" t="s">
        <v>43</v>
      </c>
      <c r="D693" t="s">
        <v>28</v>
      </c>
      <c r="E693" t="s">
        <v>29</v>
      </c>
      <c r="F693" s="2">
        <v>0.37013888888888902</v>
      </c>
      <c r="G693" s="2">
        <v>0.40208333333333302</v>
      </c>
      <c r="H693">
        <v>46</v>
      </c>
      <c r="I693" s="3">
        <v>0.36458333333333298</v>
      </c>
      <c r="J693" s="2">
        <v>0.40625</v>
      </c>
      <c r="K693">
        <v>60</v>
      </c>
      <c r="L693" s="2">
        <v>0.37013888888888902</v>
      </c>
      <c r="M693" s="2">
        <v>0.39652777777777798</v>
      </c>
      <c r="N693">
        <v>38</v>
      </c>
      <c r="O693" s="2">
        <v>0.37986111111111098</v>
      </c>
      <c r="P693" s="2">
        <v>0.390972222222222</v>
      </c>
      <c r="Q693" s="2">
        <v>0.39652777777777798</v>
      </c>
      <c r="R693">
        <v>38</v>
      </c>
      <c r="S693">
        <v>16</v>
      </c>
      <c r="T693" s="2">
        <v>0.40299768518518497</v>
      </c>
      <c r="U693" s="2">
        <v>0.43472222222222201</v>
      </c>
      <c r="V693">
        <v>46</v>
      </c>
      <c r="W693" s="2">
        <v>0.43472222222222201</v>
      </c>
      <c r="X693" s="2">
        <v>0.44166666666666698</v>
      </c>
      <c r="Y693">
        <v>10</v>
      </c>
    </row>
    <row r="694" spans="1:25" ht="15" customHeight="1" x14ac:dyDescent="0.2">
      <c r="A694" s="1">
        <v>46260</v>
      </c>
      <c r="B694" t="s">
        <v>42</v>
      </c>
      <c r="C694" t="s">
        <v>43</v>
      </c>
      <c r="D694" t="s">
        <v>28</v>
      </c>
      <c r="E694" t="s">
        <v>31</v>
      </c>
      <c r="F694" s="2">
        <v>0.45486111111111099</v>
      </c>
      <c r="G694" s="2">
        <v>0.49652777777777801</v>
      </c>
      <c r="H694">
        <v>60</v>
      </c>
      <c r="I694" s="3">
        <v>0.45833333333333298</v>
      </c>
      <c r="J694" s="2">
        <v>0.52083333333333304</v>
      </c>
      <c r="K694">
        <v>90</v>
      </c>
      <c r="L694" s="2">
        <v>0.45486111111111099</v>
      </c>
      <c r="M694" s="2">
        <v>0.49305555555555602</v>
      </c>
      <c r="N694">
        <v>55</v>
      </c>
      <c r="O694" s="2">
        <v>0.47013888888888899</v>
      </c>
      <c r="P694" s="2">
        <v>0.48958333333333298</v>
      </c>
      <c r="Q694" s="2">
        <v>0.49305555555555602</v>
      </c>
      <c r="R694">
        <v>55</v>
      </c>
      <c r="S694">
        <v>28</v>
      </c>
      <c r="T694" s="2">
        <v>0.49756944444444401</v>
      </c>
      <c r="U694" s="2">
        <v>0.55138888888888904</v>
      </c>
      <c r="V694">
        <v>78</v>
      </c>
      <c r="W694" s="2">
        <v>0.55208333333333304</v>
      </c>
      <c r="X694" s="2">
        <v>0.56206018518518497</v>
      </c>
      <c r="Y694">
        <v>14</v>
      </c>
    </row>
    <row r="695" spans="1:25" ht="15" customHeight="1" x14ac:dyDescent="0.2">
      <c r="A695" s="1">
        <v>46260</v>
      </c>
      <c r="B695" t="s">
        <v>42</v>
      </c>
      <c r="C695" t="s">
        <v>43</v>
      </c>
      <c r="D695" t="s">
        <v>28</v>
      </c>
      <c r="E695" t="s">
        <v>29</v>
      </c>
      <c r="F695" s="2">
        <v>0.59861111111111098</v>
      </c>
      <c r="G695" s="2">
        <v>0.67708333333333304</v>
      </c>
      <c r="H695">
        <v>113</v>
      </c>
      <c r="I695" s="3">
        <v>0.58333333333333304</v>
      </c>
      <c r="J695" s="2">
        <v>0.70833333333333304</v>
      </c>
      <c r="K695">
        <v>180</v>
      </c>
      <c r="L695" s="2">
        <v>0.59861111111111098</v>
      </c>
      <c r="M695" s="2">
        <v>0.67361111111111105</v>
      </c>
      <c r="N695">
        <v>108</v>
      </c>
      <c r="O695" s="2">
        <v>0.61944444444444402</v>
      </c>
      <c r="P695" s="2">
        <v>0.67013888888888895</v>
      </c>
      <c r="Q695" s="2">
        <v>0.67361111111111105</v>
      </c>
      <c r="R695">
        <v>108</v>
      </c>
      <c r="S695">
        <v>73</v>
      </c>
      <c r="T695" s="2">
        <v>0.67569444444444404</v>
      </c>
      <c r="U695" s="2">
        <v>0.71958333333333302</v>
      </c>
      <c r="V695">
        <v>63</v>
      </c>
      <c r="W695" s="2">
        <v>0.71960648148148099</v>
      </c>
      <c r="X695" s="2">
        <v>0.73195601851851899</v>
      </c>
      <c r="Y695">
        <v>18</v>
      </c>
    </row>
    <row r="696" spans="1:25" ht="15" customHeight="1" x14ac:dyDescent="0.2">
      <c r="A696" s="1">
        <v>46260</v>
      </c>
      <c r="B696" t="s">
        <v>26</v>
      </c>
      <c r="C696" t="s">
        <v>27</v>
      </c>
      <c r="D696" t="s">
        <v>34</v>
      </c>
      <c r="E696" t="s">
        <v>29</v>
      </c>
      <c r="F696" s="2">
        <v>0.36666666666666697</v>
      </c>
      <c r="G696" s="2">
        <v>0.52916666666666701</v>
      </c>
      <c r="H696">
        <v>234</v>
      </c>
      <c r="I696" s="3">
        <v>0.375</v>
      </c>
      <c r="J696" s="2">
        <v>0.5</v>
      </c>
      <c r="K696">
        <v>180</v>
      </c>
      <c r="L696" s="2">
        <v>0.36666666666666697</v>
      </c>
      <c r="M696" s="2">
        <v>0.52500000000000002</v>
      </c>
      <c r="N696">
        <v>228</v>
      </c>
      <c r="O696" s="2">
        <v>0.390972222222222</v>
      </c>
      <c r="P696" s="2">
        <v>0.52083333333333304</v>
      </c>
      <c r="Q696" s="2">
        <v>0.52500000000000002</v>
      </c>
      <c r="R696">
        <v>228</v>
      </c>
      <c r="S696">
        <v>187</v>
      </c>
      <c r="T696" s="2">
        <v>0.526053240740741</v>
      </c>
      <c r="U696" s="2">
        <v>0.53749999999999998</v>
      </c>
      <c r="V696">
        <v>17</v>
      </c>
    </row>
    <row r="697" spans="1:25" ht="15" customHeight="1" x14ac:dyDescent="0.2">
      <c r="A697" s="1">
        <v>46260</v>
      </c>
      <c r="B697" t="s">
        <v>42</v>
      </c>
      <c r="C697" t="s">
        <v>43</v>
      </c>
      <c r="D697" t="s">
        <v>28</v>
      </c>
      <c r="E697" t="s">
        <v>31</v>
      </c>
      <c r="F697" s="2">
        <v>0.32361111111111102</v>
      </c>
      <c r="G697" s="2">
        <v>0.36875000000000002</v>
      </c>
      <c r="H697">
        <v>65</v>
      </c>
      <c r="I697" s="3">
        <v>0.3125</v>
      </c>
      <c r="J697" s="2">
        <v>0.34375</v>
      </c>
      <c r="K697">
        <v>45</v>
      </c>
      <c r="L697" s="2">
        <v>0.32361111111111102</v>
      </c>
      <c r="M697" s="2">
        <v>0.36597222222222198</v>
      </c>
      <c r="N697">
        <v>61</v>
      </c>
      <c r="O697" s="2">
        <v>0.33263888888888898</v>
      </c>
      <c r="P697" s="2">
        <v>0.36180555555555599</v>
      </c>
      <c r="Q697" s="2">
        <v>0.36597222222222198</v>
      </c>
      <c r="R697">
        <v>61</v>
      </c>
      <c r="S697">
        <v>42</v>
      </c>
      <c r="T697" s="2">
        <v>0.36805555555555602</v>
      </c>
      <c r="U697" s="2">
        <v>0.38611111111111102</v>
      </c>
      <c r="V697">
        <v>26</v>
      </c>
      <c r="W697" s="2">
        <v>0.38611111111111102</v>
      </c>
      <c r="X697" s="2">
        <v>0.39930555555555602</v>
      </c>
      <c r="Y697">
        <v>19</v>
      </c>
    </row>
    <row r="698" spans="1:25" ht="15" customHeight="1" x14ac:dyDescent="0.2">
      <c r="A698" s="1">
        <v>46260</v>
      </c>
      <c r="B698" t="s">
        <v>42</v>
      </c>
      <c r="C698" t="s">
        <v>43</v>
      </c>
      <c r="D698" t="s">
        <v>28</v>
      </c>
      <c r="E698" t="s">
        <v>29</v>
      </c>
      <c r="F698" s="2">
        <v>0.313194444444444</v>
      </c>
      <c r="G698" s="2">
        <v>0.40208333333333302</v>
      </c>
      <c r="H698">
        <v>128</v>
      </c>
      <c r="I698" s="3">
        <v>0.3125</v>
      </c>
      <c r="J698" s="2">
        <v>0.39583333333333298</v>
      </c>
      <c r="K698">
        <v>120</v>
      </c>
      <c r="L698" s="2">
        <v>0.313194444444444</v>
      </c>
      <c r="M698" s="2">
        <v>0.39513888888888898</v>
      </c>
      <c r="N698">
        <v>118</v>
      </c>
      <c r="O698" s="2">
        <v>0.32638888888888901</v>
      </c>
      <c r="P698" s="2">
        <v>0.39236111111111099</v>
      </c>
      <c r="Q698" s="2">
        <v>0.39513888888888898</v>
      </c>
      <c r="R698">
        <v>118</v>
      </c>
      <c r="S698">
        <v>95</v>
      </c>
      <c r="T698" s="2">
        <v>0.39697916666666699</v>
      </c>
      <c r="U698" s="2">
        <v>0.41797453703703702</v>
      </c>
      <c r="V698">
        <v>30</v>
      </c>
      <c r="W698" s="2">
        <v>0.417986111111111</v>
      </c>
      <c r="X698" s="2">
        <v>0.46935185185185202</v>
      </c>
      <c r="Y698">
        <v>74</v>
      </c>
    </row>
    <row r="699" spans="1:25" ht="15" customHeight="1" x14ac:dyDescent="0.2">
      <c r="A699" s="1">
        <v>46260</v>
      </c>
      <c r="B699" t="s">
        <v>26</v>
      </c>
      <c r="C699" t="s">
        <v>27</v>
      </c>
      <c r="D699" t="s">
        <v>34</v>
      </c>
      <c r="E699" t="s">
        <v>31</v>
      </c>
      <c r="F699" s="2">
        <v>0.56041666666666701</v>
      </c>
      <c r="G699" s="2">
        <v>0.67638888888888904</v>
      </c>
      <c r="H699">
        <v>167</v>
      </c>
      <c r="I699" s="3">
        <v>0.54166666666666696</v>
      </c>
      <c r="J699" s="2">
        <v>0.63541666666666696</v>
      </c>
      <c r="K699">
        <v>135</v>
      </c>
      <c r="L699" s="2">
        <v>0.56041666666666701</v>
      </c>
      <c r="M699" s="2">
        <v>0.66944444444444395</v>
      </c>
      <c r="N699">
        <v>157</v>
      </c>
      <c r="O699" s="2">
        <v>0.57708333333333295</v>
      </c>
      <c r="P699" s="2">
        <v>0.66736111111111096</v>
      </c>
      <c r="Q699" s="2">
        <v>0.66944444444444395</v>
      </c>
      <c r="R699">
        <v>157</v>
      </c>
      <c r="S699">
        <v>130</v>
      </c>
      <c r="T699" s="2">
        <v>0.67174768518518502</v>
      </c>
      <c r="U699" s="2">
        <v>0.69722222222222197</v>
      </c>
      <c r="V699">
        <v>37</v>
      </c>
    </row>
    <row r="700" spans="1:25" ht="15" customHeight="1" x14ac:dyDescent="0.2">
      <c r="A700" s="1">
        <v>46260</v>
      </c>
      <c r="B700" t="s">
        <v>42</v>
      </c>
      <c r="C700" t="s">
        <v>43</v>
      </c>
      <c r="D700" t="s">
        <v>28</v>
      </c>
      <c r="E700" t="s">
        <v>29</v>
      </c>
      <c r="F700" s="2">
        <v>0.42013888888888901</v>
      </c>
      <c r="G700" s="2">
        <v>0.483333333333333</v>
      </c>
      <c r="H700">
        <v>91</v>
      </c>
      <c r="I700" s="3">
        <v>0.41666666666666702</v>
      </c>
      <c r="J700" s="2">
        <v>0.5</v>
      </c>
      <c r="K700">
        <v>120</v>
      </c>
      <c r="L700" s="2">
        <v>0.42013888888888901</v>
      </c>
      <c r="M700" s="2">
        <v>0.47638888888888897</v>
      </c>
      <c r="N700">
        <v>81</v>
      </c>
      <c r="O700" s="2">
        <v>0.436805555555556</v>
      </c>
      <c r="P700" s="2">
        <v>0.47430555555555598</v>
      </c>
      <c r="Q700" s="2">
        <v>0.47638888888888897</v>
      </c>
      <c r="R700">
        <v>81</v>
      </c>
      <c r="S700">
        <v>54</v>
      </c>
      <c r="T700" s="2">
        <v>0.47835648148148102</v>
      </c>
      <c r="U700" s="2">
        <v>0.49954861111111099</v>
      </c>
      <c r="V700">
        <v>31</v>
      </c>
      <c r="W700" s="2">
        <v>0.5</v>
      </c>
      <c r="X700" s="2">
        <v>0.53973379629629603</v>
      </c>
      <c r="Y700">
        <v>57</v>
      </c>
    </row>
    <row r="701" spans="1:25" ht="15" customHeight="1" x14ac:dyDescent="0.2">
      <c r="A701" s="1">
        <v>46260</v>
      </c>
      <c r="B701" t="s">
        <v>42</v>
      </c>
      <c r="C701" t="s">
        <v>43</v>
      </c>
      <c r="D701" t="s">
        <v>28</v>
      </c>
      <c r="E701" t="s">
        <v>29</v>
      </c>
      <c r="F701" s="2">
        <v>0.389583333333333</v>
      </c>
      <c r="G701" s="2">
        <v>0.41944444444444401</v>
      </c>
      <c r="H701">
        <v>43</v>
      </c>
      <c r="I701" s="3">
        <v>0.36458333333333298</v>
      </c>
      <c r="J701" s="2">
        <v>0.39583333333333298</v>
      </c>
      <c r="K701">
        <v>45</v>
      </c>
      <c r="L701" s="2">
        <v>0.389583333333333</v>
      </c>
      <c r="M701" s="2">
        <v>0.41666666666666702</v>
      </c>
      <c r="N701">
        <v>39</v>
      </c>
      <c r="O701" s="2">
        <v>0.40277777777777801</v>
      </c>
      <c r="P701" s="2">
        <v>0.41111111111111098</v>
      </c>
      <c r="Q701" s="2">
        <v>0.41666666666666702</v>
      </c>
      <c r="R701">
        <v>39</v>
      </c>
      <c r="S701">
        <v>12</v>
      </c>
      <c r="T701" s="2">
        <v>0.42037037037037001</v>
      </c>
      <c r="U701" s="2">
        <v>0.46875</v>
      </c>
      <c r="V701">
        <v>70</v>
      </c>
      <c r="W701" s="2">
        <v>0.46875</v>
      </c>
      <c r="X701" s="2">
        <v>0.48270833333333302</v>
      </c>
      <c r="Y701">
        <v>20</v>
      </c>
    </row>
    <row r="702" spans="1:25" ht="15" customHeight="1" x14ac:dyDescent="0.2">
      <c r="A702" s="1">
        <v>46260</v>
      </c>
      <c r="B702" t="s">
        <v>42</v>
      </c>
      <c r="C702" t="s">
        <v>43</v>
      </c>
      <c r="D702" t="s">
        <v>28</v>
      </c>
      <c r="E702" t="s">
        <v>31</v>
      </c>
      <c r="F702" s="2">
        <v>0.59097222222222201</v>
      </c>
      <c r="G702" s="2">
        <v>0.61736111111111103</v>
      </c>
      <c r="H702">
        <v>38</v>
      </c>
      <c r="I702" s="3">
        <v>0.59375</v>
      </c>
      <c r="J702" s="2">
        <v>0.70833333333333304</v>
      </c>
      <c r="K702">
        <v>165</v>
      </c>
      <c r="L702" s="2">
        <v>0.59097222222222201</v>
      </c>
      <c r="M702" s="2">
        <v>0.61388888888888904</v>
      </c>
      <c r="N702">
        <v>33</v>
      </c>
      <c r="O702" s="2">
        <v>0.60069444444444398</v>
      </c>
      <c r="P702" s="2">
        <v>0.60972222222222205</v>
      </c>
      <c r="Q702" s="2">
        <v>0.61388888888888904</v>
      </c>
      <c r="R702">
        <v>33</v>
      </c>
      <c r="S702">
        <v>13</v>
      </c>
      <c r="T702" s="2">
        <v>0.61774305555555598</v>
      </c>
      <c r="U702" s="2">
        <v>0.67708333333333304</v>
      </c>
      <c r="V702">
        <v>86</v>
      </c>
      <c r="W702" s="2">
        <v>0.67708333333333304</v>
      </c>
      <c r="X702" s="2">
        <v>0.69814814814814796</v>
      </c>
      <c r="Y702">
        <v>30</v>
      </c>
    </row>
    <row r="703" spans="1:25" ht="15" customHeight="1" x14ac:dyDescent="0.2">
      <c r="A703" s="1">
        <v>46260</v>
      </c>
      <c r="B703" t="s">
        <v>42</v>
      </c>
      <c r="C703" t="s">
        <v>43</v>
      </c>
      <c r="D703" t="s">
        <v>28</v>
      </c>
      <c r="E703" t="s">
        <v>29</v>
      </c>
      <c r="F703" s="2">
        <v>0.51666666666666705</v>
      </c>
      <c r="G703" s="2">
        <v>0.57569444444444395</v>
      </c>
      <c r="H703">
        <v>85</v>
      </c>
      <c r="I703" s="3">
        <v>0.51041666666666696</v>
      </c>
      <c r="J703" s="2">
        <v>0.57291666666666696</v>
      </c>
      <c r="K703">
        <v>90</v>
      </c>
      <c r="L703" s="2">
        <v>0.51527777777777795</v>
      </c>
      <c r="M703" s="2">
        <v>0.57222222222222197</v>
      </c>
      <c r="N703">
        <v>82</v>
      </c>
      <c r="O703" s="2">
        <v>0.53263888888888899</v>
      </c>
      <c r="P703" s="2">
        <v>0.56805555555555598</v>
      </c>
      <c r="Q703" s="2">
        <v>0.57222222222222197</v>
      </c>
      <c r="R703">
        <v>82</v>
      </c>
      <c r="S703">
        <v>51</v>
      </c>
      <c r="T703" s="2">
        <v>0.58252314814814798</v>
      </c>
      <c r="U703" s="2">
        <v>0.70902777777777803</v>
      </c>
      <c r="V703">
        <v>183</v>
      </c>
      <c r="W703" s="2">
        <v>0.70902777777777803</v>
      </c>
      <c r="X703" s="2">
        <v>0.73534722222222204</v>
      </c>
      <c r="Y703">
        <v>37</v>
      </c>
    </row>
    <row r="704" spans="1:25" ht="15" customHeight="1" x14ac:dyDescent="0.2">
      <c r="A704" s="1">
        <v>46260</v>
      </c>
      <c r="B704" t="s">
        <v>42</v>
      </c>
      <c r="C704" t="s">
        <v>43</v>
      </c>
      <c r="D704" t="s">
        <v>28</v>
      </c>
      <c r="E704" t="s">
        <v>31</v>
      </c>
      <c r="F704" s="2">
        <v>0.43055555555555602</v>
      </c>
      <c r="G704" s="2">
        <v>0.49305555555555602</v>
      </c>
      <c r="H704">
        <v>90</v>
      </c>
      <c r="I704" s="3">
        <v>0.42708333333333298</v>
      </c>
      <c r="J704" s="2">
        <v>0.48958333333333298</v>
      </c>
      <c r="K704">
        <v>90</v>
      </c>
      <c r="L704" s="2">
        <v>0.43055555555555602</v>
      </c>
      <c r="M704" s="2">
        <v>0.49305555555555602</v>
      </c>
      <c r="N704">
        <v>90</v>
      </c>
      <c r="O704" s="2">
        <v>0.454166666666667</v>
      </c>
      <c r="P704" s="2">
        <v>0.49027777777777798</v>
      </c>
      <c r="Q704" s="2">
        <v>0.49305555555555602</v>
      </c>
      <c r="R704">
        <v>90</v>
      </c>
      <c r="S704">
        <v>52</v>
      </c>
      <c r="T704" s="2">
        <v>0.49548611111111102</v>
      </c>
      <c r="U704" s="2">
        <v>0.52500000000000002</v>
      </c>
      <c r="V704">
        <v>43</v>
      </c>
      <c r="W704" s="2">
        <v>0.52500000000000002</v>
      </c>
      <c r="X704" s="2">
        <v>0.54166666666666696</v>
      </c>
      <c r="Y704">
        <v>24</v>
      </c>
    </row>
    <row r="705" spans="1:25" ht="15" customHeight="1" x14ac:dyDescent="0.2">
      <c r="A705" s="1">
        <v>46260</v>
      </c>
      <c r="B705" t="s">
        <v>42</v>
      </c>
      <c r="C705" t="s">
        <v>43</v>
      </c>
      <c r="D705" t="s">
        <v>28</v>
      </c>
      <c r="E705" t="s">
        <v>31</v>
      </c>
      <c r="F705" s="2">
        <v>0.55833333333333302</v>
      </c>
      <c r="G705" s="2">
        <v>0.65625</v>
      </c>
      <c r="H705">
        <v>141</v>
      </c>
      <c r="I705" s="3">
        <v>0.52083333333333304</v>
      </c>
      <c r="J705" s="2">
        <v>0.63541666666666696</v>
      </c>
      <c r="K705">
        <v>165</v>
      </c>
      <c r="L705" s="2">
        <v>0.55833333333333302</v>
      </c>
      <c r="M705" s="2">
        <v>0.65208333333333302</v>
      </c>
      <c r="N705">
        <v>135</v>
      </c>
      <c r="O705" s="2">
        <v>0.57569444444444395</v>
      </c>
      <c r="P705" s="2">
        <v>0.64722222222222203</v>
      </c>
      <c r="Q705" s="2">
        <v>0.65208333333333302</v>
      </c>
      <c r="R705">
        <v>135</v>
      </c>
      <c r="S705">
        <v>103</v>
      </c>
      <c r="T705" s="2">
        <v>0.65486111111111101</v>
      </c>
      <c r="U705" s="2">
        <v>0.69722222222222197</v>
      </c>
      <c r="V705">
        <v>61</v>
      </c>
      <c r="W705" s="2">
        <v>0.69791666666666696</v>
      </c>
      <c r="X705" s="2">
        <v>0.73958333333333304</v>
      </c>
      <c r="Y705">
        <v>60</v>
      </c>
    </row>
    <row r="706" spans="1:25" ht="15" customHeight="1" x14ac:dyDescent="0.2">
      <c r="A706" s="1">
        <v>46260</v>
      </c>
      <c r="B706" t="s">
        <v>42</v>
      </c>
      <c r="C706" t="s">
        <v>43</v>
      </c>
      <c r="D706" t="s">
        <v>28</v>
      </c>
      <c r="E706" t="s">
        <v>31</v>
      </c>
      <c r="F706" s="2">
        <v>0.30555555555555602</v>
      </c>
      <c r="G706" s="2">
        <v>0.35069444444444398</v>
      </c>
      <c r="H706">
        <v>65</v>
      </c>
      <c r="I706" s="3">
        <v>0.3125</v>
      </c>
      <c r="J706" s="2">
        <v>0.39583333333333298</v>
      </c>
      <c r="K706">
        <v>120</v>
      </c>
      <c r="L706" s="2">
        <v>0.30555555555555602</v>
      </c>
      <c r="M706" s="2">
        <v>0.34722222222222199</v>
      </c>
      <c r="N706">
        <v>60</v>
      </c>
      <c r="O706" s="2">
        <v>0.31736111111111098</v>
      </c>
      <c r="P706" s="2">
        <v>0.34027777777777801</v>
      </c>
      <c r="Q706" s="2">
        <v>0.34722222222222199</v>
      </c>
      <c r="R706">
        <v>60</v>
      </c>
      <c r="S706">
        <v>33</v>
      </c>
      <c r="T706" s="2">
        <v>0.34791666666666698</v>
      </c>
      <c r="U706" s="2">
        <v>0.375</v>
      </c>
      <c r="V706">
        <v>39</v>
      </c>
      <c r="W706" s="2">
        <v>0.38541666666666702</v>
      </c>
      <c r="X706" s="2">
        <v>0.42063657407407401</v>
      </c>
      <c r="Y706">
        <v>50</v>
      </c>
    </row>
    <row r="707" spans="1:25" ht="15" customHeight="1" x14ac:dyDescent="0.2">
      <c r="A707" s="1">
        <v>46260</v>
      </c>
      <c r="B707" t="s">
        <v>26</v>
      </c>
      <c r="C707" t="s">
        <v>27</v>
      </c>
      <c r="D707" t="s">
        <v>28</v>
      </c>
      <c r="E707" t="s">
        <v>29</v>
      </c>
      <c r="F707" s="2">
        <v>0.52638888888888902</v>
      </c>
      <c r="G707" s="2">
        <v>0.69374999999999998</v>
      </c>
      <c r="H707">
        <v>241</v>
      </c>
      <c r="I707" s="3">
        <v>0.3125</v>
      </c>
      <c r="J707" s="2">
        <v>0.4375</v>
      </c>
      <c r="K707">
        <v>180</v>
      </c>
      <c r="L707" s="2">
        <v>0.52638888888888902</v>
      </c>
      <c r="M707" s="2">
        <v>0.69097222222222199</v>
      </c>
      <c r="N707">
        <v>237</v>
      </c>
      <c r="O707" s="2">
        <v>0.56527777777777799</v>
      </c>
      <c r="P707" s="2">
        <v>0.6875</v>
      </c>
      <c r="Q707" s="2">
        <v>0.69097222222222199</v>
      </c>
      <c r="R707">
        <v>237</v>
      </c>
      <c r="S707">
        <v>176</v>
      </c>
      <c r="T707" s="2">
        <v>0.69236111111111098</v>
      </c>
      <c r="U707" s="2">
        <v>0.72299768518518504</v>
      </c>
      <c r="V707">
        <v>44</v>
      </c>
    </row>
    <row r="708" spans="1:25" ht="15" customHeight="1" x14ac:dyDescent="0.2">
      <c r="A708" s="1">
        <v>46260</v>
      </c>
      <c r="B708" t="s">
        <v>26</v>
      </c>
      <c r="C708" t="s">
        <v>27</v>
      </c>
      <c r="D708" t="s">
        <v>28</v>
      </c>
      <c r="E708" t="s">
        <v>31</v>
      </c>
      <c r="F708" s="2">
        <v>0.38194444444444398</v>
      </c>
      <c r="G708" s="2">
        <v>0.55138888888888904</v>
      </c>
      <c r="H708">
        <v>244</v>
      </c>
      <c r="I708" s="3">
        <v>0.375</v>
      </c>
      <c r="J708" s="2">
        <v>0.45833333333333298</v>
      </c>
      <c r="K708">
        <v>120</v>
      </c>
      <c r="L708" s="2">
        <v>0.38194444444444398</v>
      </c>
      <c r="M708" s="2">
        <v>0.54652777777777795</v>
      </c>
      <c r="N708">
        <v>237</v>
      </c>
      <c r="O708" s="2">
        <v>0.40625</v>
      </c>
      <c r="P708" s="2">
        <v>0.54166666666666696</v>
      </c>
      <c r="Q708" s="2">
        <v>0.54652777777777795</v>
      </c>
      <c r="R708">
        <v>237</v>
      </c>
      <c r="S708">
        <v>195</v>
      </c>
      <c r="T708" s="2">
        <v>0.54861111111111105</v>
      </c>
      <c r="U708" s="2">
        <v>0.590173611111111</v>
      </c>
      <c r="V708">
        <v>59</v>
      </c>
    </row>
    <row r="709" spans="1:25" ht="15" customHeight="1" x14ac:dyDescent="0.2">
      <c r="A709" s="1">
        <v>46260</v>
      </c>
      <c r="B709" t="s">
        <v>26</v>
      </c>
      <c r="C709" t="s">
        <v>27</v>
      </c>
      <c r="D709" t="s">
        <v>38</v>
      </c>
      <c r="E709" t="s">
        <v>36</v>
      </c>
      <c r="F709" s="2">
        <v>0.31388888888888899</v>
      </c>
      <c r="G709" s="2">
        <v>0.34236111111111101</v>
      </c>
      <c r="H709">
        <v>41</v>
      </c>
      <c r="I709" s="3">
        <v>0.3125</v>
      </c>
      <c r="J709" s="2">
        <v>0.35416666666666702</v>
      </c>
      <c r="K709">
        <v>60</v>
      </c>
      <c r="L709" s="2">
        <v>0.31388888888888899</v>
      </c>
      <c r="M709" s="2">
        <v>0.33819444444444402</v>
      </c>
      <c r="N709">
        <v>35</v>
      </c>
      <c r="O709" s="2">
        <v>0.32361111111111102</v>
      </c>
      <c r="P709" s="2">
        <v>0.33194444444444399</v>
      </c>
      <c r="Q709" s="2">
        <v>0.33819444444444402</v>
      </c>
      <c r="R709">
        <v>35</v>
      </c>
      <c r="S709">
        <v>12</v>
      </c>
      <c r="T709" s="2">
        <v>0.34027777777777801</v>
      </c>
      <c r="U709" s="2">
        <v>0.375694444444444</v>
      </c>
      <c r="V709">
        <v>51</v>
      </c>
    </row>
    <row r="710" spans="1:25" ht="15" customHeight="1" x14ac:dyDescent="0.2">
      <c r="A710" s="1">
        <v>46260</v>
      </c>
      <c r="B710" t="s">
        <v>26</v>
      </c>
      <c r="C710" t="s">
        <v>27</v>
      </c>
      <c r="D710" t="s">
        <v>28</v>
      </c>
      <c r="E710" t="s">
        <v>29</v>
      </c>
      <c r="F710" s="2">
        <v>0.44305555555555598</v>
      </c>
      <c r="G710" s="2">
        <v>0.47361111111111098</v>
      </c>
      <c r="H710">
        <v>44</v>
      </c>
      <c r="I710" s="3">
        <v>0.41666666666666702</v>
      </c>
      <c r="J710" s="2">
        <v>0.44791666666666702</v>
      </c>
      <c r="K710">
        <v>45</v>
      </c>
      <c r="L710" s="2">
        <v>0.44305555555555598</v>
      </c>
      <c r="M710" s="2">
        <v>0.47152777777777799</v>
      </c>
      <c r="N710">
        <v>41</v>
      </c>
      <c r="O710" s="2">
        <v>0.45555555555555599</v>
      </c>
      <c r="P710" s="2">
        <v>0.46736111111111101</v>
      </c>
      <c r="Q710" s="2">
        <v>0.47152777777777799</v>
      </c>
      <c r="R710">
        <v>41</v>
      </c>
      <c r="S710">
        <v>17</v>
      </c>
      <c r="T710" s="2">
        <v>0.47466435185185202</v>
      </c>
      <c r="U710" s="2">
        <v>0.49027777777777798</v>
      </c>
      <c r="V710">
        <v>23</v>
      </c>
    </row>
    <row r="711" spans="1:25" ht="15" customHeight="1" x14ac:dyDescent="0.2">
      <c r="A711" s="1">
        <v>46260</v>
      </c>
      <c r="B711" t="s">
        <v>26</v>
      </c>
      <c r="C711" t="s">
        <v>27</v>
      </c>
      <c r="D711" t="s">
        <v>28</v>
      </c>
      <c r="E711" t="s">
        <v>31</v>
      </c>
      <c r="F711" s="2">
        <v>0.64652777777777803</v>
      </c>
      <c r="G711" s="2">
        <v>0.70555555555555605</v>
      </c>
      <c r="H711">
        <v>85</v>
      </c>
      <c r="I711" s="3">
        <v>0.625</v>
      </c>
      <c r="J711" s="2">
        <v>0.6875</v>
      </c>
      <c r="K711">
        <v>90</v>
      </c>
      <c r="L711" s="2">
        <v>0.64652777777777803</v>
      </c>
      <c r="M711" s="2">
        <v>0.70347222222222205</v>
      </c>
      <c r="N711">
        <v>82</v>
      </c>
      <c r="O711" s="2">
        <v>0.65972222222222199</v>
      </c>
      <c r="P711" s="2">
        <v>0.70138888888888895</v>
      </c>
      <c r="Q711" s="2">
        <v>0.70347222222222205</v>
      </c>
      <c r="R711">
        <v>82</v>
      </c>
      <c r="S711">
        <v>60</v>
      </c>
      <c r="T711" s="2">
        <v>0.70769675925925901</v>
      </c>
      <c r="U711" s="2">
        <v>0.73333333333333295</v>
      </c>
      <c r="V711">
        <v>37</v>
      </c>
    </row>
    <row r="712" spans="1:25" ht="15" customHeight="1" x14ac:dyDescent="0.2">
      <c r="A712" s="1">
        <v>46260</v>
      </c>
      <c r="B712" t="s">
        <v>26</v>
      </c>
      <c r="C712" t="s">
        <v>27</v>
      </c>
      <c r="D712" t="s">
        <v>38</v>
      </c>
      <c r="E712" t="s">
        <v>29</v>
      </c>
      <c r="F712" s="2">
        <v>0.72083333333333299</v>
      </c>
      <c r="G712" s="2">
        <v>0.76597222222222205</v>
      </c>
      <c r="H712">
        <v>65</v>
      </c>
      <c r="I712" s="3">
        <v>0.71875</v>
      </c>
      <c r="J712" s="2">
        <v>0.75</v>
      </c>
      <c r="K712">
        <v>45</v>
      </c>
      <c r="L712" s="2">
        <v>0.72083333333333299</v>
      </c>
      <c r="M712" s="2">
        <v>0.76388888888888895</v>
      </c>
      <c r="N712">
        <v>62</v>
      </c>
      <c r="O712" s="2">
        <v>0.73263888888888895</v>
      </c>
      <c r="P712" s="2">
        <v>0.76111111111111096</v>
      </c>
      <c r="Q712" s="2">
        <v>0.76388888888888895</v>
      </c>
      <c r="R712">
        <v>62</v>
      </c>
      <c r="S712">
        <v>41</v>
      </c>
      <c r="T712" s="2">
        <v>0.76458333333333295</v>
      </c>
      <c r="U712" s="2">
        <v>0.77430555555555602</v>
      </c>
      <c r="V712">
        <v>14</v>
      </c>
    </row>
    <row r="713" spans="1:25" ht="15" customHeight="1" x14ac:dyDescent="0.2">
      <c r="A713" s="1">
        <v>46260</v>
      </c>
      <c r="B713" t="s">
        <v>26</v>
      </c>
      <c r="C713" t="s">
        <v>27</v>
      </c>
      <c r="D713" t="s">
        <v>28</v>
      </c>
      <c r="E713" t="s">
        <v>36</v>
      </c>
      <c r="F713" s="2">
        <v>0.31111111111111101</v>
      </c>
      <c r="G713" s="2">
        <v>0.57986111111111105</v>
      </c>
      <c r="H713">
        <v>387</v>
      </c>
      <c r="I713" s="3">
        <v>0.3125</v>
      </c>
      <c r="J713" s="2">
        <v>0.47916666666666702</v>
      </c>
      <c r="K713">
        <v>240</v>
      </c>
      <c r="L713" s="2">
        <v>0.31111111111111101</v>
      </c>
      <c r="M713" s="2">
        <v>0.57569444444444395</v>
      </c>
      <c r="N713">
        <v>381</v>
      </c>
      <c r="O713" s="2">
        <v>0.35</v>
      </c>
      <c r="P713" s="2">
        <v>0.57013888888888897</v>
      </c>
      <c r="Q713" s="2">
        <v>0.57569444444444395</v>
      </c>
      <c r="R713">
        <v>381</v>
      </c>
      <c r="S713">
        <v>317</v>
      </c>
      <c r="T713" s="2">
        <v>0.57678240740740705</v>
      </c>
      <c r="U713" s="2">
        <v>0.60486111111111096</v>
      </c>
      <c r="V713">
        <v>41</v>
      </c>
    </row>
    <row r="714" spans="1:25" ht="15" customHeight="1" x14ac:dyDescent="0.2">
      <c r="A714" s="1">
        <v>46260</v>
      </c>
      <c r="B714" t="s">
        <v>42</v>
      </c>
      <c r="C714" t="s">
        <v>43</v>
      </c>
      <c r="D714" t="s">
        <v>38</v>
      </c>
      <c r="E714" t="s">
        <v>31</v>
      </c>
      <c r="F714" s="2">
        <v>0.30763888888888902</v>
      </c>
      <c r="G714" s="2">
        <v>0.33541666666666697</v>
      </c>
      <c r="H714">
        <v>40</v>
      </c>
      <c r="I714" s="3">
        <v>0.3125</v>
      </c>
      <c r="J714" s="2">
        <v>0.34375</v>
      </c>
      <c r="K714">
        <v>45</v>
      </c>
      <c r="L714" s="2">
        <v>0.30763888888888902</v>
      </c>
      <c r="M714" s="2">
        <v>0.33194444444444399</v>
      </c>
      <c r="N714">
        <v>35</v>
      </c>
      <c r="O714" s="2">
        <v>0.31458333333333299</v>
      </c>
      <c r="P714" s="2">
        <v>0.327777777777778</v>
      </c>
      <c r="Q714" s="2">
        <v>0.33194444444444399</v>
      </c>
      <c r="R714">
        <v>35</v>
      </c>
      <c r="S714">
        <v>19</v>
      </c>
      <c r="T714" s="2">
        <v>0.33333333333333298</v>
      </c>
      <c r="U714" s="2">
        <v>0.34968749999999998</v>
      </c>
      <c r="V714">
        <v>23</v>
      </c>
    </row>
    <row r="715" spans="1:25" ht="15" customHeight="1" x14ac:dyDescent="0.2">
      <c r="A715" s="1">
        <v>46260</v>
      </c>
      <c r="B715" t="s">
        <v>26</v>
      </c>
      <c r="C715" t="s">
        <v>27</v>
      </c>
      <c r="D715" t="s">
        <v>28</v>
      </c>
      <c r="E715" t="s">
        <v>29</v>
      </c>
      <c r="F715" s="2">
        <v>0.49444444444444402</v>
      </c>
      <c r="G715" s="2">
        <v>0.51180555555555596</v>
      </c>
      <c r="H715">
        <v>25</v>
      </c>
      <c r="I715" s="3">
        <v>0.46875</v>
      </c>
      <c r="J715" s="2">
        <v>0.51041666666666696</v>
      </c>
      <c r="K715">
        <v>60</v>
      </c>
      <c r="L715" s="2">
        <v>0.49444444444444402</v>
      </c>
      <c r="M715" s="2">
        <v>0.51041666666666696</v>
      </c>
      <c r="N715">
        <v>23</v>
      </c>
      <c r="O715" s="2">
        <v>0.50208333333333299</v>
      </c>
      <c r="P715" s="2">
        <v>0.50833333333333297</v>
      </c>
      <c r="Q715" s="2">
        <v>0.51041666666666696</v>
      </c>
      <c r="R715">
        <v>23</v>
      </c>
      <c r="S715">
        <v>9</v>
      </c>
      <c r="T715" s="2">
        <v>0.51111111111111096</v>
      </c>
      <c r="U715" s="2">
        <v>0.54166666666666696</v>
      </c>
      <c r="V715">
        <v>44</v>
      </c>
    </row>
    <row r="716" spans="1:25" ht="15" customHeight="1" x14ac:dyDescent="0.2">
      <c r="A716" s="1">
        <v>46260</v>
      </c>
      <c r="B716" t="s">
        <v>26</v>
      </c>
      <c r="C716" t="s">
        <v>27</v>
      </c>
      <c r="D716" t="s">
        <v>28</v>
      </c>
      <c r="E716" t="s">
        <v>36</v>
      </c>
      <c r="F716" s="2">
        <v>0.68888888888888899</v>
      </c>
      <c r="G716" s="2">
        <v>0.74027777777777803</v>
      </c>
      <c r="H716">
        <v>74</v>
      </c>
      <c r="I716" s="3">
        <v>0.6875</v>
      </c>
      <c r="J716" s="2">
        <v>0.72916666666666696</v>
      </c>
      <c r="K716">
        <v>60</v>
      </c>
      <c r="L716" s="2">
        <v>0.68888888888888899</v>
      </c>
      <c r="M716" s="2">
        <v>0.73541666666666705</v>
      </c>
      <c r="N716">
        <v>67</v>
      </c>
      <c r="O716" s="2">
        <v>0.71527777777777801</v>
      </c>
      <c r="P716" s="2">
        <v>0.72777777777777797</v>
      </c>
      <c r="Q716" s="2">
        <v>0.73541666666666705</v>
      </c>
      <c r="R716">
        <v>67</v>
      </c>
      <c r="S716">
        <v>18</v>
      </c>
      <c r="T716" s="2">
        <v>0.73750000000000004</v>
      </c>
      <c r="U716" s="2">
        <v>0.769664351851852</v>
      </c>
      <c r="V716">
        <v>46</v>
      </c>
    </row>
    <row r="717" spans="1:25" ht="15" customHeight="1" x14ac:dyDescent="0.2">
      <c r="A717" s="1">
        <v>46260</v>
      </c>
      <c r="B717" t="s">
        <v>26</v>
      </c>
      <c r="C717" t="s">
        <v>27</v>
      </c>
      <c r="D717" t="s">
        <v>28</v>
      </c>
      <c r="E717" t="s">
        <v>31</v>
      </c>
      <c r="F717" s="2">
        <v>0.3</v>
      </c>
      <c r="G717" s="2">
        <v>0.32986111111111099</v>
      </c>
      <c r="H717">
        <v>43</v>
      </c>
      <c r="I717" s="3">
        <v>0.29930555555555599</v>
      </c>
      <c r="J717" s="2">
        <v>0.33402777777777798</v>
      </c>
      <c r="K717">
        <v>80</v>
      </c>
      <c r="L717" s="2">
        <v>0.3</v>
      </c>
      <c r="M717" s="2">
        <v>0.327083333333333</v>
      </c>
      <c r="N717">
        <v>39</v>
      </c>
      <c r="O717" s="2">
        <v>0.31527777777777799</v>
      </c>
      <c r="P717" s="2">
        <v>0.32222222222222202</v>
      </c>
      <c r="Q717" s="2">
        <v>0.327083333333333</v>
      </c>
      <c r="R717">
        <v>39</v>
      </c>
      <c r="S717">
        <v>10</v>
      </c>
      <c r="T717" s="2">
        <v>0.33511574074074102</v>
      </c>
      <c r="U717" s="2">
        <v>0.36249999999999999</v>
      </c>
      <c r="V717">
        <v>40</v>
      </c>
    </row>
    <row r="718" spans="1:25" ht="15" customHeight="1" x14ac:dyDescent="0.2">
      <c r="A718" s="1">
        <v>46260</v>
      </c>
      <c r="B718" t="s">
        <v>26</v>
      </c>
      <c r="C718" t="s">
        <v>27</v>
      </c>
      <c r="D718" t="s">
        <v>28</v>
      </c>
      <c r="E718" t="s">
        <v>29</v>
      </c>
      <c r="F718" s="2">
        <v>0.57291666666666696</v>
      </c>
      <c r="G718" s="2">
        <v>0.61527777777777803</v>
      </c>
      <c r="H718">
        <v>61</v>
      </c>
      <c r="I718" s="3">
        <v>0.5625</v>
      </c>
      <c r="J718" s="2">
        <v>0.61805555555555602</v>
      </c>
      <c r="K718">
        <v>80</v>
      </c>
      <c r="L718" s="2">
        <v>0.57291666666666696</v>
      </c>
      <c r="M718" s="2">
        <v>0.61250000000000004</v>
      </c>
      <c r="N718">
        <v>57</v>
      </c>
      <c r="O718" s="2">
        <v>0.59652777777777799</v>
      </c>
      <c r="P718" s="2">
        <v>0.60902777777777795</v>
      </c>
      <c r="Q718" s="2">
        <v>0.61250000000000004</v>
      </c>
      <c r="R718">
        <v>57</v>
      </c>
      <c r="S718">
        <v>18</v>
      </c>
      <c r="T718" s="2">
        <v>0.61334490740740699</v>
      </c>
      <c r="U718" s="2">
        <v>0.66319444444444398</v>
      </c>
      <c r="V718">
        <v>72</v>
      </c>
    </row>
    <row r="719" spans="1:25" ht="15" customHeight="1" x14ac:dyDescent="0.2">
      <c r="A719" s="1">
        <v>46260</v>
      </c>
      <c r="B719" t="s">
        <v>26</v>
      </c>
      <c r="C719" t="s">
        <v>27</v>
      </c>
      <c r="D719" t="s">
        <v>28</v>
      </c>
      <c r="E719" t="s">
        <v>29</v>
      </c>
      <c r="F719" s="2">
        <v>0.60347222222222197</v>
      </c>
      <c r="G719" s="2">
        <v>0.64027777777777795</v>
      </c>
      <c r="H719">
        <v>53</v>
      </c>
      <c r="I719" s="3">
        <v>0.53472222222222199</v>
      </c>
      <c r="J719" s="2">
        <v>0.59027777777777801</v>
      </c>
      <c r="K719">
        <v>110</v>
      </c>
      <c r="L719" s="2">
        <v>0.60347222222222197</v>
      </c>
      <c r="M719" s="2">
        <v>0.63611111111111096</v>
      </c>
      <c r="N719">
        <v>47</v>
      </c>
      <c r="O719" s="2">
        <v>0.61736111111111103</v>
      </c>
      <c r="P719" s="2">
        <v>0.63402777777777797</v>
      </c>
      <c r="Q719" s="2">
        <v>0.63611111111111096</v>
      </c>
      <c r="R719">
        <v>47</v>
      </c>
      <c r="S719">
        <v>24</v>
      </c>
      <c r="T719" s="2">
        <v>0.64238425925925902</v>
      </c>
      <c r="U719" s="2">
        <v>0.69513888888888897</v>
      </c>
      <c r="V719">
        <v>76</v>
      </c>
    </row>
    <row r="720" spans="1:25" ht="15" customHeight="1" x14ac:dyDescent="0.2">
      <c r="A720" s="1">
        <v>46260</v>
      </c>
      <c r="B720" t="s">
        <v>26</v>
      </c>
      <c r="C720" t="s">
        <v>27</v>
      </c>
      <c r="D720" t="s">
        <v>28</v>
      </c>
      <c r="E720" t="s">
        <v>31</v>
      </c>
      <c r="F720" s="2">
        <v>0.23749999999999999</v>
      </c>
      <c r="G720" s="2">
        <v>0.28125</v>
      </c>
      <c r="H720">
        <v>63</v>
      </c>
      <c r="I720" s="3">
        <v>0.22916666666666699</v>
      </c>
      <c r="J720" s="2">
        <v>0.28472222222222199</v>
      </c>
      <c r="K720">
        <v>110</v>
      </c>
      <c r="L720" s="2">
        <v>0.23749999999999999</v>
      </c>
      <c r="M720" s="2">
        <v>0.27847222222222201</v>
      </c>
      <c r="N720">
        <v>59</v>
      </c>
      <c r="O720" s="2">
        <v>0.25624999999999998</v>
      </c>
      <c r="P720" s="2">
        <v>0.27430555555555602</v>
      </c>
      <c r="Q720" s="2">
        <v>0.27847222222222201</v>
      </c>
      <c r="R720">
        <v>59</v>
      </c>
      <c r="S720">
        <v>26</v>
      </c>
      <c r="T720" s="2">
        <v>0.28121527777777799</v>
      </c>
      <c r="U720" s="2">
        <v>0.29513888888888901</v>
      </c>
      <c r="V720">
        <v>21</v>
      </c>
    </row>
    <row r="721" spans="1:25" ht="15" customHeight="1" x14ac:dyDescent="0.2">
      <c r="A721" s="1">
        <v>46260</v>
      </c>
      <c r="B721" t="s">
        <v>26</v>
      </c>
      <c r="C721" t="s">
        <v>27</v>
      </c>
      <c r="D721" t="s">
        <v>28</v>
      </c>
      <c r="E721" t="s">
        <v>31</v>
      </c>
      <c r="F721" s="2">
        <v>0.68402777777777801</v>
      </c>
      <c r="G721" s="2">
        <v>0.84513888888888899</v>
      </c>
      <c r="H721">
        <v>232</v>
      </c>
      <c r="I721" s="3">
        <v>0.65625</v>
      </c>
      <c r="J721" s="2">
        <v>0.74305555555555602</v>
      </c>
      <c r="K721">
        <v>155</v>
      </c>
      <c r="L721" s="2">
        <v>0.68402777777777801</v>
      </c>
      <c r="M721" s="2">
        <v>0.84236111111111101</v>
      </c>
      <c r="N721">
        <v>228</v>
      </c>
      <c r="O721" s="2">
        <v>0.72083333333333299</v>
      </c>
      <c r="P721" s="2">
        <v>0.83888888888888902</v>
      </c>
      <c r="Q721" s="2">
        <v>0.84236111111111101</v>
      </c>
      <c r="R721">
        <v>228</v>
      </c>
      <c r="S721">
        <v>170</v>
      </c>
      <c r="T721" s="2">
        <v>0.84375</v>
      </c>
      <c r="U721" s="2">
        <v>0.90741898148148104</v>
      </c>
      <c r="V721">
        <v>91</v>
      </c>
    </row>
    <row r="722" spans="1:25" ht="15" customHeight="1" x14ac:dyDescent="0.2">
      <c r="A722" s="1">
        <v>46260</v>
      </c>
      <c r="B722" t="s">
        <v>26</v>
      </c>
      <c r="C722" t="s">
        <v>27</v>
      </c>
      <c r="D722" t="s">
        <v>28</v>
      </c>
      <c r="E722" t="s">
        <v>29</v>
      </c>
      <c r="F722" s="2">
        <v>0.87013888888888902</v>
      </c>
      <c r="G722" s="2">
        <v>0.90069444444444402</v>
      </c>
      <c r="H722">
        <v>44</v>
      </c>
      <c r="I722" s="3">
        <v>0.79166666666666696</v>
      </c>
      <c r="J722" s="2">
        <v>0.83680555555555602</v>
      </c>
      <c r="K722">
        <v>95</v>
      </c>
      <c r="L722" s="2">
        <v>0.87013888888888902</v>
      </c>
      <c r="M722" s="2">
        <v>0.89722222222222203</v>
      </c>
      <c r="N722">
        <v>39</v>
      </c>
      <c r="O722" s="2">
        <v>0.88263888888888897</v>
      </c>
      <c r="P722" s="2">
        <v>0.89652777777777803</v>
      </c>
      <c r="Q722" s="2">
        <v>0.89722222222222203</v>
      </c>
      <c r="R722">
        <v>39</v>
      </c>
      <c r="S722">
        <v>20</v>
      </c>
      <c r="T722" s="2">
        <v>0.89883101851851899</v>
      </c>
      <c r="U722" s="2">
        <v>0.92101851851851901</v>
      </c>
      <c r="V722">
        <v>32</v>
      </c>
    </row>
    <row r="723" spans="1:25" ht="15" customHeight="1" x14ac:dyDescent="0.2">
      <c r="A723" s="1">
        <v>46260</v>
      </c>
      <c r="B723" t="s">
        <v>26</v>
      </c>
      <c r="C723" t="s">
        <v>27</v>
      </c>
      <c r="D723" t="s">
        <v>28</v>
      </c>
      <c r="E723" t="s">
        <v>36</v>
      </c>
      <c r="F723" s="2">
        <v>0.77638888888888902</v>
      </c>
      <c r="G723" s="2">
        <v>0.87013888888888902</v>
      </c>
      <c r="H723">
        <v>135</v>
      </c>
      <c r="I723" s="3">
        <v>0.75</v>
      </c>
      <c r="J723" s="2">
        <v>0.87847222222222199</v>
      </c>
      <c r="K723">
        <v>215</v>
      </c>
      <c r="L723" s="2">
        <v>0.77986111111111101</v>
      </c>
      <c r="M723" s="2">
        <v>0.86111111111111105</v>
      </c>
      <c r="N723">
        <v>117</v>
      </c>
      <c r="O723" s="2">
        <v>0.80277777777777803</v>
      </c>
      <c r="P723" s="2">
        <v>0.85555555555555596</v>
      </c>
      <c r="Q723" s="2">
        <v>0.86111111111111105</v>
      </c>
      <c r="R723">
        <v>117</v>
      </c>
      <c r="S723">
        <v>76</v>
      </c>
    </row>
    <row r="724" spans="1:25" ht="15" customHeight="1" x14ac:dyDescent="0.2">
      <c r="A724" s="1">
        <v>46261</v>
      </c>
      <c r="B724" t="s">
        <v>42</v>
      </c>
      <c r="C724" t="s">
        <v>43</v>
      </c>
      <c r="D724" t="s">
        <v>28</v>
      </c>
      <c r="E724" t="s">
        <v>31</v>
      </c>
      <c r="F724" s="2">
        <v>0.36736111111111103</v>
      </c>
      <c r="G724" s="2">
        <v>0.41458333333333303</v>
      </c>
      <c r="H724">
        <v>68</v>
      </c>
      <c r="I724" s="3">
        <v>0.36458333333333298</v>
      </c>
      <c r="J724" s="2">
        <v>0.40625</v>
      </c>
      <c r="K724">
        <v>60</v>
      </c>
      <c r="L724" s="2">
        <v>0.36736111111111103</v>
      </c>
      <c r="M724" s="2">
        <v>0.40763888888888899</v>
      </c>
      <c r="N724">
        <v>58</v>
      </c>
      <c r="O724" s="2">
        <v>0.39374999999999999</v>
      </c>
      <c r="P724" s="2">
        <v>0.40486111111111101</v>
      </c>
      <c r="Q724" s="2">
        <v>0.40763888888888899</v>
      </c>
      <c r="R724">
        <v>58</v>
      </c>
      <c r="S724">
        <v>16</v>
      </c>
      <c r="T724" s="2">
        <v>0.41035879629629601</v>
      </c>
      <c r="U724" s="2">
        <v>0.43333333333333302</v>
      </c>
      <c r="V724">
        <v>34</v>
      </c>
      <c r="W724" s="2">
        <v>0.43333333333333302</v>
      </c>
      <c r="X724" s="2">
        <v>0.47083333333333299</v>
      </c>
      <c r="Y724">
        <v>54</v>
      </c>
    </row>
    <row r="725" spans="1:25" ht="15" customHeight="1" x14ac:dyDescent="0.2">
      <c r="A725" s="1">
        <v>46261</v>
      </c>
      <c r="B725" t="s">
        <v>42</v>
      </c>
      <c r="C725" t="s">
        <v>43</v>
      </c>
      <c r="D725" t="s">
        <v>28</v>
      </c>
      <c r="E725" t="s">
        <v>36</v>
      </c>
      <c r="F725" s="2">
        <v>0.31111111111111101</v>
      </c>
      <c r="G725" s="2">
        <v>0.42638888888888898</v>
      </c>
      <c r="H725">
        <v>166</v>
      </c>
      <c r="I725" s="3">
        <v>0.3125</v>
      </c>
      <c r="J725" s="2">
        <v>0.42708333333333298</v>
      </c>
      <c r="K725">
        <v>165</v>
      </c>
      <c r="L725" s="2">
        <v>0.31111111111111101</v>
      </c>
      <c r="M725" s="2">
        <v>0.41944444444444401</v>
      </c>
      <c r="N725">
        <v>156</v>
      </c>
      <c r="O725" s="2">
        <v>0.33541666666666697</v>
      </c>
      <c r="P725" s="2">
        <v>0.41736111111111102</v>
      </c>
      <c r="Q725" s="2">
        <v>0.41944444444444401</v>
      </c>
      <c r="R725">
        <v>156</v>
      </c>
      <c r="S725">
        <v>118</v>
      </c>
      <c r="T725" s="2">
        <v>0.422106481481481</v>
      </c>
      <c r="U725" s="2">
        <v>0.44872685185185202</v>
      </c>
      <c r="V725">
        <v>39</v>
      </c>
    </row>
    <row r="726" spans="1:25" ht="15" customHeight="1" x14ac:dyDescent="0.2">
      <c r="A726" s="1">
        <v>46261</v>
      </c>
      <c r="B726" t="s">
        <v>42</v>
      </c>
      <c r="C726" t="s">
        <v>43</v>
      </c>
      <c r="D726" t="s">
        <v>28</v>
      </c>
      <c r="E726" t="s">
        <v>31</v>
      </c>
      <c r="F726" s="2">
        <v>0.3125</v>
      </c>
      <c r="G726" s="2">
        <v>0.35486111111111102</v>
      </c>
      <c r="H726">
        <v>61</v>
      </c>
      <c r="I726" s="3">
        <v>0.3125</v>
      </c>
      <c r="J726" s="2">
        <v>0.35416666666666702</v>
      </c>
      <c r="K726">
        <v>60</v>
      </c>
      <c r="L726" s="2">
        <v>0.31666666666666698</v>
      </c>
      <c r="M726" s="2">
        <v>0.35069444444444398</v>
      </c>
      <c r="N726">
        <v>49</v>
      </c>
      <c r="O726" s="2">
        <v>0.32986111111111099</v>
      </c>
      <c r="P726" s="2">
        <v>0.344444444444444</v>
      </c>
      <c r="Q726" s="2">
        <v>0.35069444444444398</v>
      </c>
      <c r="R726">
        <v>49</v>
      </c>
      <c r="S726">
        <v>21</v>
      </c>
      <c r="T726" s="2">
        <v>0.35858796296296302</v>
      </c>
      <c r="U726" s="2">
        <v>0.375</v>
      </c>
      <c r="V726">
        <v>24</v>
      </c>
      <c r="W726" s="2">
        <v>0.375694444444444</v>
      </c>
      <c r="X726" s="2">
        <v>0.38194444444444398</v>
      </c>
      <c r="Y726">
        <v>9</v>
      </c>
    </row>
    <row r="727" spans="1:25" ht="15" customHeight="1" x14ac:dyDescent="0.2">
      <c r="A727" s="1">
        <v>46261</v>
      </c>
      <c r="B727" t="s">
        <v>42</v>
      </c>
      <c r="C727" t="s">
        <v>43</v>
      </c>
      <c r="D727" t="s">
        <v>28</v>
      </c>
      <c r="E727" t="s">
        <v>31</v>
      </c>
      <c r="F727" s="2">
        <v>0.390277777777778</v>
      </c>
      <c r="G727" s="2">
        <v>0.44305555555555598</v>
      </c>
      <c r="H727">
        <v>76</v>
      </c>
      <c r="I727" s="3">
        <v>0.375</v>
      </c>
      <c r="J727" s="2">
        <v>0.42708333333333298</v>
      </c>
      <c r="K727">
        <v>75</v>
      </c>
      <c r="L727" s="2">
        <v>0.390277777777778</v>
      </c>
      <c r="M727" s="2">
        <v>0.438194444444444</v>
      </c>
      <c r="N727">
        <v>69</v>
      </c>
      <c r="O727" s="2">
        <v>0.40833333333333299</v>
      </c>
      <c r="P727" s="2">
        <v>0.43472222222222201</v>
      </c>
      <c r="Q727" s="2">
        <v>0.438194444444444</v>
      </c>
      <c r="R727">
        <v>69</v>
      </c>
      <c r="S727">
        <v>38</v>
      </c>
      <c r="T727" s="2">
        <v>0.44166666666666698</v>
      </c>
      <c r="U727" s="2">
        <v>0.61250000000000004</v>
      </c>
      <c r="V727">
        <v>246</v>
      </c>
    </row>
    <row r="728" spans="1:25" ht="15" customHeight="1" x14ac:dyDescent="0.2">
      <c r="A728" s="1">
        <v>46261</v>
      </c>
      <c r="B728" t="s">
        <v>42</v>
      </c>
      <c r="C728" t="s">
        <v>43</v>
      </c>
      <c r="D728" t="s">
        <v>28</v>
      </c>
      <c r="E728" t="s">
        <v>35</v>
      </c>
      <c r="F728" s="2">
        <v>0.32361111111111102</v>
      </c>
      <c r="G728" s="2">
        <v>0.36736111111111103</v>
      </c>
      <c r="H728">
        <v>63</v>
      </c>
      <c r="I728" s="3">
        <v>0.3125</v>
      </c>
      <c r="J728" s="2">
        <v>0.35416666666666702</v>
      </c>
      <c r="K728">
        <v>60</v>
      </c>
      <c r="L728" s="2">
        <v>0.32361111111111102</v>
      </c>
      <c r="M728" s="2">
        <v>0.36180555555555599</v>
      </c>
      <c r="N728">
        <v>55</v>
      </c>
      <c r="O728" s="2">
        <v>0.33888888888888902</v>
      </c>
      <c r="P728" s="2">
        <v>0.35763888888888901</v>
      </c>
      <c r="Q728" s="2">
        <v>0.36180555555555599</v>
      </c>
      <c r="R728">
        <v>55</v>
      </c>
      <c r="S728">
        <v>27</v>
      </c>
      <c r="T728" s="2">
        <v>0.36800925925925898</v>
      </c>
      <c r="U728" s="2">
        <v>0.40486111111111101</v>
      </c>
      <c r="V728">
        <v>54</v>
      </c>
      <c r="W728" s="2">
        <v>0.40599537037036998</v>
      </c>
      <c r="X728" s="2">
        <v>0.40902777777777799</v>
      </c>
      <c r="Y728">
        <v>5</v>
      </c>
    </row>
    <row r="729" spans="1:25" ht="15" customHeight="1" x14ac:dyDescent="0.2">
      <c r="A729" s="1">
        <v>46261</v>
      </c>
      <c r="B729" t="s">
        <v>42</v>
      </c>
      <c r="C729" t="s">
        <v>43</v>
      </c>
      <c r="D729" t="s">
        <v>28</v>
      </c>
      <c r="E729" t="s">
        <v>29</v>
      </c>
      <c r="F729" s="2">
        <v>0.36666666666666697</v>
      </c>
      <c r="G729" s="2">
        <v>0.41944444444444401</v>
      </c>
      <c r="H729">
        <v>76</v>
      </c>
      <c r="I729" s="3">
        <v>0.375</v>
      </c>
      <c r="J729" s="2">
        <v>0.42708333333333298</v>
      </c>
      <c r="K729">
        <v>75</v>
      </c>
      <c r="L729" s="2">
        <v>0.36666666666666697</v>
      </c>
      <c r="M729" s="2">
        <v>0.41666666666666702</v>
      </c>
      <c r="N729">
        <v>72</v>
      </c>
      <c r="O729" s="2">
        <v>0.38124999999999998</v>
      </c>
      <c r="P729" s="2">
        <v>0.41458333333333303</v>
      </c>
      <c r="Q729" s="2">
        <v>0.41666666666666702</v>
      </c>
      <c r="R729">
        <v>72</v>
      </c>
      <c r="S729">
        <v>48</v>
      </c>
      <c r="T729" s="2">
        <v>0.41805555555555601</v>
      </c>
      <c r="U729" s="2">
        <v>0.44513888888888897</v>
      </c>
      <c r="V729">
        <v>39</v>
      </c>
      <c r="W729" s="2">
        <v>0.44583333333333303</v>
      </c>
      <c r="X729" s="2">
        <v>0.48611111111111099</v>
      </c>
      <c r="Y729">
        <v>58</v>
      </c>
    </row>
    <row r="730" spans="1:25" ht="15" customHeight="1" x14ac:dyDescent="0.2">
      <c r="A730" s="1">
        <v>46261</v>
      </c>
      <c r="B730" t="s">
        <v>42</v>
      </c>
      <c r="C730" t="s">
        <v>43</v>
      </c>
      <c r="D730" t="s">
        <v>28</v>
      </c>
      <c r="E730" t="s">
        <v>31</v>
      </c>
      <c r="F730" s="2">
        <v>0.4375</v>
      </c>
      <c r="G730" s="2">
        <v>0.49236111111111103</v>
      </c>
      <c r="H730">
        <v>79</v>
      </c>
      <c r="I730" s="3">
        <v>0.44791666666666702</v>
      </c>
      <c r="J730" s="2">
        <v>0.51041666666666696</v>
      </c>
      <c r="K730">
        <v>90</v>
      </c>
      <c r="L730" s="2">
        <v>0.4375</v>
      </c>
      <c r="M730" s="2">
        <v>0.48958333333333298</v>
      </c>
      <c r="N730">
        <v>75</v>
      </c>
      <c r="O730" s="2">
        <v>0.45</v>
      </c>
      <c r="P730" s="2">
        <v>0.48749999999999999</v>
      </c>
      <c r="Q730" s="2">
        <v>0.48958333333333298</v>
      </c>
      <c r="R730">
        <v>75</v>
      </c>
      <c r="S730">
        <v>54</v>
      </c>
      <c r="T730" s="2">
        <v>0.49097222222222198</v>
      </c>
      <c r="U730" s="2">
        <v>0.55138888888888904</v>
      </c>
      <c r="V730">
        <v>87</v>
      </c>
      <c r="W730" s="2">
        <v>0.55208333333333304</v>
      </c>
      <c r="X730" s="2">
        <v>0.58541666666666703</v>
      </c>
      <c r="Y730">
        <v>48</v>
      </c>
    </row>
    <row r="731" spans="1:25" ht="15" customHeight="1" x14ac:dyDescent="0.2">
      <c r="A731" s="1">
        <v>46261</v>
      </c>
      <c r="B731" t="s">
        <v>42</v>
      </c>
      <c r="C731" t="s">
        <v>43</v>
      </c>
      <c r="D731" t="s">
        <v>28</v>
      </c>
      <c r="E731" t="s">
        <v>29</v>
      </c>
      <c r="F731" s="2">
        <v>0.58888888888888902</v>
      </c>
      <c r="G731" s="2">
        <v>0.67569444444444404</v>
      </c>
      <c r="H731">
        <v>125</v>
      </c>
      <c r="I731" s="3">
        <v>0.60416666666666696</v>
      </c>
      <c r="J731" s="2">
        <v>0.65625</v>
      </c>
      <c r="K731">
        <v>75</v>
      </c>
      <c r="L731" s="2">
        <v>0.58888888888888902</v>
      </c>
      <c r="M731" s="2">
        <v>0.67361111111111105</v>
      </c>
      <c r="N731">
        <v>122</v>
      </c>
      <c r="O731" s="2">
        <v>0.60347222222222197</v>
      </c>
      <c r="P731" s="2">
        <v>0.66874999999999996</v>
      </c>
      <c r="Q731" s="2">
        <v>0.67361111111111105</v>
      </c>
      <c r="R731">
        <v>122</v>
      </c>
      <c r="S731">
        <v>94</v>
      </c>
      <c r="T731" s="2">
        <v>0.67369212962962999</v>
      </c>
      <c r="U731" s="2">
        <v>0.688194444444444</v>
      </c>
      <c r="V731">
        <v>21</v>
      </c>
      <c r="W731" s="2">
        <v>0.68888888888888899</v>
      </c>
      <c r="X731" s="2">
        <v>0.73611111111111105</v>
      </c>
      <c r="Y731">
        <v>68</v>
      </c>
    </row>
    <row r="732" spans="1:25" ht="15" customHeight="1" x14ac:dyDescent="0.2">
      <c r="A732" s="1">
        <v>46261</v>
      </c>
      <c r="B732" t="s">
        <v>42</v>
      </c>
      <c r="C732" t="s">
        <v>43</v>
      </c>
      <c r="D732" t="s">
        <v>34</v>
      </c>
      <c r="E732" t="s">
        <v>29</v>
      </c>
      <c r="F732" s="2">
        <v>0.51111111111111096</v>
      </c>
      <c r="G732" s="2">
        <v>0.57916666666666705</v>
      </c>
      <c r="H732">
        <v>98</v>
      </c>
      <c r="I732" s="3">
        <v>0.51388888888888895</v>
      </c>
      <c r="J732" s="2">
        <v>0.58680555555555602</v>
      </c>
      <c r="K732">
        <v>105</v>
      </c>
      <c r="L732" s="2">
        <v>0.51111111111111096</v>
      </c>
      <c r="M732" s="2">
        <v>0.57569444444444395</v>
      </c>
      <c r="N732">
        <v>93</v>
      </c>
      <c r="O732" s="2">
        <v>0.52430555555555602</v>
      </c>
      <c r="P732" s="2">
        <v>0.57222222222222197</v>
      </c>
      <c r="Q732" s="2">
        <v>0.57569444444444395</v>
      </c>
      <c r="R732">
        <v>93</v>
      </c>
      <c r="S732">
        <v>69</v>
      </c>
      <c r="T732" s="2">
        <v>0.57650462962963001</v>
      </c>
      <c r="U732" s="2">
        <v>0.594444444444444</v>
      </c>
      <c r="V732">
        <v>26</v>
      </c>
    </row>
    <row r="733" spans="1:25" ht="15" customHeight="1" x14ac:dyDescent="0.2">
      <c r="A733" s="1">
        <v>46261</v>
      </c>
      <c r="B733" t="s">
        <v>42</v>
      </c>
      <c r="C733" t="s">
        <v>43</v>
      </c>
      <c r="D733" t="s">
        <v>28</v>
      </c>
      <c r="E733" t="s">
        <v>31</v>
      </c>
      <c r="F733" s="2">
        <v>0.311805555555556</v>
      </c>
      <c r="G733" s="2">
        <v>0.39861111111111103</v>
      </c>
      <c r="H733">
        <v>125</v>
      </c>
      <c r="I733" s="3">
        <v>0.3125</v>
      </c>
      <c r="J733" s="2">
        <v>0.39583333333333298</v>
      </c>
      <c r="K733">
        <v>120</v>
      </c>
      <c r="L733" s="2">
        <v>0.311805555555556</v>
      </c>
      <c r="M733" s="2">
        <v>0.39374999999999999</v>
      </c>
      <c r="N733">
        <v>118</v>
      </c>
      <c r="O733" s="2">
        <v>0.33958333333333302</v>
      </c>
      <c r="P733" s="2">
        <v>0.390972222222222</v>
      </c>
      <c r="Q733" s="2">
        <v>0.39374999999999999</v>
      </c>
      <c r="R733">
        <v>118</v>
      </c>
      <c r="S733">
        <v>74</v>
      </c>
      <c r="T733" s="2">
        <v>0.39589120370370401</v>
      </c>
      <c r="U733" s="2">
        <v>0.413252314814815</v>
      </c>
      <c r="V733">
        <v>25</v>
      </c>
      <c r="W733" s="2">
        <v>0.41327546296296302</v>
      </c>
      <c r="X733" s="2">
        <v>0.42621527777777801</v>
      </c>
      <c r="Y733">
        <v>18</v>
      </c>
    </row>
    <row r="734" spans="1:25" ht="15" customHeight="1" x14ac:dyDescent="0.2">
      <c r="A734" s="1">
        <v>46261</v>
      </c>
      <c r="B734" t="s">
        <v>26</v>
      </c>
      <c r="C734" t="s">
        <v>27</v>
      </c>
      <c r="D734" t="s">
        <v>28</v>
      </c>
      <c r="E734" t="s">
        <v>29</v>
      </c>
      <c r="F734" s="2">
        <v>0.51805555555555605</v>
      </c>
      <c r="G734" s="2">
        <v>0.72638888888888897</v>
      </c>
      <c r="H734">
        <v>300</v>
      </c>
      <c r="I734" s="3">
        <v>0.4375</v>
      </c>
      <c r="J734" s="2">
        <v>0.59375</v>
      </c>
      <c r="K734">
        <v>225</v>
      </c>
      <c r="L734" s="2">
        <v>0.51805555555555605</v>
      </c>
      <c r="M734" s="2">
        <v>0.72430555555555598</v>
      </c>
      <c r="N734">
        <v>297</v>
      </c>
      <c r="O734" s="2">
        <v>0.55763888888888902</v>
      </c>
      <c r="P734" s="2">
        <v>0.71180555555555602</v>
      </c>
      <c r="Q734" s="2">
        <v>0.72430555555555598</v>
      </c>
      <c r="R734">
        <v>297</v>
      </c>
      <c r="S734">
        <v>222</v>
      </c>
      <c r="T734" s="2">
        <v>0.72430555555555598</v>
      </c>
      <c r="U734" s="2">
        <v>0.76111111111111096</v>
      </c>
      <c r="V734">
        <v>53</v>
      </c>
    </row>
    <row r="735" spans="1:25" ht="15" customHeight="1" x14ac:dyDescent="0.2">
      <c r="A735" s="1">
        <v>46261</v>
      </c>
      <c r="B735" t="s">
        <v>42</v>
      </c>
      <c r="C735" t="s">
        <v>43</v>
      </c>
      <c r="D735" t="s">
        <v>28</v>
      </c>
      <c r="E735" t="s">
        <v>35</v>
      </c>
      <c r="F735" s="2">
        <v>0.45902777777777798</v>
      </c>
      <c r="G735" s="2">
        <v>0.48888888888888898</v>
      </c>
      <c r="H735">
        <v>43</v>
      </c>
      <c r="I735" s="3">
        <v>0.44791666666666702</v>
      </c>
      <c r="J735" s="2">
        <v>0.47916666666666702</v>
      </c>
      <c r="K735">
        <v>45</v>
      </c>
      <c r="L735" s="2">
        <v>0.45902777777777798</v>
      </c>
      <c r="M735" s="2">
        <v>0.484722222222222</v>
      </c>
      <c r="N735">
        <v>37</v>
      </c>
      <c r="O735" s="2">
        <v>0.47222222222222199</v>
      </c>
      <c r="P735" s="2">
        <v>0.48194444444444401</v>
      </c>
      <c r="Q735" s="2">
        <v>0.484722222222222</v>
      </c>
      <c r="R735">
        <v>37</v>
      </c>
      <c r="S735">
        <v>14</v>
      </c>
      <c r="T735" s="2">
        <v>0.49074074074074098</v>
      </c>
      <c r="U735" s="2">
        <v>0.52083333333333304</v>
      </c>
      <c r="V735">
        <v>44</v>
      </c>
      <c r="W735" s="2">
        <v>0.52152777777777803</v>
      </c>
      <c r="X735" s="2">
        <v>0.53611111111111098</v>
      </c>
      <c r="Y735">
        <v>21</v>
      </c>
    </row>
    <row r="736" spans="1:25" ht="15" customHeight="1" x14ac:dyDescent="0.2">
      <c r="A736" s="1">
        <v>46261</v>
      </c>
      <c r="B736" t="s">
        <v>42</v>
      </c>
      <c r="C736" t="s">
        <v>43</v>
      </c>
      <c r="D736" t="s">
        <v>34</v>
      </c>
      <c r="E736" t="s">
        <v>31</v>
      </c>
      <c r="F736" s="2">
        <v>0.44722222222222202</v>
      </c>
      <c r="G736" s="2">
        <v>0.50694444444444398</v>
      </c>
      <c r="H736">
        <v>86</v>
      </c>
      <c r="I736" s="3">
        <v>0.44791666666666702</v>
      </c>
      <c r="J736" s="2">
        <v>0.51041666666666696</v>
      </c>
      <c r="K736">
        <v>90</v>
      </c>
      <c r="L736" s="2">
        <v>0.44444444444444398</v>
      </c>
      <c r="M736" s="2">
        <v>0.5</v>
      </c>
      <c r="N736">
        <v>80</v>
      </c>
      <c r="O736" s="2">
        <v>0.46666666666666701</v>
      </c>
      <c r="P736" s="2">
        <v>0.49722222222222201</v>
      </c>
      <c r="Q736" s="2">
        <v>0.5</v>
      </c>
      <c r="R736">
        <v>80</v>
      </c>
      <c r="S736">
        <v>44</v>
      </c>
      <c r="T736" s="2">
        <v>0.50270833333333298</v>
      </c>
      <c r="U736" s="2">
        <v>0.52430555555555602</v>
      </c>
      <c r="V736">
        <v>32</v>
      </c>
      <c r="W736" s="2">
        <v>0.52500000000000002</v>
      </c>
      <c r="X736" s="2">
        <v>0.53370370370370401</v>
      </c>
      <c r="Y736">
        <v>12</v>
      </c>
    </row>
    <row r="737" spans="1:25" ht="15" customHeight="1" x14ac:dyDescent="0.2">
      <c r="A737" s="1">
        <v>46261</v>
      </c>
      <c r="B737" t="s">
        <v>26</v>
      </c>
      <c r="C737" t="s">
        <v>27</v>
      </c>
      <c r="D737" t="s">
        <v>28</v>
      </c>
      <c r="E737" t="s">
        <v>29</v>
      </c>
      <c r="F737" s="2">
        <v>0.34791666666666698</v>
      </c>
      <c r="G737" s="2">
        <v>0.47361111111111098</v>
      </c>
      <c r="H737">
        <v>181</v>
      </c>
      <c r="I737" s="3">
        <v>0.3125</v>
      </c>
      <c r="J737" s="2">
        <v>0.41666666666666702</v>
      </c>
      <c r="K737">
        <v>150</v>
      </c>
      <c r="L737" s="2">
        <v>0.34791666666666698</v>
      </c>
      <c r="M737" s="2">
        <v>0.469444444444444</v>
      </c>
      <c r="N737">
        <v>175</v>
      </c>
      <c r="O737" s="2">
        <v>0.374305555555556</v>
      </c>
      <c r="P737" s="2">
        <v>0.45972222222222198</v>
      </c>
      <c r="Q737" s="2">
        <v>0.469444444444444</v>
      </c>
      <c r="R737">
        <v>175</v>
      </c>
      <c r="S737">
        <v>123</v>
      </c>
      <c r="T737" s="2">
        <v>0.47401620370370401</v>
      </c>
      <c r="U737" s="2">
        <v>0.49707175925925901</v>
      </c>
      <c r="V737">
        <v>33</v>
      </c>
    </row>
    <row r="738" spans="1:25" ht="15" customHeight="1" x14ac:dyDescent="0.2">
      <c r="A738" s="1">
        <v>46261</v>
      </c>
      <c r="B738" t="s">
        <v>26</v>
      </c>
      <c r="C738" t="s">
        <v>27</v>
      </c>
      <c r="D738" t="s">
        <v>28</v>
      </c>
      <c r="E738" t="s">
        <v>31</v>
      </c>
      <c r="F738" s="2">
        <v>0.75208333333333299</v>
      </c>
      <c r="G738" s="2">
        <v>0.813194444444444</v>
      </c>
      <c r="H738">
        <v>88</v>
      </c>
      <c r="I738" s="3">
        <v>0.72916666666666696</v>
      </c>
      <c r="J738" s="2">
        <v>0.77083333333333304</v>
      </c>
      <c r="K738">
        <v>60</v>
      </c>
      <c r="L738" s="2">
        <v>0.75208333333333299</v>
      </c>
      <c r="M738" s="2">
        <v>0.80694444444444402</v>
      </c>
      <c r="N738">
        <v>79</v>
      </c>
      <c r="O738" s="2">
        <v>0.76736111111111105</v>
      </c>
      <c r="P738" s="2">
        <v>0.80277777777777803</v>
      </c>
      <c r="Q738" s="2">
        <v>0.80694444444444402</v>
      </c>
      <c r="R738">
        <v>79</v>
      </c>
      <c r="S738">
        <v>51</v>
      </c>
      <c r="T738" s="2">
        <v>0.81278935185185197</v>
      </c>
      <c r="U738" s="2">
        <v>0.82777777777777795</v>
      </c>
      <c r="V738">
        <v>22</v>
      </c>
    </row>
    <row r="739" spans="1:25" ht="15" customHeight="1" x14ac:dyDescent="0.2">
      <c r="A739" s="1">
        <v>46261</v>
      </c>
      <c r="B739" t="s">
        <v>26</v>
      </c>
      <c r="C739" t="s">
        <v>27</v>
      </c>
      <c r="D739" t="s">
        <v>34</v>
      </c>
      <c r="E739" t="s">
        <v>29</v>
      </c>
      <c r="F739" s="2">
        <v>0.76111111111111096</v>
      </c>
      <c r="G739" s="2">
        <v>0.89166666666666705</v>
      </c>
      <c r="H739">
        <v>188</v>
      </c>
      <c r="I739" s="3">
        <v>0.61458333333333304</v>
      </c>
      <c r="J739" s="2">
        <v>0.77083333333333304</v>
      </c>
      <c r="K739">
        <v>225</v>
      </c>
      <c r="L739" s="2">
        <v>0.76111111111111096</v>
      </c>
      <c r="M739" s="2">
        <v>0.88472222222222197</v>
      </c>
      <c r="N739">
        <v>178</v>
      </c>
      <c r="O739" s="2">
        <v>0.79236111111111096</v>
      </c>
      <c r="P739" s="2">
        <v>0.86666666666666703</v>
      </c>
      <c r="Q739" s="2">
        <v>0.88472222222222197</v>
      </c>
      <c r="R739">
        <v>178</v>
      </c>
      <c r="S739">
        <v>107</v>
      </c>
      <c r="T739" s="2">
        <v>0.88687499999999997</v>
      </c>
      <c r="U739" s="2">
        <v>0.91736111111111096</v>
      </c>
      <c r="V739">
        <v>44</v>
      </c>
    </row>
    <row r="740" spans="1:25" ht="15" customHeight="1" x14ac:dyDescent="0.2">
      <c r="A740" s="1">
        <v>46261</v>
      </c>
      <c r="B740" t="s">
        <v>42</v>
      </c>
      <c r="C740" t="s">
        <v>43</v>
      </c>
      <c r="D740" t="s">
        <v>28</v>
      </c>
      <c r="E740" t="s">
        <v>31</v>
      </c>
      <c r="F740" s="2">
        <v>0.43958333333333299</v>
      </c>
      <c r="G740" s="2">
        <v>0.50694444444444398</v>
      </c>
      <c r="H740">
        <v>97</v>
      </c>
      <c r="I740" s="3">
        <v>0.42708333333333298</v>
      </c>
      <c r="J740" s="2">
        <v>0.48958333333333298</v>
      </c>
      <c r="K740">
        <v>90</v>
      </c>
      <c r="L740" s="2">
        <v>0.43958333333333299</v>
      </c>
      <c r="M740" s="2">
        <v>0.5</v>
      </c>
      <c r="N740">
        <v>87</v>
      </c>
      <c r="O740" s="2">
        <v>0.45694444444444399</v>
      </c>
      <c r="P740" s="2">
        <v>0.49652777777777801</v>
      </c>
      <c r="Q740" s="2">
        <v>0.5</v>
      </c>
      <c r="R740">
        <v>87</v>
      </c>
      <c r="S740">
        <v>57</v>
      </c>
      <c r="T740" s="2">
        <v>0.50152777777777802</v>
      </c>
      <c r="U740" s="2">
        <v>0.57361111111111096</v>
      </c>
      <c r="V740">
        <v>104</v>
      </c>
    </row>
    <row r="741" spans="1:25" ht="15" customHeight="1" x14ac:dyDescent="0.2">
      <c r="A741" s="1">
        <v>46261</v>
      </c>
      <c r="B741" t="s">
        <v>42</v>
      </c>
      <c r="C741" t="s">
        <v>43</v>
      </c>
      <c r="D741" t="s">
        <v>28</v>
      </c>
      <c r="E741" t="s">
        <v>29</v>
      </c>
      <c r="F741" s="2">
        <v>0.69236111111111098</v>
      </c>
      <c r="G741" s="2">
        <v>0.74027777777777803</v>
      </c>
      <c r="H741">
        <v>69</v>
      </c>
      <c r="I741" s="3">
        <v>0.66666666666666696</v>
      </c>
      <c r="J741" s="2">
        <v>0.70833333333333304</v>
      </c>
      <c r="K741">
        <v>60</v>
      </c>
      <c r="L741" s="2">
        <v>0.69236111111111098</v>
      </c>
      <c r="M741" s="2">
        <v>0.73333333333333295</v>
      </c>
      <c r="N741">
        <v>59</v>
      </c>
      <c r="O741" s="2">
        <v>0.70763888888888904</v>
      </c>
      <c r="P741" s="2">
        <v>0.72916666666666696</v>
      </c>
      <c r="Q741" s="2">
        <v>0.73333333333333295</v>
      </c>
      <c r="R741">
        <v>59</v>
      </c>
      <c r="S741">
        <v>31</v>
      </c>
      <c r="T741" s="2">
        <v>0.73591435185185206</v>
      </c>
      <c r="U741" s="2">
        <v>0.77152777777777803</v>
      </c>
      <c r="V741">
        <v>52</v>
      </c>
      <c r="W741" s="2">
        <v>0.77222222222222203</v>
      </c>
      <c r="X741" s="2">
        <v>0.79236111111111096</v>
      </c>
      <c r="Y741">
        <v>29</v>
      </c>
    </row>
    <row r="742" spans="1:25" ht="15" customHeight="1" x14ac:dyDescent="0.2">
      <c r="A742" s="1">
        <v>46261</v>
      </c>
      <c r="B742" t="s">
        <v>42</v>
      </c>
      <c r="C742" t="s">
        <v>43</v>
      </c>
      <c r="D742" t="s">
        <v>28</v>
      </c>
      <c r="E742" t="s">
        <v>31</v>
      </c>
      <c r="F742" s="2">
        <v>0.31666666666666698</v>
      </c>
      <c r="G742" s="2">
        <v>0.36458333333333298</v>
      </c>
      <c r="H742">
        <v>69</v>
      </c>
      <c r="I742" s="3">
        <v>0.3125</v>
      </c>
      <c r="J742" s="2">
        <v>0.35416666666666702</v>
      </c>
      <c r="K742">
        <v>60</v>
      </c>
      <c r="L742" s="2">
        <v>0.31666666666666698</v>
      </c>
      <c r="M742" s="2">
        <v>0.359722222222222</v>
      </c>
      <c r="N742">
        <v>62</v>
      </c>
      <c r="O742" s="2">
        <v>0.33541666666666697</v>
      </c>
      <c r="P742" s="2">
        <v>0.35694444444444401</v>
      </c>
      <c r="Q742" s="2">
        <v>0.359722222222222</v>
      </c>
      <c r="R742">
        <v>62</v>
      </c>
      <c r="S742">
        <v>31</v>
      </c>
      <c r="T742" s="2">
        <v>0.360416666666667</v>
      </c>
      <c r="U742" s="2">
        <v>0.38472222222222202</v>
      </c>
      <c r="V742">
        <v>35</v>
      </c>
      <c r="W742" s="2">
        <v>0.38541666666666702</v>
      </c>
      <c r="X742" s="2">
        <v>0.420833333333333</v>
      </c>
      <c r="Y742">
        <v>51</v>
      </c>
    </row>
    <row r="743" spans="1:25" ht="15" customHeight="1" x14ac:dyDescent="0.2">
      <c r="A743" s="1">
        <v>46261</v>
      </c>
      <c r="B743" t="s">
        <v>42</v>
      </c>
      <c r="C743" t="s">
        <v>43</v>
      </c>
      <c r="D743" t="s">
        <v>28</v>
      </c>
      <c r="E743" t="s">
        <v>31</v>
      </c>
      <c r="F743" s="2">
        <v>0.31458333333333299</v>
      </c>
      <c r="G743" s="2">
        <v>0.34375</v>
      </c>
      <c r="H743">
        <v>42</v>
      </c>
      <c r="I743" s="3">
        <v>0.3125</v>
      </c>
      <c r="J743" s="2">
        <v>0.34375</v>
      </c>
      <c r="K743">
        <v>45</v>
      </c>
      <c r="L743" s="2">
        <v>0.31458333333333299</v>
      </c>
      <c r="M743" s="2">
        <v>0.33680555555555602</v>
      </c>
      <c r="N743">
        <v>32</v>
      </c>
      <c r="O743" s="2">
        <v>0.32569444444444401</v>
      </c>
      <c r="P743" s="2">
        <v>0.33472222222222198</v>
      </c>
      <c r="Q743" s="2">
        <v>0.33680555555555602</v>
      </c>
      <c r="R743">
        <v>32</v>
      </c>
      <c r="S743">
        <v>13</v>
      </c>
      <c r="T743" s="2">
        <v>0.33883101851851899</v>
      </c>
      <c r="U743" s="2">
        <v>0.36527777777777798</v>
      </c>
      <c r="V743">
        <v>39</v>
      </c>
      <c r="W743" s="2">
        <v>0.36597222222222198</v>
      </c>
      <c r="X743" s="2">
        <v>0.38611111111111102</v>
      </c>
      <c r="Y743">
        <v>29</v>
      </c>
    </row>
    <row r="744" spans="1:25" ht="15" customHeight="1" x14ac:dyDescent="0.2">
      <c r="A744" s="1">
        <v>46261</v>
      </c>
      <c r="B744" t="s">
        <v>42</v>
      </c>
      <c r="C744" t="s">
        <v>43</v>
      </c>
      <c r="D744" t="s">
        <v>28</v>
      </c>
      <c r="E744" t="s">
        <v>29</v>
      </c>
      <c r="F744" s="2">
        <v>0.69166666666666698</v>
      </c>
      <c r="G744" s="2">
        <v>0.74861111111111101</v>
      </c>
      <c r="H744">
        <v>82</v>
      </c>
      <c r="I744" s="3">
        <v>0.67708333333333304</v>
      </c>
      <c r="J744" s="2">
        <v>0.72916666666666696</v>
      </c>
      <c r="K744">
        <v>75</v>
      </c>
      <c r="L744" s="2">
        <v>0.69166666666666698</v>
      </c>
      <c r="M744" s="2">
        <v>0.74583333333333302</v>
      </c>
      <c r="N744">
        <v>78</v>
      </c>
      <c r="O744" s="2">
        <v>0.70555555555555605</v>
      </c>
      <c r="P744" s="2">
        <v>0.74236111111111103</v>
      </c>
      <c r="Q744" s="2">
        <v>0.74583333333333302</v>
      </c>
      <c r="R744">
        <v>78</v>
      </c>
      <c r="S744">
        <v>53</v>
      </c>
      <c r="T744" s="2">
        <v>0.74722222222222201</v>
      </c>
      <c r="U744" s="2">
        <v>0.75833333333333297</v>
      </c>
      <c r="V744">
        <v>16</v>
      </c>
    </row>
    <row r="745" spans="1:25" ht="15" customHeight="1" x14ac:dyDescent="0.2">
      <c r="A745" s="1">
        <v>46261</v>
      </c>
      <c r="B745" t="s">
        <v>42</v>
      </c>
      <c r="C745" t="s">
        <v>43</v>
      </c>
      <c r="D745" t="s">
        <v>28</v>
      </c>
      <c r="E745" t="s">
        <v>36</v>
      </c>
      <c r="F745" s="2">
        <v>0.60277777777777797</v>
      </c>
      <c r="G745" s="2">
        <v>0.68333333333333302</v>
      </c>
      <c r="H745">
        <v>116</v>
      </c>
      <c r="I745" s="3">
        <v>0.57291666666666696</v>
      </c>
      <c r="J745" s="2">
        <v>0.63541666666666696</v>
      </c>
      <c r="K745">
        <v>90</v>
      </c>
      <c r="L745" s="2">
        <v>0.60277777777777797</v>
      </c>
      <c r="M745" s="2">
        <v>0.67638888888888904</v>
      </c>
      <c r="N745">
        <v>106</v>
      </c>
      <c r="O745" s="2">
        <v>0.62222222222222201</v>
      </c>
      <c r="P745" s="2">
        <v>0.67430555555555605</v>
      </c>
      <c r="Q745" s="2">
        <v>0.67638888888888904</v>
      </c>
      <c r="R745">
        <v>106</v>
      </c>
      <c r="S745">
        <v>75</v>
      </c>
      <c r="T745" s="2">
        <v>0.67847222222222203</v>
      </c>
      <c r="U745" s="2">
        <v>0.75064814814814795</v>
      </c>
      <c r="V745">
        <v>103</v>
      </c>
      <c r="W745" s="2">
        <v>0.75068287037036996</v>
      </c>
      <c r="X745" s="2">
        <v>0.76052083333333298</v>
      </c>
      <c r="Y745">
        <v>15</v>
      </c>
    </row>
    <row r="746" spans="1:25" ht="15" customHeight="1" x14ac:dyDescent="0.2">
      <c r="A746" s="1">
        <v>46261</v>
      </c>
      <c r="B746" t="s">
        <v>42</v>
      </c>
      <c r="C746" t="s">
        <v>43</v>
      </c>
      <c r="D746" t="s">
        <v>28</v>
      </c>
      <c r="E746" t="s">
        <v>31</v>
      </c>
      <c r="F746" s="2">
        <v>0.40208333333333302</v>
      </c>
      <c r="G746" s="2">
        <v>0.48958333333333298</v>
      </c>
      <c r="H746">
        <v>126</v>
      </c>
      <c r="I746" s="3">
        <v>0.41666666666666702</v>
      </c>
      <c r="J746" s="2">
        <v>0.5</v>
      </c>
      <c r="K746">
        <v>120</v>
      </c>
      <c r="L746" s="2">
        <v>0.40208333333333302</v>
      </c>
      <c r="M746" s="2">
        <v>0.48680555555555599</v>
      </c>
      <c r="N746">
        <v>122</v>
      </c>
      <c r="O746" s="2">
        <v>0.41180555555555598</v>
      </c>
      <c r="P746" s="2">
        <v>0.484027777777778</v>
      </c>
      <c r="Q746" s="2">
        <v>0.48680555555555599</v>
      </c>
      <c r="R746">
        <v>122</v>
      </c>
      <c r="S746">
        <v>104</v>
      </c>
      <c r="T746" s="2">
        <v>0.48819444444444399</v>
      </c>
      <c r="U746" s="2">
        <v>0.51111111111111096</v>
      </c>
      <c r="V746">
        <v>33</v>
      </c>
      <c r="W746" s="2">
        <v>0.51180555555555596</v>
      </c>
      <c r="X746" s="2">
        <v>0.55416666666666703</v>
      </c>
      <c r="Y746">
        <v>61</v>
      </c>
    </row>
    <row r="747" spans="1:25" ht="15" customHeight="1" x14ac:dyDescent="0.2">
      <c r="A747" s="1">
        <v>46261</v>
      </c>
      <c r="B747" t="s">
        <v>26</v>
      </c>
      <c r="C747" t="s">
        <v>27</v>
      </c>
      <c r="D747" t="s">
        <v>28</v>
      </c>
      <c r="E747" t="s">
        <v>29</v>
      </c>
      <c r="F747" s="2">
        <v>0.32500000000000001</v>
      </c>
      <c r="G747" s="2">
        <v>0.64513888888888904</v>
      </c>
      <c r="H747">
        <v>461</v>
      </c>
      <c r="I747" s="3">
        <v>0.3125</v>
      </c>
      <c r="J747" s="2">
        <v>0.53125</v>
      </c>
      <c r="K747">
        <v>315</v>
      </c>
      <c r="L747" s="2">
        <v>0.32500000000000001</v>
      </c>
      <c r="M747" s="2">
        <v>0.64166666666666705</v>
      </c>
      <c r="N747">
        <v>456</v>
      </c>
      <c r="O747" s="2">
        <v>0.37847222222222199</v>
      </c>
      <c r="P747" s="2">
        <v>0.61666666666666703</v>
      </c>
      <c r="Q747" s="2">
        <v>0.64166666666666705</v>
      </c>
      <c r="R747">
        <v>456</v>
      </c>
      <c r="S747">
        <v>343</v>
      </c>
    </row>
    <row r="748" spans="1:25" ht="15" customHeight="1" x14ac:dyDescent="0.2">
      <c r="A748" s="1">
        <v>46261</v>
      </c>
      <c r="B748" t="s">
        <v>42</v>
      </c>
      <c r="C748" t="s">
        <v>43</v>
      </c>
      <c r="D748" t="s">
        <v>28</v>
      </c>
      <c r="E748" t="s">
        <v>29</v>
      </c>
      <c r="F748" s="2">
        <v>0.51736111111111105</v>
      </c>
      <c r="G748" s="2">
        <v>0.55347222222222203</v>
      </c>
      <c r="H748">
        <v>52</v>
      </c>
      <c r="I748" s="3">
        <v>0.52083333333333304</v>
      </c>
      <c r="J748" s="2">
        <v>0.58333333333333304</v>
      </c>
      <c r="K748">
        <v>90</v>
      </c>
      <c r="L748" s="2">
        <v>0.51736111111111105</v>
      </c>
      <c r="M748" s="2">
        <v>0.55000000000000004</v>
      </c>
      <c r="N748">
        <v>47</v>
      </c>
      <c r="O748" s="2">
        <v>0.53472222222222199</v>
      </c>
      <c r="P748" s="2">
        <v>0.54513888888888895</v>
      </c>
      <c r="Q748" s="2">
        <v>0.55000000000000004</v>
      </c>
      <c r="R748">
        <v>47</v>
      </c>
      <c r="S748">
        <v>15</v>
      </c>
      <c r="T748" s="2">
        <v>0.55505787037037002</v>
      </c>
      <c r="U748" s="2">
        <v>0.59097222222222201</v>
      </c>
      <c r="V748">
        <v>52</v>
      </c>
      <c r="W748" s="2">
        <v>0.59097222222222201</v>
      </c>
      <c r="X748" s="2">
        <v>0.60486111111111096</v>
      </c>
      <c r="Y748">
        <v>20</v>
      </c>
    </row>
    <row r="749" spans="1:25" ht="15" customHeight="1" x14ac:dyDescent="0.2">
      <c r="A749" s="1">
        <v>46261</v>
      </c>
      <c r="B749" t="s">
        <v>26</v>
      </c>
      <c r="C749" t="s">
        <v>27</v>
      </c>
      <c r="D749" t="s">
        <v>28</v>
      </c>
      <c r="E749" t="s">
        <v>36</v>
      </c>
      <c r="F749" s="2">
        <v>0.51249999999999996</v>
      </c>
      <c r="G749" s="2">
        <v>0.56805555555555598</v>
      </c>
      <c r="H749">
        <v>80</v>
      </c>
      <c r="I749" s="3">
        <v>0.5</v>
      </c>
      <c r="J749" s="2">
        <v>0.54166666666666696</v>
      </c>
      <c r="K749">
        <v>60</v>
      </c>
      <c r="L749" s="2">
        <v>0.51249999999999996</v>
      </c>
      <c r="M749" s="2">
        <v>0.5625</v>
      </c>
      <c r="N749">
        <v>72</v>
      </c>
      <c r="O749" s="2">
        <v>0.52777777777777801</v>
      </c>
      <c r="P749" s="2">
        <v>0.55694444444444402</v>
      </c>
      <c r="Q749" s="2">
        <v>0.5625</v>
      </c>
      <c r="R749">
        <v>72</v>
      </c>
      <c r="S749">
        <v>42</v>
      </c>
    </row>
    <row r="750" spans="1:25" ht="15" customHeight="1" x14ac:dyDescent="0.2">
      <c r="A750" s="1">
        <v>46261</v>
      </c>
      <c r="B750" t="s">
        <v>26</v>
      </c>
      <c r="C750" t="s">
        <v>27</v>
      </c>
      <c r="D750" t="s">
        <v>34</v>
      </c>
      <c r="E750" t="s">
        <v>36</v>
      </c>
      <c r="F750" s="2">
        <v>0.26874999999999999</v>
      </c>
      <c r="G750" s="2">
        <v>0.58750000000000002</v>
      </c>
      <c r="H750">
        <v>459</v>
      </c>
      <c r="I750" s="3">
        <v>0.26041666666666702</v>
      </c>
      <c r="J750" s="2">
        <v>0.51041666666666696</v>
      </c>
      <c r="K750">
        <v>360</v>
      </c>
      <c r="L750" s="2">
        <v>0.26874999999999999</v>
      </c>
      <c r="M750" s="2">
        <v>0.57638888888888895</v>
      </c>
      <c r="N750">
        <v>443</v>
      </c>
      <c r="O750" s="2">
        <v>0.35277777777777802</v>
      </c>
      <c r="P750" s="2">
        <v>0.55833333333333302</v>
      </c>
      <c r="Q750" s="2">
        <v>0.57638888888888895</v>
      </c>
      <c r="R750">
        <v>443</v>
      </c>
      <c r="S750">
        <v>296</v>
      </c>
    </row>
    <row r="751" spans="1:25" ht="15" customHeight="1" x14ac:dyDescent="0.2">
      <c r="A751" s="1">
        <v>46261</v>
      </c>
      <c r="B751" t="s">
        <v>26</v>
      </c>
      <c r="C751" t="s">
        <v>27</v>
      </c>
      <c r="D751" t="s">
        <v>28</v>
      </c>
      <c r="E751" t="s">
        <v>36</v>
      </c>
      <c r="F751" s="2">
        <v>0.42569444444444399</v>
      </c>
      <c r="G751" s="2">
        <v>0.63263888888888897</v>
      </c>
      <c r="H751">
        <v>298</v>
      </c>
      <c r="I751" s="3">
        <v>0.41666666666666702</v>
      </c>
      <c r="J751" s="2">
        <v>0.58333333333333304</v>
      </c>
      <c r="K751">
        <v>240</v>
      </c>
      <c r="L751" s="2">
        <v>0.42569444444444399</v>
      </c>
      <c r="M751" s="2">
        <v>0.62708333333333299</v>
      </c>
      <c r="N751">
        <v>290</v>
      </c>
      <c r="O751" s="2">
        <v>0.46736111111111101</v>
      </c>
      <c r="P751" s="2">
        <v>0.625</v>
      </c>
      <c r="Q751" s="2">
        <v>0.62708333333333299</v>
      </c>
      <c r="R751">
        <v>290</v>
      </c>
      <c r="S751">
        <v>227</v>
      </c>
      <c r="T751" s="2">
        <v>0.63005787037036998</v>
      </c>
      <c r="U751" s="2">
        <v>0.6875</v>
      </c>
      <c r="V751">
        <v>83</v>
      </c>
    </row>
    <row r="752" spans="1:25" ht="15" customHeight="1" x14ac:dyDescent="0.2">
      <c r="A752" s="1">
        <v>46261</v>
      </c>
      <c r="B752" t="s">
        <v>42</v>
      </c>
      <c r="C752" t="s">
        <v>43</v>
      </c>
      <c r="D752" t="s">
        <v>28</v>
      </c>
      <c r="E752" t="s">
        <v>31</v>
      </c>
      <c r="F752" s="2">
        <v>0.31458333333333299</v>
      </c>
      <c r="G752" s="2">
        <v>0.34166666666666701</v>
      </c>
      <c r="H752">
        <v>39</v>
      </c>
      <c r="I752" s="3">
        <v>0.3125</v>
      </c>
      <c r="J752" s="2">
        <v>0.35416666666666702</v>
      </c>
      <c r="K752">
        <v>60</v>
      </c>
      <c r="L752" s="2">
        <v>0.31458333333333299</v>
      </c>
      <c r="M752" s="2">
        <v>0.33958333333333302</v>
      </c>
      <c r="N752">
        <v>36</v>
      </c>
      <c r="O752" s="2">
        <v>0.33333333333333298</v>
      </c>
      <c r="P752" s="2">
        <v>0.33541666666666697</v>
      </c>
      <c r="Q752" s="2">
        <v>0.33958333333333302</v>
      </c>
      <c r="R752">
        <v>36</v>
      </c>
      <c r="S752">
        <v>3</v>
      </c>
      <c r="T752" s="2">
        <v>0.34375</v>
      </c>
      <c r="U752" s="2">
        <v>0.38355324074074099</v>
      </c>
      <c r="V752">
        <v>57</v>
      </c>
      <c r="W752" s="2">
        <v>0.38358796296296299</v>
      </c>
      <c r="X752" s="2">
        <v>0.38700231481481501</v>
      </c>
      <c r="Y752">
        <v>5</v>
      </c>
    </row>
    <row r="753" spans="1:25" ht="15" customHeight="1" x14ac:dyDescent="0.2">
      <c r="A753" s="1">
        <v>46261</v>
      </c>
      <c r="B753" t="s">
        <v>26</v>
      </c>
      <c r="C753" t="s">
        <v>27</v>
      </c>
      <c r="D753" t="s">
        <v>28</v>
      </c>
      <c r="E753" t="s">
        <v>29</v>
      </c>
      <c r="F753" s="2">
        <v>0.70833333333333304</v>
      </c>
      <c r="G753" s="2">
        <v>0.76666666666666705</v>
      </c>
      <c r="H753">
        <v>84</v>
      </c>
      <c r="I753" s="3">
        <v>0.70833333333333304</v>
      </c>
      <c r="J753" s="2">
        <v>0.72916666666666696</v>
      </c>
      <c r="K753">
        <v>30</v>
      </c>
      <c r="L753" s="2">
        <v>0.70833333333333304</v>
      </c>
      <c r="M753" s="2">
        <v>0.75972222222222197</v>
      </c>
      <c r="N753">
        <v>74</v>
      </c>
      <c r="O753" s="2">
        <v>0.74305555555555602</v>
      </c>
      <c r="P753" s="2">
        <v>0.75694444444444398</v>
      </c>
      <c r="Q753" s="2">
        <v>0.75972222222222197</v>
      </c>
      <c r="R753">
        <v>74</v>
      </c>
      <c r="S753">
        <v>20</v>
      </c>
      <c r="T753" s="2">
        <v>0.76113425925925904</v>
      </c>
      <c r="U753" s="2">
        <v>0.79791666666666705</v>
      </c>
      <c r="V753">
        <v>53</v>
      </c>
    </row>
    <row r="754" spans="1:25" ht="15" customHeight="1" x14ac:dyDescent="0.2">
      <c r="A754" s="1">
        <v>46261</v>
      </c>
      <c r="B754" t="s">
        <v>42</v>
      </c>
      <c r="C754" t="s">
        <v>43</v>
      </c>
      <c r="D754" t="s">
        <v>28</v>
      </c>
      <c r="E754" t="s">
        <v>31</v>
      </c>
      <c r="F754" s="2">
        <v>0.67222222222222205</v>
      </c>
      <c r="G754" s="2">
        <v>0.73888888888888904</v>
      </c>
      <c r="H754">
        <v>96</v>
      </c>
      <c r="I754" s="3">
        <v>0.65625</v>
      </c>
      <c r="J754" s="2">
        <v>0.71875</v>
      </c>
      <c r="K754">
        <v>90</v>
      </c>
      <c r="L754" s="2">
        <v>0.67222222222222205</v>
      </c>
      <c r="M754" s="2">
        <v>0.73333333333333295</v>
      </c>
      <c r="N754">
        <v>88</v>
      </c>
      <c r="O754" s="2">
        <v>0.69166666666666698</v>
      </c>
      <c r="P754" s="2">
        <v>0.73124999999999996</v>
      </c>
      <c r="Q754" s="2">
        <v>0.73333333333333295</v>
      </c>
      <c r="R754">
        <v>88</v>
      </c>
      <c r="S754">
        <v>57</v>
      </c>
      <c r="T754" s="2">
        <v>0.73650462962963004</v>
      </c>
      <c r="U754" s="2">
        <v>0.8125</v>
      </c>
      <c r="V754">
        <v>110</v>
      </c>
    </row>
    <row r="755" spans="1:25" ht="15" customHeight="1" x14ac:dyDescent="0.2">
      <c r="A755" s="1">
        <v>46261</v>
      </c>
      <c r="B755" t="s">
        <v>26</v>
      </c>
      <c r="C755" t="s">
        <v>27</v>
      </c>
      <c r="D755" t="s">
        <v>28</v>
      </c>
      <c r="E755" t="s">
        <v>29</v>
      </c>
      <c r="F755" s="2">
        <v>0.51597222222222205</v>
      </c>
      <c r="G755" s="2">
        <v>0.61944444444444402</v>
      </c>
      <c r="H755">
        <v>149</v>
      </c>
      <c r="I755" s="3">
        <v>0.51041666666666696</v>
      </c>
      <c r="J755" s="2">
        <v>0.59375</v>
      </c>
      <c r="K755">
        <v>120</v>
      </c>
      <c r="L755" s="2">
        <v>0.51597222222222205</v>
      </c>
      <c r="M755" s="2">
        <v>0.61527777777777803</v>
      </c>
      <c r="N755">
        <v>143</v>
      </c>
      <c r="O755" s="2">
        <v>0.53888888888888897</v>
      </c>
      <c r="P755" s="2">
        <v>0.61250000000000004</v>
      </c>
      <c r="Q755" s="2">
        <v>0.61527777777777803</v>
      </c>
      <c r="R755">
        <v>143</v>
      </c>
      <c r="S755">
        <v>106</v>
      </c>
      <c r="T755" s="2">
        <v>0.61597222222222203</v>
      </c>
      <c r="U755" s="2">
        <v>0.64652777777777803</v>
      </c>
      <c r="V755">
        <v>44</v>
      </c>
    </row>
    <row r="756" spans="1:25" ht="15" customHeight="1" x14ac:dyDescent="0.2">
      <c r="A756" s="1">
        <v>46261</v>
      </c>
      <c r="B756" t="s">
        <v>26</v>
      </c>
      <c r="C756" t="s">
        <v>27</v>
      </c>
      <c r="D756" t="s">
        <v>28</v>
      </c>
      <c r="E756" t="s">
        <v>29</v>
      </c>
      <c r="F756" s="2">
        <v>0.64861111111111103</v>
      </c>
      <c r="G756" s="2">
        <v>0.89375000000000004</v>
      </c>
      <c r="H756">
        <v>353</v>
      </c>
      <c r="I756" s="3">
        <v>0.61458333333333304</v>
      </c>
      <c r="J756" s="2">
        <v>0.69791666666666696</v>
      </c>
      <c r="K756">
        <v>120</v>
      </c>
      <c r="L756" s="2">
        <v>0.64861111111111103</v>
      </c>
      <c r="M756" s="2">
        <v>0.88958333333333295</v>
      </c>
      <c r="N756">
        <v>347</v>
      </c>
      <c r="O756" s="2">
        <v>0.68263888888888902</v>
      </c>
      <c r="P756" s="2">
        <v>0.88333333333333297</v>
      </c>
      <c r="Q756" s="2">
        <v>0.88958333333333295</v>
      </c>
      <c r="R756">
        <v>347</v>
      </c>
      <c r="S756">
        <v>289</v>
      </c>
      <c r="T756" s="2">
        <v>0.89236111111111105</v>
      </c>
      <c r="U756" s="2">
        <v>6.5972222222222196E-2</v>
      </c>
      <c r="V756">
        <v>250</v>
      </c>
    </row>
    <row r="757" spans="1:25" ht="15" customHeight="1" x14ac:dyDescent="0.2">
      <c r="A757" s="1">
        <v>46261</v>
      </c>
      <c r="B757" t="s">
        <v>26</v>
      </c>
      <c r="C757" t="s">
        <v>27</v>
      </c>
      <c r="D757" t="s">
        <v>28</v>
      </c>
      <c r="E757" t="s">
        <v>29</v>
      </c>
      <c r="F757" s="2">
        <v>0.30972222222222201</v>
      </c>
      <c r="G757" s="2">
        <v>0.43055555555555602</v>
      </c>
      <c r="H757">
        <v>174</v>
      </c>
      <c r="I757" s="3">
        <v>0.3125</v>
      </c>
      <c r="J757" s="2">
        <v>0.40625</v>
      </c>
      <c r="K757">
        <v>135</v>
      </c>
      <c r="L757" s="2">
        <v>0.30972222222222201</v>
      </c>
      <c r="M757" s="2">
        <v>0.42708333333333298</v>
      </c>
      <c r="N757">
        <v>169</v>
      </c>
      <c r="O757" s="2">
        <v>0.33333333333333298</v>
      </c>
      <c r="P757" s="2">
        <v>0.41597222222222202</v>
      </c>
      <c r="Q757" s="2">
        <v>0.42708333333333298</v>
      </c>
      <c r="R757">
        <v>169</v>
      </c>
      <c r="S757">
        <v>119</v>
      </c>
      <c r="T757" s="2">
        <v>0.42883101851851901</v>
      </c>
      <c r="U757" s="2">
        <v>0.469444444444444</v>
      </c>
      <c r="V757">
        <v>59</v>
      </c>
    </row>
    <row r="758" spans="1:25" ht="15" customHeight="1" x14ac:dyDescent="0.2">
      <c r="A758" s="1">
        <v>46261</v>
      </c>
      <c r="B758" t="s">
        <v>26</v>
      </c>
      <c r="C758" t="s">
        <v>27</v>
      </c>
      <c r="D758" t="s">
        <v>34</v>
      </c>
      <c r="E758" t="s">
        <v>31</v>
      </c>
      <c r="F758" s="2">
        <v>0.45486111111111099</v>
      </c>
      <c r="G758" s="2">
        <v>0.57361111111111096</v>
      </c>
      <c r="H758">
        <v>171</v>
      </c>
      <c r="I758" s="3">
        <v>0.42708333333333298</v>
      </c>
      <c r="J758" s="2">
        <v>0.51041666666666696</v>
      </c>
      <c r="K758">
        <v>120</v>
      </c>
      <c r="L758" s="2">
        <v>0.45486111111111099</v>
      </c>
      <c r="M758" s="2">
        <v>0.57013888888888897</v>
      </c>
      <c r="N758">
        <v>166</v>
      </c>
      <c r="O758" s="2">
        <v>0.47152777777777799</v>
      </c>
      <c r="P758" s="2">
        <v>0.56666666666666698</v>
      </c>
      <c r="Q758" s="2">
        <v>0.57013888888888897</v>
      </c>
      <c r="R758">
        <v>166</v>
      </c>
      <c r="S758">
        <v>137</v>
      </c>
      <c r="T758" s="2">
        <v>0.57319444444444401</v>
      </c>
      <c r="U758" s="2">
        <v>0.615034722222222</v>
      </c>
      <c r="V758">
        <v>60</v>
      </c>
    </row>
    <row r="759" spans="1:25" ht="15" customHeight="1" x14ac:dyDescent="0.2">
      <c r="A759" s="1">
        <v>46261</v>
      </c>
      <c r="B759" t="s">
        <v>26</v>
      </c>
      <c r="C759" t="s">
        <v>27</v>
      </c>
      <c r="D759" t="s">
        <v>28</v>
      </c>
      <c r="E759" t="s">
        <v>31</v>
      </c>
      <c r="F759" s="2">
        <v>0.62638888888888899</v>
      </c>
      <c r="G759" s="2">
        <v>0.68958333333333299</v>
      </c>
      <c r="H759">
        <v>91</v>
      </c>
      <c r="I759" s="3">
        <v>0.59375</v>
      </c>
      <c r="J759" s="2">
        <v>0.64236111111111105</v>
      </c>
      <c r="K759">
        <v>70</v>
      </c>
      <c r="L759" s="2">
        <v>0.62638888888888899</v>
      </c>
      <c r="M759" s="2">
        <v>0.68472222222222201</v>
      </c>
      <c r="N759">
        <v>84</v>
      </c>
      <c r="O759" s="2">
        <v>0.64444444444444404</v>
      </c>
      <c r="P759" s="2">
        <v>0.67916666666666703</v>
      </c>
      <c r="Q759" s="2">
        <v>0.68472222222222201</v>
      </c>
      <c r="R759">
        <v>84</v>
      </c>
      <c r="S759">
        <v>50</v>
      </c>
      <c r="T759" s="2">
        <v>0.68831018518518505</v>
      </c>
      <c r="U759" s="2">
        <v>0.70833333333333304</v>
      </c>
      <c r="V759">
        <v>29</v>
      </c>
      <c r="W759" s="2">
        <v>0.70902777777777803</v>
      </c>
    </row>
    <row r="760" spans="1:25" ht="15" customHeight="1" x14ac:dyDescent="0.2">
      <c r="A760" s="1">
        <v>46261</v>
      </c>
      <c r="B760" t="s">
        <v>42</v>
      </c>
      <c r="C760" t="s">
        <v>43</v>
      </c>
      <c r="D760" t="s">
        <v>28</v>
      </c>
      <c r="E760" t="s">
        <v>31</v>
      </c>
      <c r="F760" s="2">
        <v>0.42916666666666697</v>
      </c>
      <c r="G760" s="2">
        <v>0.48888888888888898</v>
      </c>
      <c r="H760">
        <v>86</v>
      </c>
      <c r="I760" s="3">
        <v>0.41666666666666702</v>
      </c>
      <c r="J760" s="2">
        <v>0.48611111111111099</v>
      </c>
      <c r="K760">
        <v>100</v>
      </c>
      <c r="L760" s="2">
        <v>0.42916666666666697</v>
      </c>
      <c r="M760" s="2">
        <v>0.484722222222222</v>
      </c>
      <c r="N760">
        <v>80</v>
      </c>
      <c r="O760" s="2">
        <v>0.44513888888888897</v>
      </c>
      <c r="P760" s="2">
        <v>0.48194444444444401</v>
      </c>
      <c r="Q760" s="2">
        <v>0.484722222222222</v>
      </c>
      <c r="R760">
        <v>80</v>
      </c>
      <c r="S760">
        <v>53</v>
      </c>
      <c r="T760" s="2">
        <v>0.48749999999999999</v>
      </c>
      <c r="U760" s="2">
        <v>0.51249999999999996</v>
      </c>
      <c r="V760">
        <v>36</v>
      </c>
    </row>
    <row r="761" spans="1:25" ht="15" customHeight="1" x14ac:dyDescent="0.2">
      <c r="A761" s="1">
        <v>46261</v>
      </c>
      <c r="B761" t="s">
        <v>26</v>
      </c>
      <c r="C761" t="s">
        <v>27</v>
      </c>
      <c r="D761" t="s">
        <v>28</v>
      </c>
      <c r="E761" t="s">
        <v>36</v>
      </c>
      <c r="F761" s="2">
        <v>0.48888888888888898</v>
      </c>
      <c r="G761" s="2">
        <v>0.60277777777777797</v>
      </c>
      <c r="H761">
        <v>164</v>
      </c>
      <c r="I761" s="3">
        <v>0.44791666666666702</v>
      </c>
      <c r="J761" s="2">
        <v>0.52430555555555602</v>
      </c>
      <c r="K761">
        <v>110</v>
      </c>
      <c r="L761" s="2">
        <v>0.48888888888888898</v>
      </c>
      <c r="M761" s="2">
        <v>0.593055555555556</v>
      </c>
      <c r="N761">
        <v>150</v>
      </c>
      <c r="O761" s="2">
        <v>0.51180555555555596</v>
      </c>
      <c r="P761" s="2">
        <v>0.58472222222222203</v>
      </c>
      <c r="Q761" s="2">
        <v>0.593055555555556</v>
      </c>
      <c r="R761">
        <v>150</v>
      </c>
      <c r="S761">
        <v>105</v>
      </c>
    </row>
    <row r="762" spans="1:25" ht="15" customHeight="1" x14ac:dyDescent="0.2">
      <c r="A762" s="1">
        <v>46261</v>
      </c>
      <c r="B762" t="s">
        <v>26</v>
      </c>
      <c r="C762" t="s">
        <v>27</v>
      </c>
      <c r="D762" t="s">
        <v>28</v>
      </c>
      <c r="E762" t="s">
        <v>31</v>
      </c>
      <c r="F762" s="2">
        <v>0.82916666666666705</v>
      </c>
      <c r="G762" s="2">
        <v>0.91597222222222197</v>
      </c>
      <c r="H762">
        <v>125</v>
      </c>
      <c r="I762" s="3">
        <v>0.70833333333333304</v>
      </c>
      <c r="J762" s="2">
        <v>0.76041666666666696</v>
      </c>
      <c r="K762">
        <v>75</v>
      </c>
      <c r="L762" s="2">
        <v>0.82916666666666705</v>
      </c>
      <c r="M762" s="2">
        <v>0.90972222222222199</v>
      </c>
      <c r="N762">
        <v>116</v>
      </c>
      <c r="O762" s="2">
        <v>0.84930555555555598</v>
      </c>
      <c r="P762" s="2">
        <v>0.90486111111111101</v>
      </c>
      <c r="Q762" s="2">
        <v>0.90972222222222199</v>
      </c>
      <c r="R762">
        <v>116</v>
      </c>
      <c r="S762">
        <v>80</v>
      </c>
      <c r="T762" s="2">
        <v>0.91438657407407398</v>
      </c>
      <c r="U762" s="2">
        <v>0.97708333333333297</v>
      </c>
      <c r="V762">
        <v>91</v>
      </c>
    </row>
    <row r="763" spans="1:25" ht="15" customHeight="1" x14ac:dyDescent="0.2">
      <c r="A763" s="1">
        <v>46261</v>
      </c>
      <c r="B763" t="s">
        <v>26</v>
      </c>
      <c r="C763" t="s">
        <v>27</v>
      </c>
      <c r="D763" t="s">
        <v>34</v>
      </c>
      <c r="E763" t="s">
        <v>31</v>
      </c>
      <c r="F763" s="2">
        <v>0.67013888888888895</v>
      </c>
      <c r="G763" s="2">
        <v>0.74305555555555602</v>
      </c>
      <c r="H763">
        <v>105</v>
      </c>
      <c r="I763" s="3">
        <v>0.65625</v>
      </c>
      <c r="J763" s="2">
        <v>0.72222222222222199</v>
      </c>
      <c r="K763">
        <v>95</v>
      </c>
      <c r="L763" s="2">
        <v>0.67013888888888895</v>
      </c>
      <c r="M763" s="2">
        <v>0.73958333333333304</v>
      </c>
      <c r="N763">
        <v>100</v>
      </c>
      <c r="O763" s="2">
        <v>0.68611111111111101</v>
      </c>
      <c r="P763" s="2">
        <v>0.73124999999999996</v>
      </c>
      <c r="Q763" s="2">
        <v>0.73958333333333304</v>
      </c>
      <c r="R763">
        <v>100</v>
      </c>
      <c r="S763">
        <v>65</v>
      </c>
      <c r="T763" s="2">
        <v>0.74328703703703702</v>
      </c>
      <c r="U763" s="2">
        <v>0.76450231481481501</v>
      </c>
      <c r="V763">
        <v>30</v>
      </c>
    </row>
    <row r="764" spans="1:25" ht="15" customHeight="1" x14ac:dyDescent="0.2">
      <c r="A764" s="1">
        <v>46261</v>
      </c>
      <c r="B764" t="s">
        <v>42</v>
      </c>
      <c r="C764" t="s">
        <v>43</v>
      </c>
      <c r="D764" t="s">
        <v>28</v>
      </c>
      <c r="E764" t="s">
        <v>31</v>
      </c>
      <c r="F764" s="2">
        <v>0.92638888888888904</v>
      </c>
      <c r="G764" s="2">
        <v>0.96527777777777801</v>
      </c>
      <c r="H764">
        <v>56</v>
      </c>
      <c r="I764" s="3">
        <v>0.94791666666666696</v>
      </c>
      <c r="J764" s="2">
        <v>0.99305555555555602</v>
      </c>
      <c r="K764">
        <v>95</v>
      </c>
      <c r="L764" s="2">
        <v>0.92638888888888904</v>
      </c>
      <c r="M764" s="2">
        <v>0.95902777777777803</v>
      </c>
      <c r="N764">
        <v>47</v>
      </c>
      <c r="O764" s="2">
        <v>0.93958333333333299</v>
      </c>
      <c r="P764" s="2">
        <v>0.95208333333333295</v>
      </c>
      <c r="Q764" s="2">
        <v>0.95902777777777803</v>
      </c>
      <c r="R764">
        <v>47</v>
      </c>
      <c r="S764">
        <v>18</v>
      </c>
      <c r="T764" s="2">
        <v>0.96892361111111103</v>
      </c>
      <c r="U764" s="2">
        <v>0.50902777777777797</v>
      </c>
      <c r="V764">
        <v>778</v>
      </c>
    </row>
    <row r="765" spans="1:25" ht="15" customHeight="1" x14ac:dyDescent="0.2">
      <c r="A765" s="1">
        <v>46261</v>
      </c>
      <c r="B765" t="s">
        <v>42</v>
      </c>
      <c r="C765" t="s">
        <v>43</v>
      </c>
      <c r="D765" t="s">
        <v>28</v>
      </c>
      <c r="E765" t="s">
        <v>31</v>
      </c>
      <c r="F765" s="2">
        <v>0.53125</v>
      </c>
      <c r="G765" s="2">
        <v>0.59930555555555598</v>
      </c>
      <c r="H765">
        <v>98</v>
      </c>
      <c r="I765" s="3">
        <v>0.51041666666666696</v>
      </c>
      <c r="J765" s="2">
        <v>0.57291666666666696</v>
      </c>
      <c r="K765">
        <v>90</v>
      </c>
      <c r="L765" s="2">
        <v>0.53125</v>
      </c>
      <c r="M765" s="2">
        <v>0.59236111111111101</v>
      </c>
      <c r="N765">
        <v>88</v>
      </c>
      <c r="O765" s="2">
        <v>0.55138888888888904</v>
      </c>
      <c r="P765" s="2">
        <v>0.58611111111111103</v>
      </c>
      <c r="Q765" s="2">
        <v>0.59236111111111101</v>
      </c>
      <c r="R765">
        <v>88</v>
      </c>
      <c r="S765">
        <v>50</v>
      </c>
      <c r="T765" s="2">
        <v>0.59862268518518502</v>
      </c>
      <c r="U765" s="2">
        <v>0.69722222222222197</v>
      </c>
      <c r="V765">
        <v>142</v>
      </c>
      <c r="W765" s="2">
        <v>0.69791666666666696</v>
      </c>
      <c r="X765" s="2">
        <v>0.70625000000000004</v>
      </c>
      <c r="Y765">
        <v>12</v>
      </c>
    </row>
    <row r="766" spans="1:25" ht="15" customHeight="1" x14ac:dyDescent="0.2">
      <c r="A766" s="1">
        <v>46262</v>
      </c>
      <c r="B766" t="s">
        <v>26</v>
      </c>
      <c r="C766" t="s">
        <v>27</v>
      </c>
      <c r="D766" t="s">
        <v>28</v>
      </c>
      <c r="E766" t="s">
        <v>31</v>
      </c>
      <c r="F766" s="2">
        <v>0.31527777777777799</v>
      </c>
      <c r="G766" s="2">
        <v>0.44652777777777802</v>
      </c>
      <c r="H766">
        <v>189</v>
      </c>
      <c r="I766" s="3">
        <v>0.3125</v>
      </c>
      <c r="J766" s="2">
        <v>0.47916666666666702</v>
      </c>
      <c r="K766">
        <v>240</v>
      </c>
      <c r="L766" s="2">
        <v>0.31527777777777799</v>
      </c>
      <c r="M766" s="2">
        <v>0.44027777777777799</v>
      </c>
      <c r="N766">
        <v>180</v>
      </c>
      <c r="O766" s="2">
        <v>0.34375</v>
      </c>
      <c r="P766" s="2">
        <v>0.43333333333333302</v>
      </c>
      <c r="Q766" s="2">
        <v>0.44027777777777799</v>
      </c>
      <c r="R766">
        <v>180</v>
      </c>
      <c r="S766">
        <v>129</v>
      </c>
      <c r="T766" s="2">
        <v>0.44166666666666698</v>
      </c>
      <c r="U766" s="2">
        <v>0.500694444444444</v>
      </c>
      <c r="V766">
        <v>85</v>
      </c>
    </row>
    <row r="767" spans="1:25" ht="15" customHeight="1" x14ac:dyDescent="0.2">
      <c r="A767" s="1">
        <v>46262</v>
      </c>
      <c r="B767" t="s">
        <v>42</v>
      </c>
      <c r="C767" t="s">
        <v>43</v>
      </c>
      <c r="D767" t="s">
        <v>28</v>
      </c>
      <c r="E767" t="s">
        <v>31</v>
      </c>
      <c r="F767" s="2">
        <v>0.31388888888888899</v>
      </c>
      <c r="G767" s="2">
        <v>0.45</v>
      </c>
      <c r="H767">
        <v>196</v>
      </c>
      <c r="I767" s="3">
        <v>0.3125</v>
      </c>
      <c r="J767" s="2">
        <v>0.47916666666666702</v>
      </c>
      <c r="K767">
        <v>240</v>
      </c>
      <c r="L767" s="2">
        <v>0.31388888888888899</v>
      </c>
      <c r="M767" s="2">
        <v>0.44444444444444398</v>
      </c>
      <c r="N767">
        <v>188</v>
      </c>
      <c r="O767" s="2">
        <v>0.343055555555556</v>
      </c>
      <c r="P767" s="2">
        <v>0.43958333333333299</v>
      </c>
      <c r="Q767" s="2">
        <v>0.44444444444444398</v>
      </c>
      <c r="R767">
        <v>188</v>
      </c>
      <c r="S767">
        <v>139</v>
      </c>
      <c r="T767" s="2">
        <v>0.44863425925925898</v>
      </c>
      <c r="U767" s="2">
        <v>0.47916666666666702</v>
      </c>
      <c r="V767">
        <v>44</v>
      </c>
      <c r="W767" s="2">
        <v>0.47986111111111102</v>
      </c>
      <c r="X767" s="2">
        <v>0.59236111111111101</v>
      </c>
      <c r="Y767">
        <v>162</v>
      </c>
    </row>
    <row r="768" spans="1:25" ht="15" customHeight="1" x14ac:dyDescent="0.2">
      <c r="A768" s="1">
        <v>46262</v>
      </c>
      <c r="B768" t="s">
        <v>26</v>
      </c>
      <c r="C768" t="s">
        <v>27</v>
      </c>
      <c r="D768" t="s">
        <v>28</v>
      </c>
      <c r="E768" t="s">
        <v>31</v>
      </c>
      <c r="F768" s="2">
        <v>0.34861111111111098</v>
      </c>
      <c r="G768" s="2">
        <v>0.44305555555555598</v>
      </c>
      <c r="H768">
        <v>136</v>
      </c>
      <c r="I768" s="3">
        <v>0.3125</v>
      </c>
      <c r="J768" s="2">
        <v>0.39583333333333298</v>
      </c>
      <c r="K768">
        <v>120</v>
      </c>
      <c r="L768" s="2">
        <v>0.34861111111111098</v>
      </c>
      <c r="M768" s="2">
        <v>0.43958333333333299</v>
      </c>
      <c r="N768">
        <v>131</v>
      </c>
      <c r="O768" s="2">
        <v>0.37777777777777799</v>
      </c>
      <c r="P768" s="2">
        <v>0.43333333333333302</v>
      </c>
      <c r="Q768" s="2">
        <v>0.43958333333333299</v>
      </c>
      <c r="R768">
        <v>131</v>
      </c>
      <c r="S768">
        <v>80</v>
      </c>
      <c r="T768" s="2">
        <v>0.443043981481481</v>
      </c>
      <c r="U768" s="2">
        <v>0.44930555555555601</v>
      </c>
      <c r="V768">
        <v>10</v>
      </c>
    </row>
    <row r="769" spans="1:25" ht="15" customHeight="1" x14ac:dyDescent="0.2">
      <c r="A769" s="1">
        <v>46262</v>
      </c>
      <c r="B769" t="s">
        <v>42</v>
      </c>
      <c r="C769" t="s">
        <v>43</v>
      </c>
      <c r="D769" t="s">
        <v>38</v>
      </c>
      <c r="E769" t="s">
        <v>29</v>
      </c>
      <c r="F769" s="2">
        <v>0.32638888888888901</v>
      </c>
      <c r="G769" s="2">
        <v>0.35416666666666702</v>
      </c>
      <c r="H769">
        <v>40</v>
      </c>
      <c r="I769" s="3">
        <v>0.3125</v>
      </c>
      <c r="J769" s="2">
        <v>0.35416666666666702</v>
      </c>
      <c r="K769">
        <v>60</v>
      </c>
      <c r="L769" s="2">
        <v>0.32638888888888901</v>
      </c>
      <c r="M769" s="2">
        <v>0.35138888888888897</v>
      </c>
      <c r="N769">
        <v>36</v>
      </c>
      <c r="O769" s="2">
        <v>0.33888888888888902</v>
      </c>
      <c r="P769" s="2">
        <v>0.34722222222222199</v>
      </c>
      <c r="Q769" s="2">
        <v>0.35138888888888897</v>
      </c>
      <c r="R769">
        <v>36</v>
      </c>
      <c r="S769">
        <v>12</v>
      </c>
      <c r="T769" s="2">
        <v>0.35277777777777802</v>
      </c>
      <c r="U769" s="2">
        <v>0.38194444444444398</v>
      </c>
      <c r="V769">
        <v>42</v>
      </c>
      <c r="W769" s="2">
        <v>0.38263888888888897</v>
      </c>
      <c r="X769" s="2">
        <v>0.39583333333333298</v>
      </c>
      <c r="Y769">
        <v>19</v>
      </c>
    </row>
    <row r="770" spans="1:25" ht="15" customHeight="1" x14ac:dyDescent="0.2">
      <c r="A770" s="1">
        <v>46262</v>
      </c>
      <c r="B770" t="s">
        <v>42</v>
      </c>
      <c r="C770" t="s">
        <v>43</v>
      </c>
      <c r="D770" t="s">
        <v>38</v>
      </c>
      <c r="E770" t="s">
        <v>31</v>
      </c>
      <c r="F770" s="2">
        <v>0.37291666666666701</v>
      </c>
      <c r="G770" s="2">
        <v>0.41249999999999998</v>
      </c>
      <c r="H770">
        <v>57</v>
      </c>
      <c r="I770" s="3">
        <v>0.375</v>
      </c>
      <c r="J770" s="2">
        <v>0.41666666666666702</v>
      </c>
      <c r="K770">
        <v>60</v>
      </c>
      <c r="L770" s="2">
        <v>0.37291666666666701</v>
      </c>
      <c r="M770" s="2">
        <v>0.40972222222222199</v>
      </c>
      <c r="N770">
        <v>53</v>
      </c>
      <c r="O770" s="2">
        <v>0.38750000000000001</v>
      </c>
      <c r="P770" s="2">
        <v>0.406944444444444</v>
      </c>
      <c r="Q770" s="2">
        <v>0.40972222222222199</v>
      </c>
      <c r="R770">
        <v>53</v>
      </c>
      <c r="S770">
        <v>28</v>
      </c>
      <c r="T770" s="2">
        <v>0.41041666666666698</v>
      </c>
      <c r="U770" s="2">
        <v>0.42777777777777798</v>
      </c>
      <c r="V770">
        <v>25</v>
      </c>
      <c r="W770" s="2">
        <v>0.42847222222222198</v>
      </c>
      <c r="X770" s="2">
        <v>0.436805555555556</v>
      </c>
      <c r="Y770">
        <v>12</v>
      </c>
    </row>
    <row r="771" spans="1:25" ht="15" customHeight="1" x14ac:dyDescent="0.2">
      <c r="A771" s="1">
        <v>46262</v>
      </c>
      <c r="B771" t="s">
        <v>42</v>
      </c>
      <c r="C771" t="s">
        <v>43</v>
      </c>
      <c r="D771" t="s">
        <v>28</v>
      </c>
      <c r="E771" t="s">
        <v>29</v>
      </c>
      <c r="F771" s="2">
        <v>0.53472222222222199</v>
      </c>
      <c r="G771" s="2">
        <v>0.56874999999999998</v>
      </c>
      <c r="H771">
        <v>49</v>
      </c>
      <c r="I771" s="3">
        <v>0.5625</v>
      </c>
      <c r="J771" s="2">
        <v>0.60416666666666696</v>
      </c>
      <c r="K771">
        <v>60</v>
      </c>
      <c r="L771" s="2">
        <v>0.53472222222222199</v>
      </c>
      <c r="M771" s="2">
        <v>0.56527777777777799</v>
      </c>
      <c r="N771">
        <v>44</v>
      </c>
      <c r="O771" s="2">
        <v>0.54722222222222205</v>
      </c>
      <c r="P771" s="2">
        <v>0.561805555555556</v>
      </c>
      <c r="Q771" s="2">
        <v>0.56527777777777799</v>
      </c>
      <c r="R771">
        <v>44</v>
      </c>
      <c r="S771">
        <v>21</v>
      </c>
      <c r="T771" s="2">
        <v>0.56805555555555598</v>
      </c>
      <c r="U771" s="2">
        <v>0.58750000000000002</v>
      </c>
      <c r="V771">
        <v>28</v>
      </c>
      <c r="W771" s="2">
        <v>0.58819444444444402</v>
      </c>
      <c r="X771" s="2">
        <v>0.60972222222222205</v>
      </c>
      <c r="Y771">
        <v>31</v>
      </c>
    </row>
    <row r="772" spans="1:25" ht="15" customHeight="1" x14ac:dyDescent="0.2">
      <c r="A772" s="1">
        <v>46262</v>
      </c>
      <c r="B772" t="s">
        <v>42</v>
      </c>
      <c r="C772" t="s">
        <v>43</v>
      </c>
      <c r="D772" t="s">
        <v>28</v>
      </c>
      <c r="E772" t="s">
        <v>31</v>
      </c>
      <c r="F772" s="2">
        <v>0.47361111111111098</v>
      </c>
      <c r="G772" s="2">
        <v>0.51319444444444395</v>
      </c>
      <c r="H772">
        <v>57</v>
      </c>
      <c r="I772" s="3">
        <v>0.48958333333333298</v>
      </c>
      <c r="J772" s="2">
        <v>0.54166666666666696</v>
      </c>
      <c r="K772">
        <v>75</v>
      </c>
      <c r="L772" s="2">
        <v>0.47361111111111098</v>
      </c>
      <c r="M772" s="2">
        <v>0.50972222222222197</v>
      </c>
      <c r="N772">
        <v>52</v>
      </c>
      <c r="O772" s="2">
        <v>0.48749999999999999</v>
      </c>
      <c r="P772" s="2">
        <v>0.50694444444444398</v>
      </c>
      <c r="Q772" s="2">
        <v>0.50972222222222197</v>
      </c>
      <c r="R772">
        <v>52</v>
      </c>
      <c r="S772">
        <v>28</v>
      </c>
      <c r="T772" s="2">
        <v>0.514930555555556</v>
      </c>
      <c r="U772" s="2">
        <v>0.58333333333333304</v>
      </c>
      <c r="V772">
        <v>99</v>
      </c>
      <c r="W772" s="2">
        <v>0.58402777777777803</v>
      </c>
      <c r="X772" s="2">
        <v>0.61527777777777803</v>
      </c>
      <c r="Y772">
        <v>45</v>
      </c>
    </row>
    <row r="773" spans="1:25" ht="15" customHeight="1" x14ac:dyDescent="0.2">
      <c r="A773" s="1">
        <v>46262</v>
      </c>
      <c r="B773" t="s">
        <v>42</v>
      </c>
      <c r="C773" t="s">
        <v>43</v>
      </c>
      <c r="D773" t="s">
        <v>38</v>
      </c>
      <c r="E773" t="s">
        <v>29</v>
      </c>
      <c r="F773" s="2">
        <v>0.42986111111111103</v>
      </c>
      <c r="G773" s="2">
        <v>0.48125000000000001</v>
      </c>
      <c r="H773">
        <v>74</v>
      </c>
      <c r="I773" s="3">
        <v>0.4375</v>
      </c>
      <c r="J773" s="2">
        <v>0.47916666666666702</v>
      </c>
      <c r="K773">
        <v>60</v>
      </c>
      <c r="L773" s="2">
        <v>0.42986111111111103</v>
      </c>
      <c r="M773" s="2">
        <v>0.47777777777777802</v>
      </c>
      <c r="N773">
        <v>69</v>
      </c>
      <c r="O773" s="2">
        <v>0.44374999999999998</v>
      </c>
      <c r="P773" s="2">
        <v>0.47708333333333303</v>
      </c>
      <c r="Q773" s="2">
        <v>0.47777777777777802</v>
      </c>
      <c r="R773">
        <v>69</v>
      </c>
      <c r="S773">
        <v>48</v>
      </c>
      <c r="T773" s="2">
        <v>0.48278935185185201</v>
      </c>
      <c r="U773" s="2">
        <v>0.500694444444444</v>
      </c>
      <c r="V773">
        <v>26</v>
      </c>
      <c r="W773" s="2">
        <v>0.50138888888888899</v>
      </c>
      <c r="X773" s="2">
        <v>0.51666666666666705</v>
      </c>
      <c r="Y773">
        <v>22</v>
      </c>
    </row>
    <row r="774" spans="1:25" ht="15" customHeight="1" x14ac:dyDescent="0.2">
      <c r="A774" s="1">
        <v>46262</v>
      </c>
      <c r="B774" t="s">
        <v>42</v>
      </c>
      <c r="C774" t="s">
        <v>43</v>
      </c>
      <c r="D774" t="s">
        <v>28</v>
      </c>
      <c r="E774" t="s">
        <v>29</v>
      </c>
      <c r="F774" s="2">
        <v>0.50277777777777799</v>
      </c>
      <c r="G774" s="2">
        <v>0.55625000000000002</v>
      </c>
      <c r="H774">
        <v>77</v>
      </c>
      <c r="I774" s="3">
        <v>0.5</v>
      </c>
      <c r="J774" s="2">
        <v>0.5625</v>
      </c>
      <c r="K774">
        <v>90</v>
      </c>
      <c r="L774" s="2">
        <v>0.50277777777777799</v>
      </c>
      <c r="M774" s="2">
        <v>0.55277777777777803</v>
      </c>
      <c r="N774">
        <v>72</v>
      </c>
      <c r="O774" s="2">
        <v>0.51944444444444404</v>
      </c>
      <c r="P774" s="2">
        <v>0.55138888888888904</v>
      </c>
      <c r="Q774" s="2">
        <v>0.55277777777777803</v>
      </c>
      <c r="R774">
        <v>72</v>
      </c>
      <c r="S774">
        <v>46</v>
      </c>
      <c r="T774" s="2">
        <v>0.55820601851851803</v>
      </c>
      <c r="U774" s="2">
        <v>0.57291666666666696</v>
      </c>
      <c r="V774">
        <v>22</v>
      </c>
      <c r="W774" s="2">
        <v>0.57361111111111096</v>
      </c>
      <c r="X774" s="2">
        <v>0.61458333333333304</v>
      </c>
      <c r="Y774">
        <v>59</v>
      </c>
    </row>
    <row r="775" spans="1:25" ht="15" customHeight="1" x14ac:dyDescent="0.2">
      <c r="A775" s="1">
        <v>46262</v>
      </c>
      <c r="B775" t="s">
        <v>42</v>
      </c>
      <c r="C775" t="s">
        <v>43</v>
      </c>
      <c r="D775" t="s">
        <v>28</v>
      </c>
      <c r="E775" t="s">
        <v>31</v>
      </c>
      <c r="F775" s="2">
        <v>0.57847222222222205</v>
      </c>
      <c r="G775" s="2">
        <v>0.64861111111111103</v>
      </c>
      <c r="H775">
        <v>101</v>
      </c>
      <c r="I775" s="3">
        <v>0.625</v>
      </c>
      <c r="J775" s="2">
        <v>0.67708333333333304</v>
      </c>
      <c r="K775">
        <v>75</v>
      </c>
      <c r="L775" s="2">
        <v>0.57847222222222205</v>
      </c>
      <c r="M775" s="2">
        <v>0.64513888888888904</v>
      </c>
      <c r="N775">
        <v>96</v>
      </c>
      <c r="O775" s="2">
        <v>0.59861111111111098</v>
      </c>
      <c r="P775" s="2">
        <v>0.64236111111111105</v>
      </c>
      <c r="Q775" s="2">
        <v>0.64513888888888904</v>
      </c>
      <c r="R775">
        <v>96</v>
      </c>
      <c r="S775">
        <v>63</v>
      </c>
      <c r="T775" s="2">
        <v>0.64722222222222203</v>
      </c>
      <c r="U775" s="2">
        <v>0.66666666666666696</v>
      </c>
      <c r="V775">
        <v>28</v>
      </c>
      <c r="W775" s="2">
        <v>0.66736111111111096</v>
      </c>
      <c r="X775" s="2">
        <v>0.6875</v>
      </c>
      <c r="Y775">
        <v>29</v>
      </c>
    </row>
    <row r="776" spans="1:25" ht="15" customHeight="1" x14ac:dyDescent="0.2">
      <c r="A776" s="1">
        <v>46262</v>
      </c>
      <c r="B776" t="s">
        <v>26</v>
      </c>
      <c r="C776" t="s">
        <v>27</v>
      </c>
      <c r="D776" t="s">
        <v>34</v>
      </c>
      <c r="E776" t="s">
        <v>36</v>
      </c>
      <c r="F776" s="2">
        <v>0.27638888888888902</v>
      </c>
      <c r="G776" s="2">
        <v>0.66458333333333297</v>
      </c>
      <c r="H776">
        <v>559</v>
      </c>
      <c r="I776" s="3">
        <v>0.26041666666666702</v>
      </c>
      <c r="J776" s="2">
        <v>0.55208333333333304</v>
      </c>
      <c r="K776">
        <v>420</v>
      </c>
      <c r="L776" s="2">
        <v>0.27638888888888902</v>
      </c>
      <c r="M776" s="2">
        <v>0.65138888888888902</v>
      </c>
      <c r="N776">
        <v>540</v>
      </c>
      <c r="O776" s="2">
        <v>0.34930555555555598</v>
      </c>
      <c r="P776" s="2">
        <v>0.63888888888888895</v>
      </c>
      <c r="Q776" s="2">
        <v>0.65138888888888902</v>
      </c>
      <c r="R776">
        <v>540</v>
      </c>
      <c r="S776">
        <v>417</v>
      </c>
    </row>
    <row r="777" spans="1:25" ht="15" customHeight="1" x14ac:dyDescent="0.2">
      <c r="A777" s="1">
        <v>46262</v>
      </c>
      <c r="B777" t="s">
        <v>26</v>
      </c>
      <c r="C777" t="s">
        <v>27</v>
      </c>
      <c r="D777" t="s">
        <v>28</v>
      </c>
      <c r="E777" t="s">
        <v>29</v>
      </c>
      <c r="F777" s="2">
        <v>0.41666666666666702</v>
      </c>
      <c r="G777" s="2">
        <v>0.64583333333333304</v>
      </c>
      <c r="H777">
        <v>330</v>
      </c>
      <c r="I777" s="3">
        <v>0.41666666666666702</v>
      </c>
      <c r="J777" s="2">
        <v>0.625</v>
      </c>
      <c r="K777">
        <v>300</v>
      </c>
      <c r="L777" s="2">
        <v>0.41666666666666702</v>
      </c>
      <c r="M777" s="2">
        <v>0.64236111111111105</v>
      </c>
      <c r="N777">
        <v>325</v>
      </c>
      <c r="O777" s="2">
        <v>0.44930555555555601</v>
      </c>
      <c r="P777" s="2">
        <v>0.63819444444444395</v>
      </c>
      <c r="Q777" s="2">
        <v>0.64236111111111105</v>
      </c>
      <c r="R777">
        <v>325</v>
      </c>
      <c r="S777">
        <v>272</v>
      </c>
      <c r="T777" s="2">
        <v>0.64356481481481498</v>
      </c>
      <c r="U777" s="2">
        <v>0.70555555555555605</v>
      </c>
      <c r="V777">
        <v>90</v>
      </c>
    </row>
    <row r="778" spans="1:25" ht="15" customHeight="1" x14ac:dyDescent="0.2">
      <c r="A778" s="1">
        <v>46262</v>
      </c>
      <c r="B778" t="s">
        <v>26</v>
      </c>
      <c r="C778" t="s">
        <v>27</v>
      </c>
      <c r="D778" t="s">
        <v>28</v>
      </c>
      <c r="E778" t="s">
        <v>31</v>
      </c>
      <c r="F778" s="2">
        <v>0.50486111111111098</v>
      </c>
      <c r="G778" s="2">
        <v>0.77430555555555602</v>
      </c>
      <c r="H778">
        <v>388</v>
      </c>
      <c r="I778" s="3">
        <v>0.5</v>
      </c>
      <c r="J778" s="2">
        <v>0.70833333333333304</v>
      </c>
      <c r="K778">
        <v>330</v>
      </c>
      <c r="L778" s="2">
        <v>0.50486111111111098</v>
      </c>
      <c r="M778" s="2">
        <v>0.76875000000000004</v>
      </c>
      <c r="N778">
        <v>380</v>
      </c>
      <c r="O778" s="2">
        <v>0.53402777777777799</v>
      </c>
      <c r="P778" s="2">
        <v>0.76388888888888895</v>
      </c>
      <c r="Q778" s="2">
        <v>0.76875000000000004</v>
      </c>
      <c r="R778">
        <v>380</v>
      </c>
      <c r="S778">
        <v>331</v>
      </c>
      <c r="T778" s="2">
        <v>0.76974537037037005</v>
      </c>
      <c r="U778" s="2">
        <v>0.83750000000000002</v>
      </c>
      <c r="V778">
        <v>98</v>
      </c>
    </row>
    <row r="779" spans="1:25" ht="15" customHeight="1" x14ac:dyDescent="0.2">
      <c r="A779" s="1">
        <v>46262</v>
      </c>
      <c r="B779" t="s">
        <v>42</v>
      </c>
      <c r="C779" t="s">
        <v>43</v>
      </c>
      <c r="D779" t="s">
        <v>28</v>
      </c>
      <c r="E779" t="s">
        <v>31</v>
      </c>
      <c r="F779" s="2">
        <v>0.31944444444444398</v>
      </c>
      <c r="G779" s="2">
        <v>0.359027777777778</v>
      </c>
      <c r="H779">
        <v>57</v>
      </c>
      <c r="I779" s="3">
        <v>0.3125</v>
      </c>
      <c r="J779" s="2">
        <v>0.35416666666666702</v>
      </c>
      <c r="K779">
        <v>60</v>
      </c>
      <c r="L779" s="2">
        <v>0.31944444444444398</v>
      </c>
      <c r="M779" s="2">
        <v>0.35347222222222202</v>
      </c>
      <c r="N779">
        <v>49</v>
      </c>
      <c r="O779" s="2">
        <v>0.33819444444444402</v>
      </c>
      <c r="P779" s="2">
        <v>0.34861111111111098</v>
      </c>
      <c r="Q779" s="2">
        <v>0.35347222222222202</v>
      </c>
      <c r="R779">
        <v>49</v>
      </c>
      <c r="S779">
        <v>15</v>
      </c>
      <c r="T779" s="2">
        <v>0.35569444444444398</v>
      </c>
      <c r="U779" s="2">
        <v>0.375694444444444</v>
      </c>
      <c r="V779">
        <v>29</v>
      </c>
      <c r="W779" s="2">
        <v>0.375694444444444</v>
      </c>
      <c r="X779" s="2">
        <v>0.40972222222222199</v>
      </c>
      <c r="Y779">
        <v>49</v>
      </c>
    </row>
    <row r="780" spans="1:25" ht="15" customHeight="1" x14ac:dyDescent="0.2">
      <c r="A780" s="1">
        <v>46262</v>
      </c>
      <c r="B780" t="s">
        <v>26</v>
      </c>
      <c r="C780" t="s">
        <v>27</v>
      </c>
      <c r="D780" t="s">
        <v>28</v>
      </c>
      <c r="E780" t="s">
        <v>31</v>
      </c>
      <c r="F780" s="2">
        <v>0.31597222222222199</v>
      </c>
      <c r="G780" s="2">
        <v>0.46875</v>
      </c>
      <c r="H780">
        <v>220</v>
      </c>
      <c r="I780" s="3">
        <v>0.3125</v>
      </c>
      <c r="J780" s="2">
        <v>0.47916666666666702</v>
      </c>
      <c r="K780">
        <v>240</v>
      </c>
      <c r="L780" s="2">
        <v>0.31597222222222199</v>
      </c>
      <c r="M780" s="2">
        <v>0.46458333333333302</v>
      </c>
      <c r="N780">
        <v>214</v>
      </c>
      <c r="O780" s="2">
        <v>0.36875000000000002</v>
      </c>
      <c r="P780" s="2">
        <v>0.452777777777778</v>
      </c>
      <c r="Q780" s="2">
        <v>0.46458333333333302</v>
      </c>
      <c r="R780">
        <v>214</v>
      </c>
      <c r="S780">
        <v>121</v>
      </c>
      <c r="T780" s="2">
        <v>0.46565972222222202</v>
      </c>
      <c r="U780" s="2">
        <v>0.48680555555555599</v>
      </c>
      <c r="V780">
        <v>31</v>
      </c>
    </row>
    <row r="781" spans="1:25" ht="15" customHeight="1" x14ac:dyDescent="0.2">
      <c r="A781" s="1">
        <v>46262</v>
      </c>
      <c r="B781" t="s">
        <v>26</v>
      </c>
      <c r="C781" t="s">
        <v>27</v>
      </c>
      <c r="D781" t="s">
        <v>28</v>
      </c>
      <c r="E781" t="s">
        <v>29</v>
      </c>
      <c r="F781" s="2">
        <v>0.47916666666666702</v>
      </c>
      <c r="G781" s="2">
        <v>0.52361111111111103</v>
      </c>
      <c r="H781">
        <v>64</v>
      </c>
      <c r="I781" s="3">
        <v>0.5</v>
      </c>
      <c r="J781" s="2">
        <v>0.54166666666666696</v>
      </c>
      <c r="K781">
        <v>60</v>
      </c>
      <c r="L781" s="2">
        <v>0.47916666666666702</v>
      </c>
      <c r="M781" s="2">
        <v>0.51944444444444404</v>
      </c>
      <c r="N781">
        <v>58</v>
      </c>
      <c r="O781" s="2">
        <v>0.49027777777777798</v>
      </c>
      <c r="P781" s="2">
        <v>0.51666666666666705</v>
      </c>
      <c r="Q781" s="2">
        <v>0.51944444444444404</v>
      </c>
      <c r="R781">
        <v>58</v>
      </c>
      <c r="S781">
        <v>38</v>
      </c>
      <c r="T781" s="2">
        <v>0.52083333333333304</v>
      </c>
      <c r="U781" s="2">
        <v>0.53888888888888897</v>
      </c>
      <c r="V781">
        <v>26</v>
      </c>
    </row>
    <row r="782" spans="1:25" ht="15" customHeight="1" x14ac:dyDescent="0.2">
      <c r="A782" s="1">
        <v>46262</v>
      </c>
      <c r="B782" t="s">
        <v>26</v>
      </c>
      <c r="C782" t="s">
        <v>27</v>
      </c>
      <c r="D782" t="s">
        <v>28</v>
      </c>
      <c r="E782" t="s">
        <v>29</v>
      </c>
      <c r="F782" s="2">
        <v>0.50833333333333297</v>
      </c>
      <c r="G782" s="2">
        <v>0.57569444444444395</v>
      </c>
      <c r="H782">
        <v>97</v>
      </c>
      <c r="I782" s="3">
        <v>0.5</v>
      </c>
      <c r="J782" s="2">
        <v>0.58333333333333304</v>
      </c>
      <c r="K782">
        <v>120</v>
      </c>
      <c r="L782" s="2">
        <v>0.50833333333333297</v>
      </c>
      <c r="M782" s="2">
        <v>0.57291666666666696</v>
      </c>
      <c r="N782">
        <v>93</v>
      </c>
      <c r="O782" s="2">
        <v>0.52500000000000002</v>
      </c>
      <c r="P782" s="2">
        <v>0.56527777777777799</v>
      </c>
      <c r="Q782" s="2">
        <v>0.57291666666666696</v>
      </c>
      <c r="R782">
        <v>93</v>
      </c>
      <c r="S782">
        <v>58</v>
      </c>
      <c r="T782" s="2">
        <v>0.57430555555555596</v>
      </c>
      <c r="U782" s="2">
        <v>0.65763888888888899</v>
      </c>
      <c r="V782">
        <v>120</v>
      </c>
    </row>
    <row r="783" spans="1:25" ht="15" customHeight="1" x14ac:dyDescent="0.2">
      <c r="A783" s="1">
        <v>46262</v>
      </c>
      <c r="B783" t="s">
        <v>26</v>
      </c>
      <c r="C783" t="s">
        <v>27</v>
      </c>
      <c r="D783" t="s">
        <v>28</v>
      </c>
      <c r="E783" t="s">
        <v>31</v>
      </c>
      <c r="F783" s="2">
        <v>0.30763888888888902</v>
      </c>
      <c r="G783" s="2">
        <v>0.406944444444444</v>
      </c>
      <c r="H783">
        <v>143</v>
      </c>
      <c r="I783" s="3">
        <v>0.3125</v>
      </c>
      <c r="J783" s="2">
        <v>0.39236111111111099</v>
      </c>
      <c r="K783">
        <v>115</v>
      </c>
      <c r="L783" s="2">
        <v>0.30763888888888902</v>
      </c>
      <c r="M783" s="2">
        <v>0.4</v>
      </c>
      <c r="N783">
        <v>133</v>
      </c>
      <c r="O783" s="2">
        <v>0.32569444444444401</v>
      </c>
      <c r="P783" s="2">
        <v>0.39374999999999999</v>
      </c>
      <c r="Q783" s="2">
        <v>0.4</v>
      </c>
      <c r="R783">
        <v>133</v>
      </c>
      <c r="S783">
        <v>98</v>
      </c>
      <c r="T783" s="2">
        <v>0.40085648148148201</v>
      </c>
      <c r="U783" s="2">
        <v>0.43333333333333302</v>
      </c>
      <c r="V783">
        <v>47</v>
      </c>
    </row>
    <row r="784" spans="1:25" ht="15" customHeight="1" x14ac:dyDescent="0.2">
      <c r="A784" s="1">
        <v>46262</v>
      </c>
      <c r="B784" t="s">
        <v>26</v>
      </c>
      <c r="C784" t="s">
        <v>27</v>
      </c>
      <c r="D784" t="s">
        <v>28</v>
      </c>
      <c r="E784" t="s">
        <v>29</v>
      </c>
      <c r="F784" s="2">
        <v>0.32083333333333303</v>
      </c>
      <c r="G784" s="2">
        <v>0.46180555555555602</v>
      </c>
      <c r="H784">
        <v>203</v>
      </c>
      <c r="I784" s="3">
        <v>0.3125</v>
      </c>
      <c r="J784" s="2">
        <v>0.4375</v>
      </c>
      <c r="K784">
        <v>180</v>
      </c>
      <c r="L784" s="2">
        <v>0.32083333333333303</v>
      </c>
      <c r="M784" s="2">
        <v>0.45</v>
      </c>
      <c r="N784">
        <v>186</v>
      </c>
      <c r="O784" s="2">
        <v>0.359722222222222</v>
      </c>
      <c r="P784" s="2">
        <v>0.436805555555556</v>
      </c>
      <c r="Q784" s="2">
        <v>0.45</v>
      </c>
      <c r="R784">
        <v>186</v>
      </c>
      <c r="S784">
        <v>111</v>
      </c>
    </row>
    <row r="785" spans="1:22" ht="15" customHeight="1" x14ac:dyDescent="0.2">
      <c r="A785" s="1">
        <v>46262</v>
      </c>
      <c r="B785" t="s">
        <v>26</v>
      </c>
      <c r="C785" t="s">
        <v>27</v>
      </c>
      <c r="D785" t="s">
        <v>34</v>
      </c>
      <c r="E785" t="s">
        <v>29</v>
      </c>
      <c r="F785" s="2">
        <v>0.43263888888888902</v>
      </c>
      <c r="G785" s="2">
        <v>0.49722222222222201</v>
      </c>
      <c r="H785">
        <v>93</v>
      </c>
      <c r="I785" s="3">
        <v>0.41666666666666702</v>
      </c>
      <c r="J785" s="2">
        <v>0.48958333333333298</v>
      </c>
      <c r="K785">
        <v>105</v>
      </c>
      <c r="L785" s="2">
        <v>0.43263888888888902</v>
      </c>
      <c r="M785" s="2">
        <v>0.49027777777777798</v>
      </c>
      <c r="N785">
        <v>83</v>
      </c>
      <c r="O785" s="2">
        <v>0.44652777777777802</v>
      </c>
      <c r="P785" s="2">
        <v>0.48819444444444399</v>
      </c>
      <c r="Q785" s="2">
        <v>0.49027777777777798</v>
      </c>
      <c r="R785">
        <v>83</v>
      </c>
      <c r="S785">
        <v>60</v>
      </c>
      <c r="T785" s="2">
        <v>0.49166666666666697</v>
      </c>
      <c r="U785" s="2">
        <v>0.54374999999999996</v>
      </c>
      <c r="V785">
        <v>75</v>
      </c>
    </row>
    <row r="786" spans="1:22" ht="15" customHeight="1" x14ac:dyDescent="0.2">
      <c r="A786" s="1">
        <v>46262</v>
      </c>
      <c r="B786" t="s">
        <v>26</v>
      </c>
      <c r="C786" t="s">
        <v>27</v>
      </c>
      <c r="D786" t="s">
        <v>28</v>
      </c>
      <c r="E786" t="s">
        <v>29</v>
      </c>
      <c r="F786" s="2">
        <v>0.50138888888888899</v>
      </c>
      <c r="G786" s="2">
        <v>0.54930555555555605</v>
      </c>
      <c r="H786">
        <v>69</v>
      </c>
      <c r="I786" s="3">
        <v>0.48958333333333298</v>
      </c>
      <c r="J786" s="2">
        <v>0.53125</v>
      </c>
      <c r="K786">
        <v>60</v>
      </c>
      <c r="L786" s="2">
        <v>0.50138888888888899</v>
      </c>
      <c r="M786" s="2">
        <v>0.54722222222222205</v>
      </c>
      <c r="N786">
        <v>66</v>
      </c>
      <c r="O786" s="2">
        <v>0.52708333333333302</v>
      </c>
      <c r="P786" s="2">
        <v>0.54236111111111096</v>
      </c>
      <c r="Q786" s="2">
        <v>0.54722222222222205</v>
      </c>
      <c r="R786">
        <v>66</v>
      </c>
      <c r="S786">
        <v>22</v>
      </c>
      <c r="T786" s="2">
        <v>0.55008101851851898</v>
      </c>
      <c r="U786" s="2">
        <v>0.57013888888888897</v>
      </c>
      <c r="V786">
        <v>29</v>
      </c>
    </row>
    <row r="787" spans="1:22" ht="15" customHeight="1" x14ac:dyDescent="0.2">
      <c r="A787" s="1">
        <v>46262</v>
      </c>
      <c r="B787" t="s">
        <v>26</v>
      </c>
      <c r="C787" t="s">
        <v>27</v>
      </c>
      <c r="D787" t="s">
        <v>28</v>
      </c>
      <c r="E787" t="s">
        <v>29</v>
      </c>
      <c r="F787" s="2">
        <v>0.5625</v>
      </c>
      <c r="G787" s="2">
        <v>0.61180555555555605</v>
      </c>
      <c r="H787">
        <v>71</v>
      </c>
      <c r="I787" s="3">
        <v>0.54166666666666696</v>
      </c>
      <c r="J787" s="2">
        <v>0.59375</v>
      </c>
      <c r="K787">
        <v>75</v>
      </c>
      <c r="L787" s="2">
        <v>0.563194444444444</v>
      </c>
      <c r="M787" s="2">
        <v>0.60486111111111096</v>
      </c>
      <c r="N787">
        <v>60</v>
      </c>
      <c r="O787" s="2">
        <v>0.58333333333333304</v>
      </c>
      <c r="P787" s="2">
        <v>0.60138888888888897</v>
      </c>
      <c r="Q787" s="2">
        <v>0.60486111111111096</v>
      </c>
      <c r="R787">
        <v>60</v>
      </c>
      <c r="S787">
        <v>26</v>
      </c>
      <c r="T787" s="2">
        <v>0.60624999999999996</v>
      </c>
      <c r="U787" s="2">
        <v>0.63611111111111096</v>
      </c>
      <c r="V787">
        <v>43</v>
      </c>
    </row>
    <row r="788" spans="1:22" ht="15" customHeight="1" x14ac:dyDescent="0.2">
      <c r="A788" s="1">
        <v>46262</v>
      </c>
      <c r="B788" t="s">
        <v>26</v>
      </c>
      <c r="C788" t="s">
        <v>27</v>
      </c>
      <c r="D788" t="s">
        <v>28</v>
      </c>
      <c r="E788" t="s">
        <v>35</v>
      </c>
      <c r="F788" s="2">
        <v>0.62013888888888902</v>
      </c>
      <c r="G788" s="2">
        <v>0.69027777777777799</v>
      </c>
      <c r="H788">
        <v>101</v>
      </c>
      <c r="I788" s="3">
        <v>0.60416666666666696</v>
      </c>
      <c r="J788" s="2">
        <v>0.66666666666666696</v>
      </c>
      <c r="K788">
        <v>90</v>
      </c>
      <c r="L788" s="2">
        <v>0.62013888888888902</v>
      </c>
      <c r="M788" s="2">
        <v>0.68888888888888899</v>
      </c>
      <c r="N788">
        <v>99</v>
      </c>
      <c r="O788" s="2">
        <v>0.63888888888888895</v>
      </c>
      <c r="P788" s="2">
        <v>0.68263888888888902</v>
      </c>
      <c r="Q788" s="2">
        <v>0.68888888888888899</v>
      </c>
      <c r="R788">
        <v>99</v>
      </c>
      <c r="S788">
        <v>63</v>
      </c>
      <c r="T788" s="2">
        <v>0.69112268518518505</v>
      </c>
      <c r="U788" s="2">
        <v>0.76805555555555605</v>
      </c>
      <c r="V788">
        <v>111</v>
      </c>
    </row>
    <row r="789" spans="1:22" ht="15" customHeight="1" x14ac:dyDescent="0.2">
      <c r="A789" s="1">
        <v>46262</v>
      </c>
      <c r="B789" t="s">
        <v>26</v>
      </c>
      <c r="C789" t="s">
        <v>27</v>
      </c>
      <c r="D789" t="s">
        <v>28</v>
      </c>
      <c r="E789" t="s">
        <v>29</v>
      </c>
      <c r="F789" s="2">
        <v>0.70138888888888895</v>
      </c>
      <c r="G789" s="2">
        <v>0.76736111111111105</v>
      </c>
      <c r="H789">
        <v>95</v>
      </c>
      <c r="I789" s="3">
        <v>0.69791666666666696</v>
      </c>
      <c r="J789" s="2">
        <v>0.76041666666666696</v>
      </c>
      <c r="K789">
        <v>90</v>
      </c>
      <c r="L789" s="2">
        <v>0.70138888888888895</v>
      </c>
      <c r="M789" s="2">
        <v>0.76249999999999996</v>
      </c>
      <c r="N789">
        <v>88</v>
      </c>
      <c r="O789" s="2">
        <v>0.71666666666666701</v>
      </c>
      <c r="P789" s="2">
        <v>0.75763888888888897</v>
      </c>
      <c r="Q789" s="2">
        <v>0.76249999999999996</v>
      </c>
      <c r="R789">
        <v>88</v>
      </c>
      <c r="S789">
        <v>59</v>
      </c>
      <c r="T789" s="2">
        <v>0.76366898148148099</v>
      </c>
      <c r="U789" s="2">
        <v>0.79236111111111096</v>
      </c>
      <c r="V789">
        <v>42</v>
      </c>
    </row>
    <row r="790" spans="1:22" ht="15" customHeight="1" x14ac:dyDescent="0.2">
      <c r="A790" s="1">
        <v>46263</v>
      </c>
      <c r="B790" t="s">
        <v>26</v>
      </c>
      <c r="C790" t="s">
        <v>27</v>
      </c>
      <c r="D790" t="s">
        <v>28</v>
      </c>
      <c r="E790" t="s">
        <v>31</v>
      </c>
      <c r="F790" s="2">
        <v>0.34722222222222199</v>
      </c>
      <c r="G790" s="2">
        <v>0.41041666666666698</v>
      </c>
      <c r="H790">
        <v>91</v>
      </c>
      <c r="I790" s="3">
        <v>0.3125</v>
      </c>
      <c r="J790" s="2">
        <v>0.4375</v>
      </c>
      <c r="K790">
        <v>180</v>
      </c>
      <c r="L790" s="2">
        <v>0.34722222222222199</v>
      </c>
      <c r="M790" s="2">
        <v>0.406944444444444</v>
      </c>
      <c r="N790">
        <v>86</v>
      </c>
      <c r="O790" s="2">
        <v>0.375</v>
      </c>
      <c r="P790" s="2">
        <v>0.40347222222222201</v>
      </c>
      <c r="Q790" s="2">
        <v>0.406944444444444</v>
      </c>
      <c r="R790">
        <v>86</v>
      </c>
      <c r="S790">
        <v>41</v>
      </c>
      <c r="T790" s="2">
        <v>0.40972222222222199</v>
      </c>
      <c r="U790" s="2">
        <v>0.42777777777777798</v>
      </c>
      <c r="V790">
        <v>26</v>
      </c>
    </row>
    <row r="791" spans="1:22" ht="15" customHeight="1" x14ac:dyDescent="0.2">
      <c r="A791" s="1">
        <v>46263</v>
      </c>
      <c r="B791" t="s">
        <v>26</v>
      </c>
      <c r="C791" t="s">
        <v>27</v>
      </c>
      <c r="D791" t="s">
        <v>28</v>
      </c>
      <c r="E791" t="s">
        <v>29</v>
      </c>
      <c r="F791" s="2">
        <v>0.35625000000000001</v>
      </c>
      <c r="G791" s="2">
        <v>0.38472222222222202</v>
      </c>
      <c r="H791">
        <v>41</v>
      </c>
      <c r="I791" s="3">
        <v>0.35625000000000001</v>
      </c>
      <c r="J791" s="2">
        <v>0.39791666666666697</v>
      </c>
      <c r="K791">
        <v>60</v>
      </c>
      <c r="L791" s="2">
        <v>0.35625000000000001</v>
      </c>
      <c r="M791" s="2">
        <v>0.38124999999999998</v>
      </c>
      <c r="N791">
        <v>36</v>
      </c>
      <c r="O791" s="2">
        <v>0.36388888888888898</v>
      </c>
      <c r="P791" s="2">
        <v>0.37708333333333299</v>
      </c>
      <c r="Q791" s="2">
        <v>0.38124999999999998</v>
      </c>
      <c r="R791">
        <v>36</v>
      </c>
      <c r="S791">
        <v>19</v>
      </c>
      <c r="T791" s="2">
        <v>0.38268518518518502</v>
      </c>
      <c r="U791" s="2">
        <v>0.407523148148148</v>
      </c>
      <c r="V791">
        <v>35</v>
      </c>
    </row>
    <row r="792" spans="1:22" ht="15" customHeight="1" x14ac:dyDescent="0.2">
      <c r="A792" s="1">
        <v>46263</v>
      </c>
      <c r="B792" t="s">
        <v>26</v>
      </c>
      <c r="C792" t="s">
        <v>27</v>
      </c>
      <c r="D792" t="s">
        <v>28</v>
      </c>
      <c r="E792" t="s">
        <v>36</v>
      </c>
      <c r="F792" s="2">
        <v>0.39583333333333298</v>
      </c>
      <c r="G792" s="2">
        <v>0.44930555555555601</v>
      </c>
      <c r="H792">
        <v>77</v>
      </c>
      <c r="I792" s="3">
        <v>0.39583333333333298</v>
      </c>
      <c r="J792" s="2">
        <v>0.4375</v>
      </c>
      <c r="K792">
        <v>60</v>
      </c>
      <c r="L792" s="2">
        <v>0.39583333333333298</v>
      </c>
      <c r="M792" s="2">
        <v>0.44374999999999998</v>
      </c>
      <c r="N792">
        <v>69</v>
      </c>
      <c r="O792" s="2">
        <v>0.40833333333333299</v>
      </c>
      <c r="P792" s="2">
        <v>0.44166666666666698</v>
      </c>
      <c r="Q792" s="2">
        <v>0.44374999999999998</v>
      </c>
      <c r="R792">
        <v>69</v>
      </c>
      <c r="S792">
        <v>48</v>
      </c>
      <c r="T792" s="2">
        <v>0.444965277777778</v>
      </c>
      <c r="U792" s="2">
        <v>0.49590277777777803</v>
      </c>
      <c r="V792">
        <v>74</v>
      </c>
    </row>
    <row r="793" spans="1:22" ht="15" customHeight="1" x14ac:dyDescent="0.2">
      <c r="A793" s="1">
        <v>46263</v>
      </c>
      <c r="B793" t="s">
        <v>26</v>
      </c>
      <c r="C793" t="s">
        <v>27</v>
      </c>
      <c r="D793" t="s">
        <v>28</v>
      </c>
      <c r="E793" t="s">
        <v>35</v>
      </c>
      <c r="F793" s="2">
        <v>0.45486111111111099</v>
      </c>
      <c r="G793" s="2">
        <v>0.59791666666666698</v>
      </c>
      <c r="H793">
        <v>206</v>
      </c>
      <c r="I793" s="3">
        <v>0.4375</v>
      </c>
      <c r="J793" s="2">
        <v>0.54861111111111105</v>
      </c>
      <c r="K793">
        <v>190</v>
      </c>
      <c r="L793" s="2">
        <v>0.45486111111111099</v>
      </c>
      <c r="M793" s="2">
        <v>0.594444444444444</v>
      </c>
      <c r="N793">
        <v>201</v>
      </c>
      <c r="O793" s="2">
        <v>0.47916666666666702</v>
      </c>
      <c r="P793" s="2">
        <v>0.59166666666666701</v>
      </c>
      <c r="Q793" s="2">
        <v>0.594444444444444</v>
      </c>
      <c r="R793">
        <v>201</v>
      </c>
      <c r="S793">
        <v>162</v>
      </c>
      <c r="T793" s="2">
        <v>0.59555555555555595</v>
      </c>
      <c r="U793" s="2">
        <v>0.63194444444444398</v>
      </c>
      <c r="V793">
        <v>53</v>
      </c>
    </row>
    <row r="794" spans="1:22" ht="15" customHeight="1" x14ac:dyDescent="0.2">
      <c r="A794" s="1">
        <v>46263</v>
      </c>
      <c r="B794" t="s">
        <v>26</v>
      </c>
      <c r="C794" t="s">
        <v>27</v>
      </c>
      <c r="D794" t="s">
        <v>28</v>
      </c>
      <c r="E794" t="s">
        <v>31</v>
      </c>
      <c r="F794" s="2">
        <v>0.62083333333333302</v>
      </c>
      <c r="G794" s="2">
        <v>0.74722222222222201</v>
      </c>
      <c r="H794">
        <v>182</v>
      </c>
      <c r="I794" s="3">
        <v>0.625</v>
      </c>
      <c r="J794" s="2">
        <v>0.72222222222222199</v>
      </c>
      <c r="K794">
        <v>170</v>
      </c>
      <c r="L794" s="2">
        <v>0.62083333333333302</v>
      </c>
      <c r="M794" s="2">
        <v>0.74305555555555602</v>
      </c>
      <c r="N794">
        <v>176</v>
      </c>
      <c r="O794" s="2">
        <v>0.63194444444444398</v>
      </c>
      <c r="P794" s="2">
        <v>0.74027777777777803</v>
      </c>
      <c r="Q794" s="2">
        <v>0.74305555555555602</v>
      </c>
      <c r="R794">
        <v>176</v>
      </c>
      <c r="S794">
        <v>156</v>
      </c>
      <c r="T794" s="2">
        <v>0.74443287037036998</v>
      </c>
      <c r="U794" s="2">
        <v>0.77528935185185199</v>
      </c>
      <c r="V794">
        <v>45</v>
      </c>
    </row>
    <row r="795" spans="1:22" ht="15" customHeight="1" x14ac:dyDescent="0.2">
      <c r="A795" s="1">
        <v>46263</v>
      </c>
      <c r="B795" t="s">
        <v>26</v>
      </c>
      <c r="C795" t="s">
        <v>27</v>
      </c>
      <c r="D795" t="s">
        <v>34</v>
      </c>
      <c r="E795" t="s">
        <v>36</v>
      </c>
      <c r="F795" s="2">
        <v>0.29444444444444401</v>
      </c>
      <c r="G795" s="2">
        <v>0.41666666666666702</v>
      </c>
      <c r="H795">
        <v>176</v>
      </c>
      <c r="I795" s="3">
        <v>0.28125</v>
      </c>
      <c r="J795" s="2">
        <v>0.30208333333333298</v>
      </c>
      <c r="K795">
        <v>60</v>
      </c>
      <c r="L795" s="2">
        <v>0.29444444444444401</v>
      </c>
      <c r="M795" s="2">
        <v>0.40277777777777801</v>
      </c>
      <c r="N795">
        <v>156</v>
      </c>
      <c r="O795" s="2">
        <v>0.30763888888888902</v>
      </c>
      <c r="P795" s="2">
        <v>0.391666666666667</v>
      </c>
      <c r="Q795" s="2">
        <v>0.40277777777777801</v>
      </c>
      <c r="R795">
        <v>156</v>
      </c>
      <c r="S795">
        <v>121</v>
      </c>
    </row>
    <row r="796" spans="1:22" ht="15" customHeight="1" x14ac:dyDescent="0.2">
      <c r="A796" s="1">
        <v>46263</v>
      </c>
      <c r="B796" t="s">
        <v>26</v>
      </c>
      <c r="C796" t="s">
        <v>27</v>
      </c>
      <c r="D796" t="s">
        <v>28</v>
      </c>
      <c r="E796" t="s">
        <v>31</v>
      </c>
      <c r="F796" s="2">
        <v>0.52500000000000002</v>
      </c>
      <c r="G796" s="2">
        <v>0.57222222222222197</v>
      </c>
      <c r="H796">
        <v>68</v>
      </c>
      <c r="I796" s="3">
        <v>0.45833333333333298</v>
      </c>
      <c r="J796" s="2">
        <v>0.51736111111111105</v>
      </c>
      <c r="K796">
        <v>115</v>
      </c>
      <c r="L796" s="2">
        <v>0.52500000000000002</v>
      </c>
      <c r="M796" s="2">
        <v>0.56874999999999998</v>
      </c>
      <c r="N796">
        <v>63</v>
      </c>
      <c r="O796" s="2">
        <v>0.53958333333333297</v>
      </c>
      <c r="P796" s="2">
        <v>0.56597222222222199</v>
      </c>
      <c r="Q796" s="2">
        <v>0.56874999999999998</v>
      </c>
      <c r="R796">
        <v>63</v>
      </c>
      <c r="S796">
        <v>38</v>
      </c>
      <c r="T796" s="2">
        <v>0.57142361111111095</v>
      </c>
      <c r="U796" s="2">
        <v>0.594444444444444</v>
      </c>
      <c r="V796">
        <v>34</v>
      </c>
    </row>
    <row r="797" spans="1:22" ht="15" customHeight="1" x14ac:dyDescent="0.2">
      <c r="A797" s="1">
        <v>46263</v>
      </c>
      <c r="B797" t="s">
        <v>26</v>
      </c>
      <c r="C797" t="s">
        <v>27</v>
      </c>
      <c r="D797" t="s">
        <v>28</v>
      </c>
      <c r="E797" t="s">
        <v>31</v>
      </c>
      <c r="F797" s="2">
        <v>0.60902777777777795</v>
      </c>
      <c r="G797" s="2">
        <v>0.67222222222222205</v>
      </c>
      <c r="H797">
        <v>91</v>
      </c>
      <c r="I797" s="3">
        <v>0.5625</v>
      </c>
      <c r="J797" s="2">
        <v>0.60763888888888895</v>
      </c>
      <c r="K797">
        <v>95</v>
      </c>
      <c r="L797" s="2">
        <v>0.60902777777777795</v>
      </c>
      <c r="M797" s="2">
        <v>0.66874999999999996</v>
      </c>
      <c r="N797">
        <v>86</v>
      </c>
      <c r="O797" s="2">
        <v>0.62708333333333299</v>
      </c>
      <c r="P797" s="2">
        <v>0.66527777777777797</v>
      </c>
      <c r="Q797" s="2">
        <v>0.66874999999999996</v>
      </c>
      <c r="R797">
        <v>86</v>
      </c>
      <c r="S797">
        <v>55</v>
      </c>
      <c r="T797" s="2">
        <v>0.67225694444444395</v>
      </c>
      <c r="U797" s="2">
        <v>0.69861111111111096</v>
      </c>
      <c r="V797">
        <v>38</v>
      </c>
    </row>
    <row r="798" spans="1:22" ht="15" customHeight="1" x14ac:dyDescent="0.2">
      <c r="A798" s="1">
        <v>46263</v>
      </c>
      <c r="B798" t="s">
        <v>26</v>
      </c>
      <c r="C798" t="s">
        <v>27</v>
      </c>
      <c r="D798" t="s">
        <v>28</v>
      </c>
      <c r="E798" t="s">
        <v>31</v>
      </c>
      <c r="F798" s="2">
        <v>0.69027777777777799</v>
      </c>
      <c r="G798" s="2">
        <v>0.78819444444444398</v>
      </c>
      <c r="H798">
        <v>141</v>
      </c>
      <c r="I798" s="3">
        <v>0.64930555555555602</v>
      </c>
      <c r="J798" s="2">
        <v>0.77083333333333304</v>
      </c>
      <c r="K798">
        <v>205</v>
      </c>
      <c r="L798" s="2">
        <v>0.69027777777777799</v>
      </c>
      <c r="M798" s="2">
        <v>0.78472222222222199</v>
      </c>
      <c r="N798">
        <v>136</v>
      </c>
      <c r="O798" s="2">
        <v>0.70694444444444404</v>
      </c>
      <c r="P798" s="2">
        <v>0.77152777777777803</v>
      </c>
      <c r="Q798" s="2">
        <v>0.78472222222222199</v>
      </c>
      <c r="R798">
        <v>136</v>
      </c>
      <c r="S798">
        <v>93</v>
      </c>
      <c r="T798" s="2">
        <v>0.78638888888888903</v>
      </c>
      <c r="U798" s="2">
        <v>0.87291666666666701</v>
      </c>
      <c r="V798">
        <v>125</v>
      </c>
    </row>
    <row r="799" spans="1:22" ht="15" customHeight="1" x14ac:dyDescent="0.2">
      <c r="A799" s="1">
        <v>46263</v>
      </c>
      <c r="B799" t="s">
        <v>26</v>
      </c>
      <c r="C799" t="s">
        <v>27</v>
      </c>
      <c r="D799" t="s">
        <v>28</v>
      </c>
      <c r="E799" t="s">
        <v>29</v>
      </c>
      <c r="F799" s="2">
        <v>0.75972222222222197</v>
      </c>
      <c r="G799" s="2">
        <v>0.78402777777777799</v>
      </c>
      <c r="H799">
        <v>35</v>
      </c>
      <c r="I799" s="3">
        <v>0.76041666666666696</v>
      </c>
      <c r="J799" s="2">
        <v>0.79513888888888895</v>
      </c>
      <c r="K799">
        <v>80</v>
      </c>
      <c r="L799" s="2">
        <v>0.75972222222222197</v>
      </c>
      <c r="M799" s="2">
        <v>0.78125</v>
      </c>
      <c r="N799">
        <v>31</v>
      </c>
      <c r="O799" s="2">
        <v>0.77013888888888904</v>
      </c>
      <c r="P799" s="2">
        <v>0.77777777777777801</v>
      </c>
      <c r="Q799" s="2">
        <v>0.78125</v>
      </c>
      <c r="R799">
        <v>31</v>
      </c>
      <c r="S799">
        <v>11</v>
      </c>
      <c r="T799" s="2">
        <v>0.78333333333333299</v>
      </c>
      <c r="U799" s="2">
        <v>0.813194444444444</v>
      </c>
      <c r="V799">
        <v>43</v>
      </c>
    </row>
    <row r="800" spans="1:22" ht="15" customHeight="1" x14ac:dyDescent="0.2">
      <c r="A800" s="1">
        <v>46263</v>
      </c>
      <c r="B800" t="s">
        <v>42</v>
      </c>
      <c r="C800" t="s">
        <v>43</v>
      </c>
      <c r="D800" t="s">
        <v>28</v>
      </c>
      <c r="E800" t="s">
        <v>31</v>
      </c>
      <c r="F800" s="2">
        <v>0.79861111111111105</v>
      </c>
      <c r="G800" s="2">
        <v>0.87083333333333302</v>
      </c>
      <c r="H800">
        <v>104</v>
      </c>
      <c r="I800" s="3">
        <v>0.79166666666666696</v>
      </c>
      <c r="J800" s="2">
        <v>0.84722222222222199</v>
      </c>
      <c r="K800">
        <v>110</v>
      </c>
      <c r="L800" s="2">
        <v>0.79861111111111105</v>
      </c>
      <c r="M800" s="2">
        <v>0.86736111111111103</v>
      </c>
      <c r="N800">
        <v>99</v>
      </c>
      <c r="O800" s="2">
        <v>0.81527777777777799</v>
      </c>
      <c r="P800" s="2">
        <v>0.86319444444444404</v>
      </c>
      <c r="Q800" s="2">
        <v>0.86736111111111103</v>
      </c>
      <c r="R800">
        <v>99</v>
      </c>
      <c r="S800">
        <v>69</v>
      </c>
      <c r="T800" s="2">
        <v>0.86859953703703696</v>
      </c>
      <c r="U800" s="2">
        <v>0.906944444444444</v>
      </c>
      <c r="V800">
        <v>56</v>
      </c>
    </row>
    <row r="801" spans="1:25" ht="15" customHeight="1" x14ac:dyDescent="0.2">
      <c r="A801" s="1">
        <v>46264</v>
      </c>
      <c r="B801" t="s">
        <v>26</v>
      </c>
      <c r="C801" t="s">
        <v>27</v>
      </c>
      <c r="D801" t="s">
        <v>28</v>
      </c>
      <c r="E801" t="s">
        <v>29</v>
      </c>
      <c r="F801" s="2">
        <v>0.35416666666666702</v>
      </c>
      <c r="G801" s="2">
        <v>0.38611111111111102</v>
      </c>
      <c r="H801">
        <v>46</v>
      </c>
      <c r="I801" s="3">
        <v>0.35416666666666702</v>
      </c>
      <c r="J801" s="2">
        <v>0.38888888888888901</v>
      </c>
      <c r="K801">
        <v>50</v>
      </c>
      <c r="L801" s="2">
        <v>0.35416666666666702</v>
      </c>
      <c r="M801" s="2">
        <v>0.38333333333333303</v>
      </c>
      <c r="N801">
        <v>42</v>
      </c>
      <c r="O801" s="2">
        <v>0.36805555555555602</v>
      </c>
      <c r="P801" s="2">
        <v>0.38124999999999998</v>
      </c>
      <c r="Q801" s="2">
        <v>0.38333333333333303</v>
      </c>
      <c r="R801">
        <v>42</v>
      </c>
      <c r="S801">
        <v>19</v>
      </c>
      <c r="T801" s="2">
        <v>0.38541666666666702</v>
      </c>
      <c r="U801" s="2">
        <v>0.39652777777777798</v>
      </c>
      <c r="V801">
        <v>16</v>
      </c>
    </row>
    <row r="802" spans="1:25" ht="15" customHeight="1" x14ac:dyDescent="0.2">
      <c r="A802" s="1">
        <v>46264</v>
      </c>
      <c r="B802" t="s">
        <v>26</v>
      </c>
      <c r="C802" t="s">
        <v>27</v>
      </c>
      <c r="D802" t="s">
        <v>34</v>
      </c>
      <c r="E802" t="s">
        <v>31</v>
      </c>
      <c r="F802" s="2">
        <v>0.30277777777777798</v>
      </c>
      <c r="G802" s="2">
        <v>0.360416666666667</v>
      </c>
      <c r="H802">
        <v>83</v>
      </c>
      <c r="I802" s="3">
        <v>0.3125</v>
      </c>
      <c r="J802" s="2">
        <v>0.39236111111111099</v>
      </c>
      <c r="K802">
        <v>145</v>
      </c>
      <c r="L802" s="2">
        <v>0.30277777777777798</v>
      </c>
      <c r="M802" s="2">
        <v>0.35694444444444401</v>
      </c>
      <c r="N802">
        <v>78</v>
      </c>
      <c r="O802" s="2">
        <v>0.32291666666666702</v>
      </c>
      <c r="P802" s="2">
        <v>0.35416666666666702</v>
      </c>
      <c r="Q802" s="2">
        <v>0.35694444444444401</v>
      </c>
      <c r="R802">
        <v>78</v>
      </c>
      <c r="S802">
        <v>45</v>
      </c>
      <c r="T802" s="2">
        <v>0.36012731481481502</v>
      </c>
      <c r="U802" s="2">
        <v>0.39306712962962997</v>
      </c>
      <c r="V802">
        <v>48</v>
      </c>
    </row>
    <row r="803" spans="1:25" ht="15" customHeight="1" x14ac:dyDescent="0.2">
      <c r="A803" s="1">
        <v>46264</v>
      </c>
      <c r="B803" t="s">
        <v>26</v>
      </c>
      <c r="C803" t="s">
        <v>27</v>
      </c>
      <c r="D803" t="s">
        <v>28</v>
      </c>
      <c r="E803" t="s">
        <v>31</v>
      </c>
      <c r="F803" s="2">
        <v>0.36805555555555602</v>
      </c>
      <c r="G803" s="2">
        <v>0.40833333333333299</v>
      </c>
      <c r="H803">
        <v>58</v>
      </c>
      <c r="I803" s="3">
        <v>0.41666666666666702</v>
      </c>
      <c r="J803" s="2">
        <v>0.46180555555555602</v>
      </c>
      <c r="K803">
        <v>65</v>
      </c>
      <c r="L803" s="2">
        <v>0.36805555555555602</v>
      </c>
      <c r="M803" s="2">
        <v>0.40486111111111101</v>
      </c>
      <c r="N803">
        <v>53</v>
      </c>
      <c r="O803" s="2">
        <v>0.38124999999999998</v>
      </c>
      <c r="P803" s="2">
        <v>0.40347222222222201</v>
      </c>
      <c r="Q803" s="2">
        <v>0.40486111111111101</v>
      </c>
      <c r="R803">
        <v>53</v>
      </c>
      <c r="S803">
        <v>32</v>
      </c>
      <c r="T803" s="2">
        <v>0.40827546296296302</v>
      </c>
      <c r="U803" s="2">
        <v>0.43464120370370402</v>
      </c>
      <c r="V803">
        <v>38</v>
      </c>
    </row>
    <row r="804" spans="1:25" ht="15" customHeight="1" x14ac:dyDescent="0.2">
      <c r="A804" s="1">
        <v>46264</v>
      </c>
      <c r="B804" t="s">
        <v>26</v>
      </c>
      <c r="C804" t="s">
        <v>27</v>
      </c>
      <c r="D804" t="s">
        <v>28</v>
      </c>
      <c r="E804" t="s">
        <v>31</v>
      </c>
      <c r="F804" s="2">
        <v>0.41666666666666702</v>
      </c>
      <c r="G804" s="2">
        <v>0.50763888888888897</v>
      </c>
      <c r="H804">
        <v>131</v>
      </c>
      <c r="I804" s="3">
        <v>0.42361111111111099</v>
      </c>
      <c r="J804" s="2">
        <v>0.5</v>
      </c>
      <c r="K804">
        <v>140</v>
      </c>
      <c r="L804" s="2">
        <v>0.41666666666666702</v>
      </c>
      <c r="M804" s="2">
        <v>0.50416666666666698</v>
      </c>
      <c r="N804">
        <v>126</v>
      </c>
      <c r="O804" s="2">
        <v>0.43958333333333299</v>
      </c>
      <c r="P804" s="2">
        <v>0.499305555555556</v>
      </c>
      <c r="Q804" s="2">
        <v>0.50416666666666698</v>
      </c>
      <c r="R804">
        <v>126</v>
      </c>
      <c r="S804">
        <v>86</v>
      </c>
      <c r="T804" s="2">
        <v>0.50545138888888896</v>
      </c>
      <c r="U804" s="2">
        <v>0.529131944444444</v>
      </c>
      <c r="V804">
        <v>34</v>
      </c>
    </row>
    <row r="805" spans="1:25" ht="15" customHeight="1" x14ac:dyDescent="0.2">
      <c r="A805" s="1">
        <v>46264</v>
      </c>
      <c r="B805" t="s">
        <v>42</v>
      </c>
      <c r="C805" t="s">
        <v>43</v>
      </c>
      <c r="D805" t="s">
        <v>28</v>
      </c>
      <c r="E805" t="s">
        <v>35</v>
      </c>
      <c r="F805" s="2">
        <v>0.18263888888888899</v>
      </c>
      <c r="G805" s="2">
        <v>0.242361111111111</v>
      </c>
      <c r="H805">
        <v>86</v>
      </c>
      <c r="I805" s="3">
        <v>0.180555555555556</v>
      </c>
      <c r="J805" s="2">
        <v>0.25</v>
      </c>
      <c r="K805">
        <v>130</v>
      </c>
      <c r="L805" s="2">
        <v>0.18263888888888899</v>
      </c>
      <c r="M805" s="2">
        <v>0.24027777777777801</v>
      </c>
      <c r="N805">
        <v>83</v>
      </c>
      <c r="O805" s="2">
        <v>0.203472222222222</v>
      </c>
      <c r="P805" s="2">
        <v>0.23749999999999999</v>
      </c>
      <c r="Q805" s="2">
        <v>0.24027777777777801</v>
      </c>
      <c r="R805">
        <v>83</v>
      </c>
      <c r="S805">
        <v>49</v>
      </c>
      <c r="T805" s="2">
        <v>0.244050925925926</v>
      </c>
      <c r="U805" s="2">
        <v>0.35081018518518498</v>
      </c>
      <c r="V805">
        <v>154</v>
      </c>
    </row>
    <row r="806" spans="1:25" ht="15" customHeight="1" x14ac:dyDescent="0.2">
      <c r="A806" s="1">
        <v>46264</v>
      </c>
      <c r="B806" t="s">
        <v>26</v>
      </c>
      <c r="C806" t="s">
        <v>27</v>
      </c>
      <c r="D806" t="s">
        <v>28</v>
      </c>
      <c r="E806" t="s">
        <v>31</v>
      </c>
      <c r="F806" s="2">
        <v>0.30625000000000002</v>
      </c>
      <c r="G806" s="2">
        <v>0.34236111111111101</v>
      </c>
      <c r="H806">
        <v>52</v>
      </c>
      <c r="I806" s="3">
        <v>0.3125</v>
      </c>
      <c r="J806" s="2">
        <v>0.34722222222222199</v>
      </c>
      <c r="K806">
        <v>50</v>
      </c>
      <c r="L806" s="2">
        <v>0.30625000000000002</v>
      </c>
      <c r="M806" s="2">
        <v>0.33611111111111103</v>
      </c>
      <c r="N806">
        <v>43</v>
      </c>
      <c r="O806" s="2">
        <v>0.32083333333333303</v>
      </c>
      <c r="P806" s="2">
        <v>0.33263888888888898</v>
      </c>
      <c r="Q806" s="2">
        <v>0.33611111111111103</v>
      </c>
      <c r="R806">
        <v>43</v>
      </c>
      <c r="S806">
        <v>17</v>
      </c>
      <c r="T806" s="2">
        <v>0.33680555555555602</v>
      </c>
      <c r="U806" s="2">
        <v>0.36875000000000002</v>
      </c>
      <c r="V806">
        <v>46</v>
      </c>
    </row>
    <row r="807" spans="1:25" ht="15" customHeight="1" x14ac:dyDescent="0.2">
      <c r="A807" s="1">
        <v>46264</v>
      </c>
      <c r="B807" t="s">
        <v>26</v>
      </c>
      <c r="C807" t="s">
        <v>27</v>
      </c>
      <c r="D807" t="s">
        <v>28</v>
      </c>
      <c r="E807" t="s">
        <v>29</v>
      </c>
      <c r="F807" s="2">
        <v>0.51319444444444395</v>
      </c>
      <c r="G807" s="2">
        <v>0.55000000000000004</v>
      </c>
      <c r="H807">
        <v>53</v>
      </c>
      <c r="I807" s="3">
        <v>0.5</v>
      </c>
      <c r="J807" s="2">
        <v>0.54861111111111105</v>
      </c>
      <c r="K807">
        <v>70</v>
      </c>
      <c r="L807" s="2">
        <v>0.51319444444444395</v>
      </c>
      <c r="M807" s="2">
        <v>0.54652777777777795</v>
      </c>
      <c r="N807">
        <v>48</v>
      </c>
      <c r="O807" s="2">
        <v>0.52430555555555602</v>
      </c>
      <c r="P807" s="2">
        <v>0.54374999999999996</v>
      </c>
      <c r="Q807" s="2">
        <v>0.54652777777777795</v>
      </c>
      <c r="R807">
        <v>48</v>
      </c>
      <c r="S807">
        <v>28</v>
      </c>
      <c r="T807" s="2">
        <v>0.547372685185185</v>
      </c>
      <c r="U807" s="2">
        <v>0.59236111111111101</v>
      </c>
      <c r="V807">
        <v>65</v>
      </c>
    </row>
    <row r="808" spans="1:25" ht="15" customHeight="1" x14ac:dyDescent="0.2">
      <c r="A808" s="1">
        <v>46265</v>
      </c>
      <c r="B808" t="s">
        <v>42</v>
      </c>
      <c r="C808" t="s">
        <v>43</v>
      </c>
      <c r="D808" t="s">
        <v>34</v>
      </c>
      <c r="E808" t="s">
        <v>35</v>
      </c>
      <c r="F808" s="2">
        <v>0.33333333333333298</v>
      </c>
      <c r="G808" s="2">
        <v>0.436805555555556</v>
      </c>
      <c r="H808">
        <v>149</v>
      </c>
      <c r="I808" s="3">
        <v>0.33333333333333298</v>
      </c>
      <c r="J808" s="2">
        <v>0.45833333333333298</v>
      </c>
      <c r="K808">
        <v>180</v>
      </c>
      <c r="L808" s="2">
        <v>0.33333333333333298</v>
      </c>
      <c r="M808" s="2">
        <v>0.43333333333333302</v>
      </c>
      <c r="N808">
        <v>144</v>
      </c>
      <c r="O808" s="2">
        <v>0.35555555555555601</v>
      </c>
      <c r="P808" s="2">
        <v>0.42777777777777798</v>
      </c>
      <c r="Q808" s="2">
        <v>0.43333333333333302</v>
      </c>
      <c r="R808">
        <v>144</v>
      </c>
      <c r="S808">
        <v>104</v>
      </c>
      <c r="T808" s="2">
        <v>0.433958333333333</v>
      </c>
      <c r="U808" s="2">
        <v>0.45763888888888898</v>
      </c>
      <c r="V808">
        <v>35</v>
      </c>
      <c r="W808" s="2">
        <v>0.45833333333333298</v>
      </c>
      <c r="X808" s="2">
        <v>0.50138888888888899</v>
      </c>
      <c r="Y808">
        <v>62</v>
      </c>
    </row>
    <row r="809" spans="1:25" ht="15" customHeight="1" x14ac:dyDescent="0.2">
      <c r="A809" s="1">
        <v>46265</v>
      </c>
      <c r="B809" t="s">
        <v>42</v>
      </c>
      <c r="C809" t="s">
        <v>43</v>
      </c>
      <c r="D809" t="s">
        <v>28</v>
      </c>
      <c r="E809" t="s">
        <v>31</v>
      </c>
      <c r="F809" s="2">
        <v>0.33680555555555602</v>
      </c>
      <c r="G809" s="2">
        <v>0.40138888888888902</v>
      </c>
      <c r="H809">
        <v>93</v>
      </c>
      <c r="I809" s="3">
        <v>0.33333333333333298</v>
      </c>
      <c r="J809" s="2">
        <v>0.41666666666666702</v>
      </c>
      <c r="K809">
        <v>120</v>
      </c>
      <c r="L809" s="2">
        <v>0.33680555555555602</v>
      </c>
      <c r="M809" s="2">
        <v>0.39791666666666697</v>
      </c>
      <c r="N809">
        <v>88</v>
      </c>
      <c r="O809" s="2">
        <v>0.35069444444444398</v>
      </c>
      <c r="P809" s="2">
        <v>0.390972222222222</v>
      </c>
      <c r="Q809" s="2">
        <v>0.39791666666666697</v>
      </c>
      <c r="R809">
        <v>88</v>
      </c>
      <c r="S809">
        <v>58</v>
      </c>
      <c r="T809" s="2">
        <v>0.39930555555555602</v>
      </c>
      <c r="U809" s="2">
        <v>0.469444444444444</v>
      </c>
      <c r="V809">
        <v>101</v>
      </c>
      <c r="W809" s="2">
        <v>0.47013888888888899</v>
      </c>
      <c r="X809" s="2">
        <v>0.48263888888888901</v>
      </c>
      <c r="Y809">
        <v>18</v>
      </c>
    </row>
    <row r="810" spans="1:25" ht="15" customHeight="1" x14ac:dyDescent="0.2">
      <c r="A810" s="1">
        <v>46265</v>
      </c>
      <c r="B810" t="s">
        <v>42</v>
      </c>
      <c r="C810" t="s">
        <v>43</v>
      </c>
      <c r="D810" t="s">
        <v>28</v>
      </c>
      <c r="E810" t="s">
        <v>31</v>
      </c>
      <c r="F810" s="2">
        <v>0.41805555555555601</v>
      </c>
      <c r="G810" s="2">
        <v>0.47013888888888899</v>
      </c>
      <c r="H810">
        <v>75</v>
      </c>
      <c r="I810" s="3">
        <v>0.4375</v>
      </c>
      <c r="J810" s="2">
        <v>0.52083333333333304</v>
      </c>
      <c r="K810">
        <v>120</v>
      </c>
      <c r="L810" s="2">
        <v>0.41805555555555601</v>
      </c>
      <c r="M810" s="2">
        <v>0.46666666666666701</v>
      </c>
      <c r="N810">
        <v>70</v>
      </c>
      <c r="O810" s="2">
        <v>0.43611111111111101</v>
      </c>
      <c r="P810" s="2">
        <v>0.45902777777777798</v>
      </c>
      <c r="Q810" s="2">
        <v>0.46666666666666701</v>
      </c>
      <c r="R810">
        <v>70</v>
      </c>
      <c r="S810">
        <v>33</v>
      </c>
      <c r="T810" s="2">
        <v>0.46878472222222201</v>
      </c>
      <c r="U810" s="2">
        <v>0.561805555555556</v>
      </c>
      <c r="V810">
        <v>134</v>
      </c>
      <c r="W810" s="2">
        <v>0.5625</v>
      </c>
      <c r="X810" s="2">
        <v>0.60069444444444398</v>
      </c>
      <c r="Y810">
        <v>55</v>
      </c>
    </row>
    <row r="811" spans="1:25" ht="15" customHeight="1" x14ac:dyDescent="0.2">
      <c r="A811" s="1">
        <v>46265</v>
      </c>
      <c r="B811" t="s">
        <v>42</v>
      </c>
      <c r="C811" t="s">
        <v>43</v>
      </c>
      <c r="D811" t="s">
        <v>38</v>
      </c>
      <c r="E811" t="s">
        <v>29</v>
      </c>
      <c r="F811" s="2">
        <v>0.45624999999999999</v>
      </c>
      <c r="G811" s="2">
        <v>0.48958333333333298</v>
      </c>
      <c r="H811">
        <v>48</v>
      </c>
      <c r="I811" s="3">
        <v>0.47916666666666702</v>
      </c>
      <c r="J811" s="2">
        <v>0.52083333333333304</v>
      </c>
      <c r="K811">
        <v>60</v>
      </c>
      <c r="L811" s="2">
        <v>0.45624999999999999</v>
      </c>
      <c r="M811" s="2">
        <v>0.48611111111111099</v>
      </c>
      <c r="N811">
        <v>43</v>
      </c>
      <c r="O811" s="2">
        <v>0.469444444444444</v>
      </c>
      <c r="P811" s="2">
        <v>0.483333333333333</v>
      </c>
      <c r="Q811" s="2">
        <v>0.48611111111111099</v>
      </c>
      <c r="R811">
        <v>43</v>
      </c>
      <c r="S811">
        <v>20</v>
      </c>
      <c r="T811" s="2">
        <v>0.48690972222222201</v>
      </c>
      <c r="U811" s="2">
        <v>0.53376157407407399</v>
      </c>
      <c r="V811">
        <v>67</v>
      </c>
      <c r="W811" s="2">
        <v>0.53378472222222195</v>
      </c>
      <c r="X811" s="2">
        <v>0.55000000000000004</v>
      </c>
      <c r="Y811">
        <v>24</v>
      </c>
    </row>
    <row r="812" spans="1:25" ht="15" customHeight="1" x14ac:dyDescent="0.2">
      <c r="A812" s="1">
        <v>46265</v>
      </c>
      <c r="B812" t="s">
        <v>42</v>
      </c>
      <c r="C812" t="s">
        <v>43</v>
      </c>
      <c r="D812" t="s">
        <v>38</v>
      </c>
      <c r="E812" t="s">
        <v>31</v>
      </c>
      <c r="F812" s="2">
        <v>0.33888888888888902</v>
      </c>
      <c r="G812" s="2">
        <v>0.37777777777777799</v>
      </c>
      <c r="H812">
        <v>56</v>
      </c>
      <c r="I812" s="3">
        <v>0.33333333333333298</v>
      </c>
      <c r="J812" s="2">
        <v>0.375</v>
      </c>
      <c r="K812">
        <v>60</v>
      </c>
      <c r="L812" s="2">
        <v>0.33888888888888902</v>
      </c>
      <c r="M812" s="2">
        <v>0.37083333333333302</v>
      </c>
      <c r="N812">
        <v>46</v>
      </c>
      <c r="O812" s="2">
        <v>0.35277777777777802</v>
      </c>
      <c r="P812" s="2">
        <v>0.36805555555555602</v>
      </c>
      <c r="Q812" s="2">
        <v>0.37083333333333302</v>
      </c>
      <c r="R812">
        <v>46</v>
      </c>
      <c r="S812">
        <v>22</v>
      </c>
      <c r="T812" s="2">
        <v>0.37413194444444398</v>
      </c>
      <c r="U812" s="2">
        <v>0.40277777777777801</v>
      </c>
      <c r="V812">
        <v>42</v>
      </c>
      <c r="W812" s="2">
        <v>0.40347222222222201</v>
      </c>
      <c r="X812" s="2">
        <v>0.43125000000000002</v>
      </c>
      <c r="Y812">
        <v>40</v>
      </c>
    </row>
    <row r="813" spans="1:25" ht="15" customHeight="1" x14ac:dyDescent="0.2">
      <c r="A813" s="1">
        <v>46265</v>
      </c>
      <c r="B813" t="s">
        <v>42</v>
      </c>
      <c r="C813" t="s">
        <v>43</v>
      </c>
      <c r="D813" t="s">
        <v>38</v>
      </c>
      <c r="E813" t="s">
        <v>31</v>
      </c>
      <c r="F813" s="2">
        <v>0.51041666666666696</v>
      </c>
      <c r="G813" s="2">
        <v>0.53680555555555598</v>
      </c>
      <c r="H813">
        <v>38</v>
      </c>
      <c r="I813" s="3">
        <v>0.54166666666666696</v>
      </c>
      <c r="J813" s="2">
        <v>0.58333333333333304</v>
      </c>
      <c r="K813">
        <v>60</v>
      </c>
      <c r="L813" s="2">
        <v>0.51041666666666696</v>
      </c>
      <c r="M813" s="2">
        <v>0.53402777777777799</v>
      </c>
      <c r="N813">
        <v>34</v>
      </c>
      <c r="O813" s="2">
        <v>0.52083333333333304</v>
      </c>
      <c r="P813" s="2">
        <v>0.53125</v>
      </c>
      <c r="Q813" s="2">
        <v>0.53402777777777799</v>
      </c>
      <c r="R813">
        <v>34</v>
      </c>
      <c r="S813">
        <v>15</v>
      </c>
      <c r="T813" s="2">
        <v>0.53472222222222199</v>
      </c>
      <c r="U813" s="2">
        <v>0.56018518518518501</v>
      </c>
      <c r="V813">
        <v>36</v>
      </c>
      <c r="W813" s="2">
        <v>0.56020833333333298</v>
      </c>
      <c r="X813" s="2">
        <v>0.56805555555555598</v>
      </c>
      <c r="Y813">
        <v>12</v>
      </c>
    </row>
    <row r="814" spans="1:25" ht="15" customHeight="1" x14ac:dyDescent="0.2">
      <c r="A814" s="1">
        <v>46265</v>
      </c>
      <c r="B814" t="s">
        <v>26</v>
      </c>
      <c r="C814" t="s">
        <v>27</v>
      </c>
      <c r="D814" t="s">
        <v>34</v>
      </c>
      <c r="E814" t="s">
        <v>36</v>
      </c>
      <c r="F814" s="2">
        <v>0.264583333333333</v>
      </c>
      <c r="G814" s="2">
        <v>0.718055555555556</v>
      </c>
      <c r="H814">
        <v>653</v>
      </c>
      <c r="I814" s="3">
        <v>0.26041666666666702</v>
      </c>
      <c r="J814" s="2">
        <v>0.55208333333333304</v>
      </c>
      <c r="K814">
        <v>420</v>
      </c>
      <c r="L814" s="2">
        <v>0.264583333333333</v>
      </c>
      <c r="M814" s="2">
        <v>0.71041666666666703</v>
      </c>
      <c r="N814">
        <v>642</v>
      </c>
      <c r="O814" s="2">
        <v>0.35347222222222202</v>
      </c>
      <c r="P814" s="2">
        <v>0.69722222222222197</v>
      </c>
      <c r="Q814" s="2">
        <v>0.71041666666666703</v>
      </c>
      <c r="R814">
        <v>642</v>
      </c>
      <c r="S814">
        <v>495</v>
      </c>
    </row>
    <row r="815" spans="1:25" ht="15" customHeight="1" x14ac:dyDescent="0.2">
      <c r="A815" s="1">
        <v>46265</v>
      </c>
      <c r="B815" t="s">
        <v>26</v>
      </c>
      <c r="C815" t="s">
        <v>27</v>
      </c>
      <c r="D815" t="s">
        <v>34</v>
      </c>
      <c r="E815" t="s">
        <v>31</v>
      </c>
      <c r="F815" s="2">
        <v>0.33958333333333302</v>
      </c>
      <c r="G815" s="2">
        <v>0.53263888888888899</v>
      </c>
      <c r="H815">
        <v>278</v>
      </c>
      <c r="I815" s="3">
        <v>0.33333333333333298</v>
      </c>
      <c r="J815" s="2">
        <v>0.5</v>
      </c>
      <c r="K815">
        <v>240</v>
      </c>
      <c r="L815" s="2">
        <v>0.33958333333333302</v>
      </c>
      <c r="M815" s="2">
        <v>0.530555555555556</v>
      </c>
      <c r="N815">
        <v>275</v>
      </c>
      <c r="O815" s="2">
        <v>0.36458333333333298</v>
      </c>
      <c r="P815" s="2">
        <v>0.51666666666666705</v>
      </c>
      <c r="Q815" s="2">
        <v>0.530555555555556</v>
      </c>
      <c r="R815">
        <v>275</v>
      </c>
      <c r="S815">
        <v>219</v>
      </c>
      <c r="T815" s="2">
        <v>0.53125</v>
      </c>
      <c r="U815" s="2">
        <v>0.56944444444444398</v>
      </c>
      <c r="V815">
        <v>55</v>
      </c>
    </row>
    <row r="816" spans="1:25" ht="15" customHeight="1" x14ac:dyDescent="0.2">
      <c r="A816" s="1">
        <v>46265</v>
      </c>
      <c r="B816" t="s">
        <v>42</v>
      </c>
      <c r="C816" t="s">
        <v>43</v>
      </c>
      <c r="D816" t="s">
        <v>28</v>
      </c>
      <c r="E816" t="s">
        <v>29</v>
      </c>
      <c r="F816" s="2">
        <v>0.72430555555555598</v>
      </c>
      <c r="G816" s="2">
        <v>0.76111111111111096</v>
      </c>
      <c r="H816">
        <v>53</v>
      </c>
      <c r="I816" s="3">
        <v>0.65625</v>
      </c>
      <c r="J816" s="2">
        <v>0.69791666666666696</v>
      </c>
      <c r="K816">
        <v>60</v>
      </c>
      <c r="L816" s="2">
        <v>0.72430555555555598</v>
      </c>
      <c r="M816" s="2">
        <v>0.75416666666666698</v>
      </c>
      <c r="N816">
        <v>43</v>
      </c>
      <c r="O816" s="2">
        <v>0.73680555555555605</v>
      </c>
      <c r="P816" s="2">
        <v>0.75138888888888899</v>
      </c>
      <c r="Q816" s="2">
        <v>0.75416666666666698</v>
      </c>
      <c r="R816">
        <v>43</v>
      </c>
      <c r="S816">
        <v>21</v>
      </c>
      <c r="T816" s="2">
        <v>0.75694444444444398</v>
      </c>
      <c r="U816" s="2">
        <v>0.781944444444444</v>
      </c>
      <c r="V816">
        <v>36</v>
      </c>
    </row>
    <row r="817" spans="1:25" ht="15" customHeight="1" x14ac:dyDescent="0.2">
      <c r="A817" s="1">
        <v>46265</v>
      </c>
      <c r="B817" t="s">
        <v>42</v>
      </c>
      <c r="C817" t="s">
        <v>43</v>
      </c>
      <c r="D817" t="s">
        <v>28</v>
      </c>
      <c r="E817" t="s">
        <v>31</v>
      </c>
      <c r="F817" s="2">
        <v>0.33541666666666697</v>
      </c>
      <c r="G817" s="2">
        <v>0.50555555555555598</v>
      </c>
      <c r="H817">
        <v>245</v>
      </c>
      <c r="I817" s="3">
        <v>0.33333333333333298</v>
      </c>
      <c r="J817" s="2">
        <v>0.46875</v>
      </c>
      <c r="K817">
        <v>195</v>
      </c>
      <c r="L817" s="2">
        <v>0.33541666666666697</v>
      </c>
      <c r="M817" s="2">
        <v>0.500694444444444</v>
      </c>
      <c r="N817">
        <v>238</v>
      </c>
      <c r="O817" s="2">
        <v>0.36736111111111103</v>
      </c>
      <c r="P817" s="2">
        <v>0.48680555555555599</v>
      </c>
      <c r="Q817" s="2">
        <v>0.500694444444444</v>
      </c>
      <c r="R817">
        <v>238</v>
      </c>
      <c r="S817">
        <v>172</v>
      </c>
      <c r="T817" s="2">
        <v>0.50347222222222199</v>
      </c>
      <c r="U817" s="2">
        <v>0.57222222222222197</v>
      </c>
      <c r="V817">
        <v>99</v>
      </c>
      <c r="W817" s="2">
        <v>0.57291666666666696</v>
      </c>
      <c r="X817" s="2">
        <v>0.62986111111111098</v>
      </c>
      <c r="Y817">
        <v>82</v>
      </c>
    </row>
    <row r="818" spans="1:25" ht="15" customHeight="1" x14ac:dyDescent="0.2">
      <c r="A818" s="1">
        <v>46265</v>
      </c>
      <c r="B818" t="s">
        <v>42</v>
      </c>
      <c r="C818" t="s">
        <v>43</v>
      </c>
      <c r="D818" t="s">
        <v>28</v>
      </c>
      <c r="E818" t="s">
        <v>31</v>
      </c>
      <c r="F818" s="2">
        <v>0.33333333333333298</v>
      </c>
      <c r="G818" s="2">
        <v>0.53125</v>
      </c>
      <c r="H818">
        <v>285</v>
      </c>
      <c r="I818" s="3">
        <v>0.33333333333333298</v>
      </c>
      <c r="J818" s="2">
        <v>0.58333333333333304</v>
      </c>
      <c r="K818">
        <v>360</v>
      </c>
      <c r="L818" s="2">
        <v>0.33333333333333298</v>
      </c>
      <c r="M818" s="2">
        <v>0.52638888888888902</v>
      </c>
      <c r="N818">
        <v>278</v>
      </c>
      <c r="O818" s="2">
        <v>0.35347222222222202</v>
      </c>
      <c r="P818" s="2">
        <v>0.51944444444444404</v>
      </c>
      <c r="Q818" s="2">
        <v>0.52638888888888902</v>
      </c>
      <c r="R818">
        <v>278</v>
      </c>
      <c r="S818">
        <v>239</v>
      </c>
      <c r="T818" s="2">
        <v>0.52964120370370404</v>
      </c>
      <c r="U818" s="2">
        <v>0.57361111111111096</v>
      </c>
      <c r="V818">
        <v>64</v>
      </c>
    </row>
    <row r="819" spans="1:25" ht="15" customHeight="1" x14ac:dyDescent="0.2">
      <c r="A819" s="1">
        <v>46265</v>
      </c>
      <c r="B819" t="s">
        <v>26</v>
      </c>
      <c r="C819" t="s">
        <v>27</v>
      </c>
      <c r="D819" t="s">
        <v>34</v>
      </c>
      <c r="E819" t="s">
        <v>29</v>
      </c>
      <c r="F819" s="2">
        <v>0.561805555555556</v>
      </c>
      <c r="G819" s="2">
        <v>0.71458333333333302</v>
      </c>
      <c r="H819">
        <v>220</v>
      </c>
      <c r="I819" s="3">
        <v>0.53125</v>
      </c>
      <c r="J819" s="2">
        <v>0.65625</v>
      </c>
      <c r="K819">
        <v>180</v>
      </c>
      <c r="L819" s="2">
        <v>0.561805555555556</v>
      </c>
      <c r="M819" s="2">
        <v>0.71041666666666703</v>
      </c>
      <c r="N819">
        <v>214</v>
      </c>
      <c r="O819" s="2">
        <v>0.59861111111111098</v>
      </c>
      <c r="P819" s="2">
        <v>0.69652777777777797</v>
      </c>
      <c r="Q819" s="2">
        <v>0.71041666666666703</v>
      </c>
      <c r="R819">
        <v>214</v>
      </c>
      <c r="S819">
        <v>141</v>
      </c>
      <c r="T819" s="2">
        <v>0.71319444444444402</v>
      </c>
      <c r="U819" s="2">
        <v>0.8125</v>
      </c>
      <c r="V819">
        <v>143</v>
      </c>
    </row>
    <row r="820" spans="1:25" ht="15" customHeight="1" x14ac:dyDescent="0.2">
      <c r="A820" s="1">
        <v>46265</v>
      </c>
      <c r="B820" t="s">
        <v>42</v>
      </c>
      <c r="C820" t="s">
        <v>43</v>
      </c>
      <c r="D820" t="s">
        <v>28</v>
      </c>
      <c r="F820" s="2">
        <v>0.52847222222222201</v>
      </c>
      <c r="I820" s="3">
        <v>0.48958333333333298</v>
      </c>
      <c r="J820" s="2">
        <v>0.54166666666666696</v>
      </c>
      <c r="K820">
        <v>75</v>
      </c>
      <c r="L820" s="2">
        <v>0.52847222222222201</v>
      </c>
      <c r="M820" s="2">
        <v>0.57916666666666705</v>
      </c>
      <c r="N820">
        <v>73</v>
      </c>
      <c r="O820" s="2">
        <v>0.55347222222222203</v>
      </c>
      <c r="P820" s="2">
        <v>0.56805555555555598</v>
      </c>
      <c r="Q820" s="2">
        <v>0.57916666666666705</v>
      </c>
      <c r="R820">
        <v>73</v>
      </c>
      <c r="S820">
        <v>21</v>
      </c>
      <c r="T820" s="2">
        <v>0.57921296296296299</v>
      </c>
      <c r="U820" s="2">
        <v>0.64305555555555605</v>
      </c>
      <c r="V820">
        <v>92</v>
      </c>
      <c r="W820" s="2">
        <v>0.64375000000000004</v>
      </c>
      <c r="X820" s="2">
        <v>0.72361111111111098</v>
      </c>
      <c r="Y820">
        <v>115</v>
      </c>
    </row>
    <row r="821" spans="1:25" ht="15" customHeight="1" x14ac:dyDescent="0.2">
      <c r="A821" s="1">
        <v>46265</v>
      </c>
      <c r="B821" t="s">
        <v>26</v>
      </c>
      <c r="C821" t="s">
        <v>27</v>
      </c>
      <c r="D821" t="s">
        <v>28</v>
      </c>
      <c r="E821" t="s">
        <v>36</v>
      </c>
      <c r="F821" s="2">
        <v>0.61527777777777803</v>
      </c>
      <c r="G821" s="2">
        <v>0.67847222222222203</v>
      </c>
      <c r="H821">
        <v>91</v>
      </c>
      <c r="I821" s="3">
        <v>0.60416666666666696</v>
      </c>
      <c r="J821" s="2">
        <v>0.70833333333333304</v>
      </c>
      <c r="K821">
        <v>150</v>
      </c>
      <c r="L821" s="2">
        <v>0.61527777777777803</v>
      </c>
      <c r="M821" s="2">
        <v>0.67291666666666705</v>
      </c>
      <c r="N821">
        <v>83</v>
      </c>
      <c r="O821" s="2">
        <v>0.63541666666666696</v>
      </c>
      <c r="P821" s="2">
        <v>0.67083333333333295</v>
      </c>
      <c r="Q821" s="2">
        <v>0.67291666666666705</v>
      </c>
      <c r="R821">
        <v>83</v>
      </c>
      <c r="S821">
        <v>51</v>
      </c>
      <c r="T821" s="2">
        <v>0.67386574074074101</v>
      </c>
      <c r="U821" s="2">
        <v>0.69861111111111096</v>
      </c>
      <c r="V821">
        <v>36</v>
      </c>
    </row>
    <row r="822" spans="1:25" ht="15" customHeight="1" x14ac:dyDescent="0.2">
      <c r="A822" s="1">
        <v>46265</v>
      </c>
      <c r="B822" t="s">
        <v>26</v>
      </c>
      <c r="C822" t="s">
        <v>27</v>
      </c>
      <c r="D822" t="s">
        <v>34</v>
      </c>
      <c r="E822" t="s">
        <v>31</v>
      </c>
      <c r="F822" s="2">
        <v>0.47916666666666702</v>
      </c>
      <c r="G822" s="2">
        <v>0.60694444444444395</v>
      </c>
      <c r="H822">
        <v>184</v>
      </c>
      <c r="I822" s="3">
        <v>0.41666666666666702</v>
      </c>
      <c r="J822" s="2">
        <v>0.48958333333333298</v>
      </c>
      <c r="K822">
        <v>105</v>
      </c>
      <c r="L822" s="2">
        <v>0.47916666666666702</v>
      </c>
      <c r="M822" s="2">
        <v>0.6</v>
      </c>
      <c r="N822">
        <v>174</v>
      </c>
      <c r="O822" s="2">
        <v>0.49791666666666701</v>
      </c>
      <c r="P822" s="2">
        <v>0.593055555555556</v>
      </c>
      <c r="Q822" s="2">
        <v>0.6</v>
      </c>
      <c r="R822">
        <v>174</v>
      </c>
      <c r="S822">
        <v>137</v>
      </c>
      <c r="T822" s="2">
        <v>0.60138888888888897</v>
      </c>
      <c r="U822" s="2">
        <v>0.62847222222222199</v>
      </c>
      <c r="V822">
        <v>39</v>
      </c>
    </row>
    <row r="823" spans="1:25" ht="15" customHeight="1" x14ac:dyDescent="0.2">
      <c r="A823" s="1">
        <v>46265</v>
      </c>
      <c r="B823" t="s">
        <v>26</v>
      </c>
      <c r="C823" t="s">
        <v>27</v>
      </c>
      <c r="D823" t="s">
        <v>34</v>
      </c>
      <c r="E823" t="s">
        <v>31</v>
      </c>
      <c r="F823" s="2">
        <v>0.33333333333333298</v>
      </c>
      <c r="G823" s="2">
        <v>0.45972222222222198</v>
      </c>
      <c r="H823">
        <v>182</v>
      </c>
      <c r="I823" s="3">
        <v>0.33333333333333298</v>
      </c>
      <c r="J823" s="2">
        <v>0.39583333333333298</v>
      </c>
      <c r="K823">
        <v>90</v>
      </c>
      <c r="L823" s="2">
        <v>0.33333333333333298</v>
      </c>
      <c r="M823" s="2">
        <v>0.453472222222222</v>
      </c>
      <c r="N823">
        <v>173</v>
      </c>
      <c r="O823" s="2">
        <v>0.35625000000000001</v>
      </c>
      <c r="P823" s="2">
        <v>0.44861111111111102</v>
      </c>
      <c r="Q823" s="2">
        <v>0.453472222222222</v>
      </c>
      <c r="R823">
        <v>173</v>
      </c>
      <c r="S823">
        <v>133</v>
      </c>
      <c r="T823" s="2">
        <v>0.45486111111111099</v>
      </c>
      <c r="U823" s="2">
        <v>0.48888888888888898</v>
      </c>
      <c r="V823">
        <v>49</v>
      </c>
    </row>
    <row r="824" spans="1:25" ht="15" customHeight="1" x14ac:dyDescent="0.2">
      <c r="A824" s="1">
        <v>46265</v>
      </c>
      <c r="B824" t="s">
        <v>26</v>
      </c>
      <c r="C824" t="s">
        <v>27</v>
      </c>
      <c r="D824" t="s">
        <v>28</v>
      </c>
      <c r="E824" t="s">
        <v>31</v>
      </c>
      <c r="F824" s="2">
        <v>0.49652777777777801</v>
      </c>
      <c r="G824" s="2">
        <v>0.5625</v>
      </c>
      <c r="H824">
        <v>95</v>
      </c>
      <c r="I824" s="3">
        <v>0.5</v>
      </c>
      <c r="J824" s="2">
        <v>0.57638888888888895</v>
      </c>
      <c r="K824">
        <v>110</v>
      </c>
      <c r="L824" s="2">
        <v>0.49652777777777801</v>
      </c>
      <c r="M824" s="2">
        <v>0.56041666666666701</v>
      </c>
      <c r="N824">
        <v>92</v>
      </c>
      <c r="O824" s="2">
        <v>0.51249999999999996</v>
      </c>
      <c r="P824" s="2">
        <v>0.55555555555555602</v>
      </c>
      <c r="Q824" s="2">
        <v>0.56041666666666701</v>
      </c>
      <c r="R824">
        <v>92</v>
      </c>
      <c r="S824">
        <v>62</v>
      </c>
      <c r="T824" s="2">
        <v>0.56251157407407404</v>
      </c>
      <c r="U824" s="2">
        <v>0.60138888888888897</v>
      </c>
      <c r="V824">
        <v>56</v>
      </c>
    </row>
    <row r="825" spans="1:25" ht="15" customHeight="1" x14ac:dyDescent="0.2">
      <c r="A825" s="1">
        <v>46265</v>
      </c>
      <c r="B825" t="s">
        <v>26</v>
      </c>
      <c r="C825" t="s">
        <v>27</v>
      </c>
      <c r="D825" t="s">
        <v>34</v>
      </c>
      <c r="E825" t="s">
        <v>29</v>
      </c>
      <c r="F825" s="2">
        <v>0.43263888888888902</v>
      </c>
      <c r="G825" s="2">
        <v>0.50347222222222199</v>
      </c>
      <c r="H825">
        <v>102</v>
      </c>
      <c r="I825" s="3">
        <v>0.39236111111111099</v>
      </c>
      <c r="J825" s="2">
        <v>0.46180555555555602</v>
      </c>
      <c r="K825">
        <v>130</v>
      </c>
      <c r="L825" s="2">
        <v>0.43263888888888902</v>
      </c>
      <c r="M825" s="2">
        <v>0.49861111111111101</v>
      </c>
      <c r="N825">
        <v>95</v>
      </c>
      <c r="O825" s="2">
        <v>0.452083333333333</v>
      </c>
      <c r="P825" s="2">
        <v>0.49375000000000002</v>
      </c>
      <c r="Q825" s="2">
        <v>0.49861111111111101</v>
      </c>
      <c r="R825">
        <v>95</v>
      </c>
      <c r="S825">
        <v>60</v>
      </c>
      <c r="T825" s="2">
        <v>0.5</v>
      </c>
      <c r="U825" s="2">
        <v>0.53125</v>
      </c>
      <c r="V825">
        <v>45</v>
      </c>
    </row>
    <row r="826" spans="1:25" ht="15" customHeight="1" x14ac:dyDescent="0.2">
      <c r="A826" s="1">
        <v>46265</v>
      </c>
      <c r="B826" t="s">
        <v>26</v>
      </c>
      <c r="C826" t="s">
        <v>27</v>
      </c>
      <c r="D826" t="s">
        <v>28</v>
      </c>
      <c r="E826" t="s">
        <v>29</v>
      </c>
      <c r="F826" s="2">
        <v>0.56388888888888899</v>
      </c>
      <c r="G826" s="2">
        <v>0.65208333333333302</v>
      </c>
      <c r="H826">
        <v>127</v>
      </c>
      <c r="I826" s="3">
        <v>0.54166666666666696</v>
      </c>
      <c r="J826" s="2">
        <v>0.63888888888888895</v>
      </c>
      <c r="K826">
        <v>170</v>
      </c>
      <c r="L826" s="2">
        <v>0.56388888888888899</v>
      </c>
      <c r="M826" s="2">
        <v>0.64236111111111105</v>
      </c>
      <c r="N826">
        <v>113</v>
      </c>
      <c r="O826" s="2">
        <v>0.58541666666666703</v>
      </c>
      <c r="P826" s="2">
        <v>0.62638888888888899</v>
      </c>
      <c r="Q826" s="2">
        <v>0.64236111111111105</v>
      </c>
      <c r="R826">
        <v>113</v>
      </c>
      <c r="S826">
        <v>59</v>
      </c>
    </row>
    <row r="827" spans="1:25" ht="15" customHeight="1" x14ac:dyDescent="0.2">
      <c r="A827" s="1">
        <v>46265</v>
      </c>
      <c r="B827" t="s">
        <v>26</v>
      </c>
      <c r="C827" t="s">
        <v>27</v>
      </c>
      <c r="D827" t="s">
        <v>28</v>
      </c>
      <c r="E827" t="s">
        <v>31</v>
      </c>
      <c r="F827" s="2">
        <v>0.76805555555555605</v>
      </c>
      <c r="G827" s="2">
        <v>0.81874999999999998</v>
      </c>
      <c r="H827">
        <v>73</v>
      </c>
      <c r="I827" s="3">
        <v>0.72916666666666696</v>
      </c>
      <c r="J827" s="2">
        <v>0.77430555555555602</v>
      </c>
      <c r="K827">
        <v>95</v>
      </c>
      <c r="L827" s="2">
        <v>0.76805555555555605</v>
      </c>
      <c r="M827" s="2">
        <v>0.811805555555556</v>
      </c>
      <c r="N827">
        <v>63</v>
      </c>
      <c r="O827" s="2">
        <v>0.79097222222222197</v>
      </c>
      <c r="P827" s="2">
        <v>0.80902777777777801</v>
      </c>
      <c r="Q827" s="2">
        <v>0.811805555555556</v>
      </c>
      <c r="R827">
        <v>63</v>
      </c>
      <c r="S827">
        <v>26</v>
      </c>
      <c r="T827" s="2">
        <v>0.81312499999999999</v>
      </c>
      <c r="U827" s="2">
        <v>0.83958333333333302</v>
      </c>
      <c r="V827">
        <v>39</v>
      </c>
    </row>
    <row r="828" spans="1:25" ht="15" customHeight="1" x14ac:dyDescent="0.2">
      <c r="A828" s="1">
        <v>46265</v>
      </c>
      <c r="B828" t="s">
        <v>26</v>
      </c>
      <c r="C828" t="s">
        <v>27</v>
      </c>
      <c r="D828" t="s">
        <v>34</v>
      </c>
      <c r="E828" t="s">
        <v>29</v>
      </c>
      <c r="F828" s="2">
        <v>0.83055555555555605</v>
      </c>
      <c r="G828" s="2">
        <v>0.93055555555555602</v>
      </c>
      <c r="H828">
        <v>144</v>
      </c>
      <c r="I828" s="3">
        <v>0.8125</v>
      </c>
      <c r="J828" s="2">
        <v>0.89236111111111105</v>
      </c>
      <c r="K828">
        <v>145</v>
      </c>
      <c r="L828" s="2">
        <v>0.83055555555555605</v>
      </c>
      <c r="M828" s="2">
        <v>0.92361111111111105</v>
      </c>
      <c r="N828">
        <v>134</v>
      </c>
      <c r="O828" s="2">
        <v>0.84375</v>
      </c>
      <c r="P828" s="2">
        <v>0.91180555555555598</v>
      </c>
      <c r="Q828" s="2">
        <v>0.92361111111111105</v>
      </c>
      <c r="R828">
        <v>134</v>
      </c>
      <c r="S828">
        <v>98</v>
      </c>
      <c r="T828" s="2">
        <v>0.92723379629629599</v>
      </c>
      <c r="U828" s="2">
        <v>0.96666666666666701</v>
      </c>
      <c r="V828">
        <v>57</v>
      </c>
    </row>
    <row r="829" spans="1:25" ht="15" customHeight="1" x14ac:dyDescent="0.2">
      <c r="A829" s="1">
        <v>46265</v>
      </c>
      <c r="B829" t="s">
        <v>26</v>
      </c>
      <c r="C829" t="s">
        <v>27</v>
      </c>
      <c r="D829" t="s">
        <v>34</v>
      </c>
      <c r="E829" t="s">
        <v>36</v>
      </c>
      <c r="F829" s="2">
        <v>0.82361111111111096</v>
      </c>
      <c r="G829" s="2">
        <v>0.91249999999999998</v>
      </c>
      <c r="H829">
        <v>128</v>
      </c>
      <c r="I829" s="3">
        <v>0.83333333333333304</v>
      </c>
      <c r="J829" s="2">
        <v>1.0416666666666701E-2</v>
      </c>
      <c r="K829">
        <v>285</v>
      </c>
      <c r="L829" s="2">
        <v>0.82361111111111096</v>
      </c>
      <c r="M829" s="2">
        <v>0.90833333333333299</v>
      </c>
      <c r="N829">
        <v>122</v>
      </c>
      <c r="O829" s="2">
        <v>0.85069444444444398</v>
      </c>
      <c r="P829" s="2">
        <v>0.90416666666666701</v>
      </c>
      <c r="Q829" s="2">
        <v>0.90833333333333299</v>
      </c>
      <c r="R829">
        <v>122</v>
      </c>
      <c r="S829">
        <v>77</v>
      </c>
      <c r="T829" s="2">
        <v>0.90972222222222199</v>
      </c>
      <c r="U829" s="2">
        <v>1.83796296296296E-2</v>
      </c>
      <c r="V829">
        <v>156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03E15-A3BD-4366-8892-D11DFF499491}">
  <dimension ref="A1:K17"/>
  <sheetViews>
    <sheetView workbookViewId="0">
      <pane ySplit="1" topLeftCell="A2" activePane="bottomLeft" state="frozen"/>
      <selection pane="bottomLeft" activeCell="S19" sqref="S19"/>
    </sheetView>
  </sheetViews>
  <sheetFormatPr baseColWidth="10" defaultColWidth="8.83203125" defaultRowHeight="15" customHeight="1" x14ac:dyDescent="0.2"/>
  <cols>
    <col min="1" max="1" width="9.33203125" bestFit="1" customWidth="1"/>
    <col min="9" max="9" width="11" bestFit="1" customWidth="1"/>
  </cols>
  <sheetData>
    <row r="1" spans="1:11" ht="15" customHeight="1" x14ac:dyDescent="0.2">
      <c r="A1" t="s">
        <v>0</v>
      </c>
      <c r="B1" t="s">
        <v>1</v>
      </c>
      <c r="C1" t="s">
        <v>2</v>
      </c>
      <c r="D1" t="s">
        <v>3</v>
      </c>
      <c r="E1" t="s">
        <v>4</v>
      </c>
      <c r="F1" t="s">
        <v>5</v>
      </c>
      <c r="G1" t="s">
        <v>6</v>
      </c>
      <c r="H1" t="s">
        <v>7</v>
      </c>
      <c r="I1" t="s">
        <v>8</v>
      </c>
      <c r="J1" t="s">
        <v>9</v>
      </c>
      <c r="K1" t="s">
        <v>10</v>
      </c>
    </row>
    <row r="2" spans="1:11" ht="15" customHeight="1" x14ac:dyDescent="0.2">
      <c r="A2" s="1">
        <v>46236</v>
      </c>
      <c r="B2" t="s">
        <v>26</v>
      </c>
      <c r="C2" t="s">
        <v>27</v>
      </c>
      <c r="D2" t="s">
        <v>28</v>
      </c>
      <c r="K2">
        <v>80</v>
      </c>
    </row>
    <row r="3" spans="1:11" ht="15" customHeight="1" x14ac:dyDescent="0.2">
      <c r="A3" s="1">
        <v>46237</v>
      </c>
      <c r="B3" t="s">
        <v>48</v>
      </c>
      <c r="C3" t="s">
        <v>27</v>
      </c>
      <c r="D3" t="s">
        <v>28</v>
      </c>
      <c r="K3">
        <v>60</v>
      </c>
    </row>
    <row r="4" spans="1:11" ht="15" customHeight="1" x14ac:dyDescent="0.2">
      <c r="A4" s="1">
        <v>46238</v>
      </c>
      <c r="B4" t="s">
        <v>26</v>
      </c>
      <c r="C4" t="s">
        <v>27</v>
      </c>
      <c r="D4" t="s">
        <v>28</v>
      </c>
      <c r="I4" s="3">
        <v>0.60416666666666696</v>
      </c>
      <c r="K4">
        <v>125</v>
      </c>
    </row>
    <row r="5" spans="1:11" ht="15" customHeight="1" x14ac:dyDescent="0.2">
      <c r="A5" s="1">
        <v>46238</v>
      </c>
      <c r="B5" t="s">
        <v>26</v>
      </c>
      <c r="C5" t="s">
        <v>27</v>
      </c>
      <c r="D5" t="s">
        <v>28</v>
      </c>
      <c r="I5" s="3">
        <v>0.58333333333333304</v>
      </c>
      <c r="K5">
        <v>120</v>
      </c>
    </row>
    <row r="6" spans="1:11" ht="15" customHeight="1" x14ac:dyDescent="0.2">
      <c r="A6" s="1">
        <v>46244</v>
      </c>
      <c r="B6" t="s">
        <v>26</v>
      </c>
      <c r="C6" t="s">
        <v>27</v>
      </c>
      <c r="D6" t="s">
        <v>28</v>
      </c>
      <c r="I6" s="3">
        <v>0.79166666666666696</v>
      </c>
      <c r="K6">
        <v>85</v>
      </c>
    </row>
    <row r="7" spans="1:11" ht="15" customHeight="1" x14ac:dyDescent="0.2">
      <c r="A7" s="1">
        <v>46246</v>
      </c>
      <c r="B7" t="s">
        <v>26</v>
      </c>
      <c r="C7" t="s">
        <v>27</v>
      </c>
      <c r="D7" t="s">
        <v>28</v>
      </c>
      <c r="I7" s="3">
        <v>0.45833333333333298</v>
      </c>
      <c r="K7">
        <v>100</v>
      </c>
    </row>
    <row r="8" spans="1:11" ht="15" customHeight="1" x14ac:dyDescent="0.2">
      <c r="A8" s="1">
        <v>46247</v>
      </c>
      <c r="B8" t="s">
        <v>26</v>
      </c>
      <c r="C8" t="s">
        <v>27</v>
      </c>
      <c r="D8" t="s">
        <v>28</v>
      </c>
      <c r="I8" s="3">
        <v>0.79166666666666696</v>
      </c>
      <c r="K8">
        <v>90</v>
      </c>
    </row>
    <row r="9" spans="1:11" ht="15" customHeight="1" x14ac:dyDescent="0.2">
      <c r="A9" s="1">
        <v>46251</v>
      </c>
      <c r="B9" t="s">
        <v>26</v>
      </c>
      <c r="C9" t="s">
        <v>27</v>
      </c>
      <c r="D9" t="s">
        <v>28</v>
      </c>
      <c r="I9" s="3">
        <v>0.67708333333333304</v>
      </c>
      <c r="K9">
        <v>120</v>
      </c>
    </row>
    <row r="10" spans="1:11" ht="15" customHeight="1" x14ac:dyDescent="0.2">
      <c r="A10" s="1">
        <v>46253</v>
      </c>
      <c r="B10" t="s">
        <v>26</v>
      </c>
      <c r="C10" t="s">
        <v>27</v>
      </c>
      <c r="D10" t="s">
        <v>28</v>
      </c>
      <c r="I10" s="3">
        <v>0.43055555555555602</v>
      </c>
      <c r="K10">
        <v>60</v>
      </c>
    </row>
    <row r="11" spans="1:11" ht="15" customHeight="1" x14ac:dyDescent="0.2">
      <c r="A11" s="1">
        <v>46254</v>
      </c>
      <c r="B11" t="s">
        <v>26</v>
      </c>
      <c r="C11" t="s">
        <v>27</v>
      </c>
      <c r="D11" t="s">
        <v>28</v>
      </c>
      <c r="I11" s="3">
        <v>0.51041666666666696</v>
      </c>
      <c r="K11">
        <v>60</v>
      </c>
    </row>
    <row r="12" spans="1:11" ht="15" customHeight="1" x14ac:dyDescent="0.2">
      <c r="A12" s="1">
        <v>46254</v>
      </c>
      <c r="B12" t="s">
        <v>26</v>
      </c>
      <c r="C12" t="s">
        <v>27</v>
      </c>
      <c r="D12" t="s">
        <v>28</v>
      </c>
      <c r="I12" s="3">
        <v>0.47916666666666702</v>
      </c>
      <c r="K12">
        <v>125</v>
      </c>
    </row>
    <row r="13" spans="1:11" ht="15" customHeight="1" x14ac:dyDescent="0.2">
      <c r="A13" s="1">
        <v>46258</v>
      </c>
      <c r="B13" t="s">
        <v>42</v>
      </c>
      <c r="C13" t="s">
        <v>43</v>
      </c>
      <c r="D13" t="s">
        <v>28</v>
      </c>
      <c r="I13" s="3">
        <v>0.33333333333333298</v>
      </c>
      <c r="K13">
        <v>105</v>
      </c>
    </row>
    <row r="14" spans="1:11" ht="15" customHeight="1" x14ac:dyDescent="0.2">
      <c r="A14" s="1">
        <v>46259</v>
      </c>
      <c r="B14" t="s">
        <v>26</v>
      </c>
      <c r="C14" t="s">
        <v>27</v>
      </c>
      <c r="D14" t="s">
        <v>28</v>
      </c>
      <c r="E14" t="s">
        <v>29</v>
      </c>
      <c r="I14" s="3">
        <v>0.875</v>
      </c>
      <c r="K14">
        <v>240</v>
      </c>
    </row>
    <row r="15" spans="1:11" ht="15" customHeight="1" x14ac:dyDescent="0.2">
      <c r="A15" s="1">
        <v>46261</v>
      </c>
      <c r="B15" t="s">
        <v>26</v>
      </c>
      <c r="C15" t="s">
        <v>27</v>
      </c>
      <c r="D15" t="s">
        <v>28</v>
      </c>
      <c r="I15" s="3">
        <v>0.71875</v>
      </c>
      <c r="K15">
        <v>60</v>
      </c>
    </row>
    <row r="16" spans="1:11" ht="15" customHeight="1" x14ac:dyDescent="0.2">
      <c r="A16" s="1">
        <v>46261</v>
      </c>
      <c r="B16" t="s">
        <v>26</v>
      </c>
      <c r="C16" t="s">
        <v>27</v>
      </c>
      <c r="D16" t="s">
        <v>28</v>
      </c>
      <c r="I16" s="3">
        <v>0.8125</v>
      </c>
      <c r="K16">
        <v>60</v>
      </c>
    </row>
    <row r="17" spans="1:11" ht="15" customHeight="1" x14ac:dyDescent="0.2">
      <c r="A17" s="1">
        <v>46265</v>
      </c>
      <c r="B17" t="s">
        <v>42</v>
      </c>
      <c r="C17" t="s">
        <v>43</v>
      </c>
      <c r="D17" t="s">
        <v>28</v>
      </c>
      <c r="I17" s="3">
        <v>0.69791666666666696</v>
      </c>
      <c r="K17">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43D35-9293-40F5-A367-E47CE2D240C3}">
  <dimension ref="A3:E5"/>
  <sheetViews>
    <sheetView workbookViewId="0">
      <selection activeCell="I26" sqref="I26"/>
    </sheetView>
  </sheetViews>
  <sheetFormatPr baseColWidth="10" defaultColWidth="8.83203125" defaultRowHeight="15" x14ac:dyDescent="0.2"/>
  <cols>
    <col min="1" max="1" width="13.6640625" bestFit="1" customWidth="1"/>
    <col min="2" max="2" width="15.5" bestFit="1" customWidth="1"/>
    <col min="3" max="3" width="4" bestFit="1" customWidth="1"/>
    <col min="4" max="4" width="7" hidden="1" customWidth="1"/>
    <col min="5" max="5" width="10.5" bestFit="1" customWidth="1"/>
  </cols>
  <sheetData>
    <row r="3" spans="1:5" x14ac:dyDescent="0.2">
      <c r="B3" s="4" t="s">
        <v>54</v>
      </c>
    </row>
    <row r="4" spans="1:5" x14ac:dyDescent="0.2">
      <c r="B4" s="5" t="s">
        <v>27</v>
      </c>
      <c r="C4" s="5" t="s">
        <v>43</v>
      </c>
      <c r="D4" s="5" t="s">
        <v>55</v>
      </c>
      <c r="E4" s="5" t="s">
        <v>56</v>
      </c>
    </row>
    <row r="5" spans="1:5" x14ac:dyDescent="0.2">
      <c r="A5" t="s">
        <v>53</v>
      </c>
      <c r="B5" s="5">
        <v>449</v>
      </c>
      <c r="C5" s="5">
        <v>379</v>
      </c>
      <c r="D5" s="5"/>
      <c r="E5" s="5">
        <v>828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AB0C7-93C0-4DA9-AEBB-7904B1030F88}">
  <dimension ref="A3:E7"/>
  <sheetViews>
    <sheetView workbookViewId="0">
      <selection activeCell="C24" sqref="C24"/>
    </sheetView>
  </sheetViews>
  <sheetFormatPr baseColWidth="10" defaultColWidth="8.83203125" defaultRowHeight="15" x14ac:dyDescent="0.2"/>
  <cols>
    <col min="1" max="1" width="18.33203125" bestFit="1" customWidth="1"/>
    <col min="2" max="2" width="15.5" bestFit="1" customWidth="1"/>
    <col min="3" max="3" width="6" bestFit="1" customWidth="1"/>
    <col min="4" max="4" width="7" hidden="1" customWidth="1"/>
    <col min="5" max="5" width="10.5" bestFit="1" customWidth="1"/>
  </cols>
  <sheetData>
    <row r="3" spans="1:5" x14ac:dyDescent="0.2">
      <c r="B3" s="4" t="s">
        <v>54</v>
      </c>
    </row>
    <row r="4" spans="1:5" x14ac:dyDescent="0.2">
      <c r="B4" s="5" t="s">
        <v>27</v>
      </c>
      <c r="C4" s="5" t="s">
        <v>43</v>
      </c>
      <c r="D4" s="5" t="s">
        <v>55</v>
      </c>
      <c r="E4" s="5" t="s">
        <v>56</v>
      </c>
    </row>
    <row r="5" spans="1:5" x14ac:dyDescent="0.2">
      <c r="A5" t="s">
        <v>57</v>
      </c>
      <c r="B5" s="5">
        <v>67084</v>
      </c>
      <c r="C5" s="5">
        <v>32707</v>
      </c>
      <c r="D5" s="5"/>
      <c r="E5" s="5">
        <v>99791</v>
      </c>
    </row>
    <row r="7" spans="1:5" x14ac:dyDescent="0.2">
      <c r="A7" s="6" t="s">
        <v>58</v>
      </c>
      <c r="B7" s="7">
        <f>SUM(GETPIVOTDATA("Actual Length",$A$3,"Base Class","IP")/60)</f>
        <v>1118.0666666666666</v>
      </c>
      <c r="C7" s="7">
        <f>SUM(GETPIVOTDATA("Actual Length",$A$3,"Base Class","OP")/60)</f>
        <v>545.11666666666667</v>
      </c>
      <c r="D7" s="8"/>
      <c r="E7" s="7">
        <f>SUM(GETPIVOTDATA("Actual Length",$A$3)/60)</f>
        <v>1663.1833333333334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9F20A-C0AC-44E4-AEAA-27D20CC7A777}">
  <dimension ref="A1:K809"/>
  <sheetViews>
    <sheetView workbookViewId="0">
      <pane ySplit="1" topLeftCell="A2" activePane="bottomLeft" state="frozen"/>
      <selection pane="bottomLeft" activeCell="R20" sqref="R20"/>
    </sheetView>
  </sheetViews>
  <sheetFormatPr baseColWidth="10" defaultColWidth="8.83203125" defaultRowHeight="15" customHeight="1" x14ac:dyDescent="0.2"/>
  <cols>
    <col min="1" max="1" width="9.33203125" style="9" bestFit="1" customWidth="1"/>
    <col min="2" max="3" width="8.83203125" style="9"/>
    <col min="4" max="4" width="8.83203125" style="18"/>
    <col min="5" max="6" width="8.83203125" style="9"/>
    <col min="7" max="7" width="8.83203125" style="18"/>
    <col min="8" max="9" width="8.83203125" style="9"/>
    <col min="10" max="10" width="8.83203125" style="18"/>
    <col min="11" max="16384" width="8.83203125" style="9"/>
  </cols>
  <sheetData>
    <row r="1" spans="1:11" ht="15" customHeight="1" x14ac:dyDescent="0.2">
      <c r="A1" s="9" t="s">
        <v>0</v>
      </c>
      <c r="B1" s="9" t="s">
        <v>19</v>
      </c>
      <c r="C1" s="9" t="s">
        <v>20</v>
      </c>
      <c r="D1" s="17" t="s">
        <v>21</v>
      </c>
      <c r="E1" s="9" t="s">
        <v>22</v>
      </c>
      <c r="F1" s="9" t="s">
        <v>23</v>
      </c>
      <c r="G1" s="17" t="s">
        <v>24</v>
      </c>
      <c r="H1" s="9" t="s">
        <v>59</v>
      </c>
      <c r="I1" s="9" t="s">
        <v>60</v>
      </c>
      <c r="J1" s="17" t="s">
        <v>61</v>
      </c>
      <c r="K1" s="9" t="s">
        <v>25</v>
      </c>
    </row>
    <row r="2" spans="1:11" ht="15" customHeight="1" x14ac:dyDescent="0.2">
      <c r="A2" s="10">
        <v>46235</v>
      </c>
      <c r="B2" s="11">
        <v>0.42013888888888901</v>
      </c>
      <c r="C2" s="11">
        <v>0.438194444444444</v>
      </c>
      <c r="D2" s="16">
        <v>26</v>
      </c>
      <c r="G2" s="16"/>
      <c r="H2" s="12">
        <v>0.438194444444444</v>
      </c>
      <c r="I2" s="12">
        <v>0.46180555555555602</v>
      </c>
      <c r="J2" s="16">
        <v>34</v>
      </c>
      <c r="K2" s="9" t="s">
        <v>30</v>
      </c>
    </row>
    <row r="3" spans="1:11" ht="15" customHeight="1" x14ac:dyDescent="0.2">
      <c r="A3" s="10">
        <v>46235</v>
      </c>
      <c r="B3" s="11">
        <v>0.44810185185185197</v>
      </c>
      <c r="C3" s="11">
        <v>0.48631944444444403</v>
      </c>
      <c r="D3" s="16">
        <v>55</v>
      </c>
      <c r="G3" s="16"/>
      <c r="J3" s="16"/>
      <c r="K3" s="9" t="s">
        <v>30</v>
      </c>
    </row>
    <row r="4" spans="1:11" ht="15" customHeight="1" x14ac:dyDescent="0.2">
      <c r="A4" s="10">
        <v>46235</v>
      </c>
      <c r="B4" s="11">
        <v>0.53751157407407402</v>
      </c>
      <c r="C4" s="11">
        <v>0.63002314814814797</v>
      </c>
      <c r="D4" s="18">
        <v>133</v>
      </c>
      <c r="K4" s="9" t="s">
        <v>64</v>
      </c>
    </row>
    <row r="5" spans="1:11" ht="15" customHeight="1" x14ac:dyDescent="0.2">
      <c r="A5" s="10">
        <v>46235</v>
      </c>
      <c r="B5" s="11">
        <v>0.48680555555555599</v>
      </c>
      <c r="C5" s="11">
        <v>0.500694444444444</v>
      </c>
      <c r="D5" s="16">
        <v>20</v>
      </c>
      <c r="G5" s="16"/>
      <c r="H5" s="12">
        <v>0.500694444444444</v>
      </c>
      <c r="I5" s="12">
        <v>0.51388888888888895</v>
      </c>
      <c r="J5" s="16">
        <v>19</v>
      </c>
      <c r="K5" s="9" t="s">
        <v>30</v>
      </c>
    </row>
    <row r="6" spans="1:11" ht="15" customHeight="1" x14ac:dyDescent="0.2">
      <c r="A6" s="10">
        <v>46235</v>
      </c>
      <c r="B6" s="11">
        <v>0.56597222222222199</v>
      </c>
      <c r="C6" s="11">
        <v>0.59513888888888899</v>
      </c>
      <c r="D6" s="16">
        <v>42</v>
      </c>
      <c r="G6" s="16"/>
      <c r="H6" s="12">
        <v>0.59513888888888899</v>
      </c>
      <c r="I6" s="12">
        <v>0.61180555555555605</v>
      </c>
      <c r="J6" s="16">
        <v>24</v>
      </c>
      <c r="K6" s="9" t="s">
        <v>32</v>
      </c>
    </row>
    <row r="7" spans="1:11" ht="15" customHeight="1" x14ac:dyDescent="0.2">
      <c r="A7" s="10">
        <v>46236</v>
      </c>
      <c r="B7" s="11">
        <v>0.53703703703703698</v>
      </c>
      <c r="C7" s="11">
        <v>0.57156249999999997</v>
      </c>
      <c r="D7" s="16">
        <v>50</v>
      </c>
      <c r="G7" s="16"/>
      <c r="J7" s="16"/>
      <c r="K7" s="9" t="s">
        <v>33</v>
      </c>
    </row>
    <row r="8" spans="1:11" ht="15" customHeight="1" x14ac:dyDescent="0.2">
      <c r="A8" s="10">
        <v>46236</v>
      </c>
      <c r="B8" s="11">
        <v>0.38501157407407399</v>
      </c>
      <c r="C8" s="11">
        <v>0.41805555555555601</v>
      </c>
      <c r="D8" s="16">
        <v>48</v>
      </c>
      <c r="G8" s="16"/>
      <c r="J8" s="16"/>
      <c r="K8" s="9" t="s">
        <v>28</v>
      </c>
    </row>
    <row r="9" spans="1:11" ht="15" customHeight="1" x14ac:dyDescent="0.2">
      <c r="A9" s="10">
        <v>46236</v>
      </c>
      <c r="B9" s="11">
        <v>0.45488425925925902</v>
      </c>
      <c r="C9" s="11">
        <v>0.48611111111111099</v>
      </c>
      <c r="D9" s="16">
        <v>45</v>
      </c>
      <c r="G9" s="16"/>
      <c r="H9" s="12">
        <v>0.48680555555555599</v>
      </c>
      <c r="I9" s="12">
        <v>0.49513888888888902</v>
      </c>
      <c r="J9" s="16">
        <v>12</v>
      </c>
      <c r="K9" s="9" t="s">
        <v>28</v>
      </c>
    </row>
    <row r="10" spans="1:11" ht="15" customHeight="1" x14ac:dyDescent="0.2">
      <c r="A10" s="10">
        <v>46236</v>
      </c>
      <c r="B10" s="11">
        <v>0.49729166666666702</v>
      </c>
      <c r="C10" s="11">
        <v>0.55817129629629603</v>
      </c>
      <c r="D10" s="16">
        <v>87</v>
      </c>
      <c r="G10" s="16"/>
      <c r="J10" s="16"/>
      <c r="K10" s="9" t="s">
        <v>33</v>
      </c>
    </row>
    <row r="11" spans="1:11" ht="15" customHeight="1" x14ac:dyDescent="0.2">
      <c r="A11" s="10">
        <v>46236</v>
      </c>
      <c r="B11" s="11">
        <v>0.37559027777777798</v>
      </c>
      <c r="C11" s="11">
        <v>0.41430555555555598</v>
      </c>
      <c r="D11" s="16">
        <v>56</v>
      </c>
      <c r="G11" s="16"/>
      <c r="J11" s="16"/>
      <c r="K11" s="9" t="s">
        <v>37</v>
      </c>
    </row>
    <row r="12" spans="1:11" ht="15" customHeight="1" x14ac:dyDescent="0.2">
      <c r="A12" s="10">
        <v>46236</v>
      </c>
      <c r="B12" s="11">
        <v>0.44357638888888901</v>
      </c>
      <c r="C12" s="11">
        <v>0.50998842592592597</v>
      </c>
      <c r="D12" s="16">
        <v>96</v>
      </c>
      <c r="G12" s="16"/>
      <c r="J12" s="16"/>
      <c r="K12" s="9" t="s">
        <v>37</v>
      </c>
    </row>
    <row r="13" spans="1:11" ht="15" customHeight="1" x14ac:dyDescent="0.2">
      <c r="A13" s="10">
        <v>46236</v>
      </c>
      <c r="B13" s="11">
        <v>0.68302083333333297</v>
      </c>
      <c r="C13" s="11">
        <v>0.70763888888888904</v>
      </c>
      <c r="D13" s="16">
        <v>36</v>
      </c>
      <c r="G13" s="16"/>
      <c r="J13" s="16"/>
      <c r="K13" s="9" t="s">
        <v>30</v>
      </c>
    </row>
    <row r="14" spans="1:11" ht="15" customHeight="1" x14ac:dyDescent="0.2">
      <c r="A14" s="10">
        <v>46236</v>
      </c>
      <c r="B14" s="11">
        <v>0.614571759259259</v>
      </c>
      <c r="C14" s="11">
        <v>0.65256944444444398</v>
      </c>
      <c r="D14" s="16">
        <v>55</v>
      </c>
      <c r="G14" s="16"/>
      <c r="J14" s="16"/>
      <c r="K14" s="9" t="s">
        <v>30</v>
      </c>
    </row>
    <row r="15" spans="1:11" ht="15" customHeight="1" x14ac:dyDescent="0.2">
      <c r="A15" s="10">
        <v>46236</v>
      </c>
      <c r="B15" s="11">
        <v>0.62792824074074105</v>
      </c>
      <c r="C15" s="11">
        <v>0.67465277777777799</v>
      </c>
      <c r="D15" s="16">
        <v>67</v>
      </c>
      <c r="G15" s="16"/>
      <c r="J15" s="16"/>
      <c r="K15" s="9" t="s">
        <v>39</v>
      </c>
    </row>
    <row r="16" spans="1:11" ht="15" customHeight="1" x14ac:dyDescent="0.2">
      <c r="A16" s="10">
        <v>46236</v>
      </c>
      <c r="B16" s="11">
        <v>0.77857638888888903</v>
      </c>
      <c r="C16" s="11">
        <v>0.81665509259259295</v>
      </c>
      <c r="D16" s="16">
        <v>54</v>
      </c>
      <c r="G16" s="16"/>
      <c r="J16" s="16"/>
      <c r="K16" s="9" t="s">
        <v>30</v>
      </c>
    </row>
    <row r="17" spans="1:11" ht="15" customHeight="1" x14ac:dyDescent="0.2">
      <c r="A17" s="10">
        <v>46236</v>
      </c>
      <c r="B17" s="11">
        <v>0.57106481481481497</v>
      </c>
      <c r="C17" s="11">
        <v>0.59288194444444398</v>
      </c>
      <c r="D17" s="16">
        <v>31</v>
      </c>
      <c r="G17" s="16"/>
      <c r="J17" s="16"/>
      <c r="K17" s="9" t="s">
        <v>33</v>
      </c>
    </row>
    <row r="18" spans="1:11" ht="15" customHeight="1" x14ac:dyDescent="0.2">
      <c r="A18" s="10">
        <v>46237</v>
      </c>
      <c r="B18" s="11">
        <v>0.41337962962962999</v>
      </c>
      <c r="C18" s="11">
        <v>0.42013888888888901</v>
      </c>
      <c r="D18" s="16">
        <v>10</v>
      </c>
      <c r="G18" s="16"/>
      <c r="H18" s="12">
        <v>0.44097222222222199</v>
      </c>
      <c r="I18" s="12">
        <v>0.51472222222222197</v>
      </c>
      <c r="J18" s="16">
        <v>106</v>
      </c>
      <c r="K18" s="9" t="s">
        <v>28</v>
      </c>
    </row>
    <row r="19" spans="1:11" ht="15" customHeight="1" x14ac:dyDescent="0.2">
      <c r="A19" s="10">
        <v>46237</v>
      </c>
      <c r="B19" s="11">
        <v>0.39930555555555602</v>
      </c>
      <c r="C19" s="11">
        <v>0.42638888888888898</v>
      </c>
      <c r="D19" s="16">
        <v>39</v>
      </c>
      <c r="E19" s="11">
        <v>0.42708333333333298</v>
      </c>
      <c r="F19" s="11">
        <v>0.46527777777777801</v>
      </c>
      <c r="G19" s="16">
        <v>55</v>
      </c>
      <c r="J19" s="16"/>
      <c r="K19" s="9" t="s">
        <v>37</v>
      </c>
    </row>
    <row r="20" spans="1:11" ht="15" customHeight="1" x14ac:dyDescent="0.2">
      <c r="A20" s="10">
        <v>46237</v>
      </c>
      <c r="B20" s="11">
        <v>0.80770833333333303</v>
      </c>
      <c r="C20" s="11">
        <v>0.85035879629629596</v>
      </c>
      <c r="D20" s="16">
        <v>61</v>
      </c>
      <c r="G20" s="16"/>
      <c r="J20" s="16"/>
      <c r="K20" s="9" t="s">
        <v>30</v>
      </c>
    </row>
    <row r="21" spans="1:11" ht="15" customHeight="1" x14ac:dyDescent="0.2">
      <c r="A21" s="10">
        <v>46237</v>
      </c>
      <c r="B21" s="11">
        <v>0.63749999999999996</v>
      </c>
      <c r="C21" s="11">
        <v>0.66319444444444398</v>
      </c>
      <c r="D21" s="16">
        <v>37</v>
      </c>
      <c r="G21" s="16"/>
      <c r="H21" s="12">
        <v>0.66388888888888897</v>
      </c>
      <c r="I21" s="12">
        <v>0.71388888888888902</v>
      </c>
      <c r="J21" s="16">
        <v>72</v>
      </c>
      <c r="K21" s="9" t="s">
        <v>44</v>
      </c>
    </row>
    <row r="22" spans="1:11" ht="15" customHeight="1" x14ac:dyDescent="0.2">
      <c r="A22" s="10">
        <v>46237</v>
      </c>
      <c r="B22" s="11">
        <v>0.53054398148148196</v>
      </c>
      <c r="C22" s="11">
        <v>0.56956018518518503</v>
      </c>
      <c r="D22" s="16">
        <v>57</v>
      </c>
      <c r="E22" s="11">
        <v>0.569583333333333</v>
      </c>
      <c r="F22" s="11">
        <v>0.60416666666666696</v>
      </c>
      <c r="G22" s="16">
        <v>50</v>
      </c>
      <c r="J22" s="16"/>
      <c r="K22" s="9" t="s">
        <v>45</v>
      </c>
    </row>
    <row r="23" spans="1:11" ht="15" customHeight="1" x14ac:dyDescent="0.2">
      <c r="A23" s="10">
        <v>46237</v>
      </c>
      <c r="B23" s="11">
        <v>0.47164351851851899</v>
      </c>
      <c r="C23" s="11">
        <v>0.50600694444444405</v>
      </c>
      <c r="D23" s="16">
        <v>49</v>
      </c>
      <c r="G23" s="16"/>
      <c r="H23" s="12">
        <v>0.50609953703703703</v>
      </c>
      <c r="I23" s="12">
        <v>0.538831018518519</v>
      </c>
      <c r="J23" s="16">
        <v>47</v>
      </c>
      <c r="K23" s="9" t="s">
        <v>33</v>
      </c>
    </row>
    <row r="24" spans="1:11" ht="15" customHeight="1" x14ac:dyDescent="0.2">
      <c r="A24" s="10">
        <v>46237</v>
      </c>
      <c r="B24" s="11">
        <v>0.37399305555555601</v>
      </c>
      <c r="C24" s="11">
        <v>0.420833333333333</v>
      </c>
      <c r="D24" s="16">
        <v>68</v>
      </c>
      <c r="E24" s="11">
        <v>0.421527777777778</v>
      </c>
      <c r="F24" s="11">
        <v>0.44305555555555598</v>
      </c>
      <c r="G24" s="16">
        <v>31</v>
      </c>
      <c r="J24" s="16"/>
      <c r="K24" s="9" t="s">
        <v>45</v>
      </c>
    </row>
    <row r="25" spans="1:11" ht="15" customHeight="1" x14ac:dyDescent="0.2">
      <c r="A25" s="10">
        <v>46237</v>
      </c>
      <c r="B25" s="11">
        <v>0.76736111111111105</v>
      </c>
      <c r="C25" s="11">
        <v>0.81805555555555598</v>
      </c>
      <c r="D25" s="16">
        <v>73</v>
      </c>
      <c r="G25" s="16"/>
      <c r="J25" s="16"/>
      <c r="K25" s="9" t="s">
        <v>30</v>
      </c>
    </row>
    <row r="26" spans="1:11" ht="15" customHeight="1" x14ac:dyDescent="0.2">
      <c r="A26" s="10">
        <v>46237</v>
      </c>
      <c r="B26" s="11">
        <v>0.62952546296296297</v>
      </c>
      <c r="C26" s="11">
        <v>0.66168981481481504</v>
      </c>
      <c r="D26" s="16">
        <v>46</v>
      </c>
      <c r="G26" s="16"/>
      <c r="H26" s="12">
        <v>0.661712962962963</v>
      </c>
      <c r="I26" s="12">
        <v>0.70811342592592597</v>
      </c>
      <c r="J26" s="16">
        <v>67</v>
      </c>
      <c r="K26" s="9" t="s">
        <v>30</v>
      </c>
    </row>
    <row r="27" spans="1:11" ht="15" customHeight="1" x14ac:dyDescent="0.2">
      <c r="A27" s="10">
        <v>46237</v>
      </c>
      <c r="B27" s="11">
        <v>0.54387731481481505</v>
      </c>
      <c r="C27" s="11">
        <v>0.563194444444444</v>
      </c>
      <c r="D27" s="16">
        <v>28</v>
      </c>
      <c r="G27" s="16"/>
      <c r="H27" s="12">
        <v>0.56388888888888899</v>
      </c>
      <c r="I27" s="12">
        <v>0.57916666666666705</v>
      </c>
      <c r="J27" s="16">
        <v>22</v>
      </c>
      <c r="K27" s="9" t="s">
        <v>30</v>
      </c>
    </row>
    <row r="28" spans="1:11" ht="15" customHeight="1" x14ac:dyDescent="0.2">
      <c r="A28" s="10">
        <v>46237</v>
      </c>
      <c r="B28" s="11">
        <v>0.42063657407407401</v>
      </c>
      <c r="C28" s="11">
        <v>0.44343749999999998</v>
      </c>
      <c r="D28" s="16">
        <v>33</v>
      </c>
      <c r="E28" s="11">
        <v>0.44305555555555598</v>
      </c>
      <c r="F28" s="11">
        <v>0.483333333333333</v>
      </c>
      <c r="G28" s="16">
        <v>58</v>
      </c>
      <c r="J28" s="16"/>
      <c r="K28" s="9" t="s">
        <v>45</v>
      </c>
    </row>
    <row r="29" spans="1:11" ht="15" customHeight="1" x14ac:dyDescent="0.2">
      <c r="A29" s="10">
        <v>46237</v>
      </c>
      <c r="B29" s="11">
        <v>0.48666666666666702</v>
      </c>
      <c r="C29" s="11">
        <v>0.50322916666666695</v>
      </c>
      <c r="D29" s="16">
        <v>24</v>
      </c>
      <c r="G29" s="16"/>
      <c r="H29" s="12">
        <v>0.50277777777777799</v>
      </c>
      <c r="I29" s="12">
        <v>0.52222222222222203</v>
      </c>
      <c r="J29" s="16">
        <v>28</v>
      </c>
      <c r="K29" s="9" t="s">
        <v>30</v>
      </c>
    </row>
    <row r="30" spans="1:11" ht="15" customHeight="1" x14ac:dyDescent="0.2">
      <c r="A30" s="10">
        <v>46237</v>
      </c>
      <c r="B30" s="11">
        <v>0.47900462962962997</v>
      </c>
      <c r="C30" s="11">
        <v>0.53472222222222199</v>
      </c>
      <c r="D30" s="16">
        <v>81</v>
      </c>
      <c r="E30" s="11">
        <v>0.53541666666666698</v>
      </c>
      <c r="F30" s="11">
        <v>0.56944444444444398</v>
      </c>
      <c r="G30" s="16">
        <v>49</v>
      </c>
      <c r="J30" s="16"/>
      <c r="K30" s="9" t="s">
        <v>45</v>
      </c>
    </row>
    <row r="31" spans="1:11" ht="15" customHeight="1" x14ac:dyDescent="0.2">
      <c r="A31" s="10">
        <v>46237</v>
      </c>
      <c r="B31" s="11">
        <v>0.47853009259259299</v>
      </c>
      <c r="C31" s="11">
        <v>0.49375000000000002</v>
      </c>
      <c r="D31" s="16">
        <v>22</v>
      </c>
      <c r="G31" s="16"/>
      <c r="H31" s="12">
        <v>0.49444444444444402</v>
      </c>
      <c r="I31" s="12">
        <v>0.51319444444444395</v>
      </c>
      <c r="J31" s="16">
        <v>27</v>
      </c>
      <c r="K31" s="9" t="s">
        <v>30</v>
      </c>
    </row>
    <row r="32" spans="1:11" ht="15" customHeight="1" x14ac:dyDescent="0.2">
      <c r="A32" s="10">
        <v>46237</v>
      </c>
      <c r="B32" s="11">
        <v>0.71180555555555602</v>
      </c>
      <c r="C32" s="11">
        <v>0.74236111111111103</v>
      </c>
      <c r="D32" s="16">
        <v>44</v>
      </c>
      <c r="G32" s="16"/>
      <c r="H32" s="12">
        <v>0.74305555555555602</v>
      </c>
      <c r="I32" s="12">
        <v>0.76944444444444404</v>
      </c>
      <c r="J32" s="16">
        <v>38</v>
      </c>
      <c r="K32" s="9" t="s">
        <v>33</v>
      </c>
    </row>
    <row r="33" spans="1:11" ht="15" customHeight="1" x14ac:dyDescent="0.2">
      <c r="A33" s="10">
        <v>46237</v>
      </c>
      <c r="B33" s="11">
        <v>0.38402777777777802</v>
      </c>
      <c r="C33" s="11">
        <v>0.41736111111111102</v>
      </c>
      <c r="D33" s="16">
        <v>48</v>
      </c>
      <c r="E33" s="11">
        <v>0.41805555555555601</v>
      </c>
      <c r="F33" s="11">
        <v>0.43194444444444402</v>
      </c>
      <c r="G33" s="16">
        <v>20</v>
      </c>
      <c r="J33" s="16"/>
      <c r="K33" s="9" t="s">
        <v>30</v>
      </c>
    </row>
    <row r="34" spans="1:11" ht="15" customHeight="1" x14ac:dyDescent="0.2">
      <c r="A34" s="10">
        <v>46237</v>
      </c>
      <c r="B34" s="11">
        <v>0.618148148148148</v>
      </c>
      <c r="C34" s="11">
        <v>0.66736111111111096</v>
      </c>
      <c r="D34" s="16">
        <v>71</v>
      </c>
      <c r="E34" s="11">
        <v>0.66805555555555596</v>
      </c>
      <c r="F34" s="11">
        <v>0.70555555555555605</v>
      </c>
      <c r="G34" s="16">
        <v>54</v>
      </c>
      <c r="J34" s="16"/>
      <c r="K34" s="9" t="s">
        <v>39</v>
      </c>
    </row>
    <row r="35" spans="1:11" ht="15" customHeight="1" x14ac:dyDescent="0.2">
      <c r="A35" s="10">
        <v>46237</v>
      </c>
      <c r="B35" s="11">
        <v>0.63194444444444398</v>
      </c>
      <c r="C35" s="11">
        <v>0.67430555555555605</v>
      </c>
      <c r="D35" s="16">
        <v>61</v>
      </c>
      <c r="G35" s="16"/>
      <c r="H35" s="12">
        <v>0.67500000000000004</v>
      </c>
      <c r="I35" s="12">
        <v>0.69861111111111096</v>
      </c>
      <c r="J35" s="16">
        <v>34</v>
      </c>
      <c r="K35" s="9" t="s">
        <v>30</v>
      </c>
    </row>
    <row r="36" spans="1:11" ht="15" customHeight="1" x14ac:dyDescent="0.2">
      <c r="A36" s="10">
        <v>46237</v>
      </c>
      <c r="B36" s="11">
        <v>0.58680555555555602</v>
      </c>
      <c r="C36" s="11">
        <v>0.66666666666666696</v>
      </c>
      <c r="D36" s="16">
        <v>115</v>
      </c>
      <c r="E36" s="11">
        <v>0.67013888888888895</v>
      </c>
      <c r="F36" s="11">
        <v>0.6875</v>
      </c>
      <c r="G36" s="16">
        <v>25</v>
      </c>
      <c r="J36" s="16"/>
      <c r="K36" s="9" t="s">
        <v>46</v>
      </c>
    </row>
    <row r="37" spans="1:11" ht="15" customHeight="1" x14ac:dyDescent="0.2">
      <c r="A37" s="10">
        <v>46237</v>
      </c>
      <c r="B37" s="11">
        <v>0.47569444444444398</v>
      </c>
      <c r="C37" s="11">
        <v>0.48749999999999999</v>
      </c>
      <c r="D37" s="16">
        <v>17</v>
      </c>
      <c r="G37" s="16"/>
      <c r="H37" s="12">
        <v>0.48819444444444399</v>
      </c>
      <c r="I37" s="12">
        <v>0.50138888888888899</v>
      </c>
      <c r="J37" s="16">
        <v>19</v>
      </c>
      <c r="K37" s="9" t="s">
        <v>30</v>
      </c>
    </row>
    <row r="38" spans="1:11" ht="15" customHeight="1" x14ac:dyDescent="0.2">
      <c r="A38" s="10">
        <v>46237</v>
      </c>
      <c r="B38" s="11">
        <v>0.51931712962962995</v>
      </c>
      <c r="C38" s="11">
        <v>0.52847222222222201</v>
      </c>
      <c r="D38" s="16">
        <v>14</v>
      </c>
      <c r="G38" s="16"/>
      <c r="H38" s="12">
        <v>0.54930555555555605</v>
      </c>
      <c r="I38" s="12">
        <v>0.59652777777777799</v>
      </c>
      <c r="J38" s="16">
        <v>68</v>
      </c>
      <c r="K38" s="9" t="s">
        <v>28</v>
      </c>
    </row>
    <row r="39" spans="1:11" ht="15" customHeight="1" x14ac:dyDescent="0.2">
      <c r="A39" s="10">
        <v>46237</v>
      </c>
      <c r="B39" s="11">
        <v>0.69097222222222199</v>
      </c>
      <c r="C39" s="11">
        <v>0.70972222222222203</v>
      </c>
      <c r="D39" s="16">
        <v>27</v>
      </c>
      <c r="G39" s="16"/>
      <c r="H39" s="12">
        <v>0.71041666666666703</v>
      </c>
      <c r="I39" s="12">
        <v>0.75277777777777799</v>
      </c>
      <c r="J39" s="16">
        <v>61</v>
      </c>
      <c r="K39" s="9" t="s">
        <v>30</v>
      </c>
    </row>
    <row r="40" spans="1:11" ht="15" customHeight="1" x14ac:dyDescent="0.2">
      <c r="A40" s="10">
        <v>46237</v>
      </c>
      <c r="B40" s="11">
        <v>0.45157407407407402</v>
      </c>
      <c r="C40" s="11">
        <v>0.52501157407407395</v>
      </c>
      <c r="D40" s="16">
        <v>106</v>
      </c>
      <c r="G40" s="16"/>
      <c r="H40" s="12">
        <v>0.52500000000000002</v>
      </c>
      <c r="I40" s="12">
        <v>0.55277777777777803</v>
      </c>
      <c r="J40" s="16">
        <v>40</v>
      </c>
      <c r="K40" s="9" t="s">
        <v>44</v>
      </c>
    </row>
    <row r="41" spans="1:11" ht="15" customHeight="1" x14ac:dyDescent="0.2">
      <c r="A41" s="10">
        <v>46237</v>
      </c>
      <c r="B41" s="11">
        <v>0.422916666666667</v>
      </c>
      <c r="C41" s="11">
        <v>0.47291666666666698</v>
      </c>
      <c r="D41" s="16">
        <v>72</v>
      </c>
      <c r="G41" s="16"/>
      <c r="J41" s="16"/>
      <c r="K41" s="9" t="s">
        <v>30</v>
      </c>
    </row>
    <row r="42" spans="1:11" ht="15" customHeight="1" x14ac:dyDescent="0.2">
      <c r="A42" s="10">
        <v>46237</v>
      </c>
      <c r="B42" s="11">
        <v>0.55416666666666703</v>
      </c>
      <c r="C42" s="11">
        <v>0.59652777777777799</v>
      </c>
      <c r="D42" s="16">
        <v>61</v>
      </c>
      <c r="G42" s="16"/>
      <c r="J42" s="16"/>
      <c r="K42" s="9" t="s">
        <v>47</v>
      </c>
    </row>
    <row r="43" spans="1:11" ht="15" customHeight="1" x14ac:dyDescent="0.2">
      <c r="A43" s="10">
        <v>46237</v>
      </c>
      <c r="B43" s="11">
        <v>0.70908564814814801</v>
      </c>
      <c r="C43" s="11">
        <v>0.74027777777777803</v>
      </c>
      <c r="D43" s="16">
        <v>45</v>
      </c>
      <c r="G43" s="16"/>
      <c r="H43" s="12">
        <v>0.74097222222222203</v>
      </c>
      <c r="I43" s="12">
        <v>0.82569444444444395</v>
      </c>
      <c r="J43" s="16">
        <v>122</v>
      </c>
      <c r="K43" s="9" t="s">
        <v>28</v>
      </c>
    </row>
    <row r="44" spans="1:11" ht="15" customHeight="1" x14ac:dyDescent="0.2">
      <c r="A44" s="10">
        <v>46237</v>
      </c>
      <c r="B44" s="11">
        <v>0.56445601851851901</v>
      </c>
      <c r="C44" s="11">
        <v>0.61453703703703699</v>
      </c>
      <c r="D44" s="16">
        <v>72</v>
      </c>
      <c r="G44" s="16"/>
      <c r="J44" s="16"/>
      <c r="K44" s="9" t="s">
        <v>28</v>
      </c>
    </row>
    <row r="45" spans="1:11" ht="15" customHeight="1" x14ac:dyDescent="0.2">
      <c r="A45" s="10">
        <v>46237</v>
      </c>
      <c r="B45" s="11">
        <v>0.8</v>
      </c>
      <c r="C45" s="11">
        <v>0.82291666666666696</v>
      </c>
      <c r="D45" s="18">
        <v>33</v>
      </c>
      <c r="K45" s="9" t="s">
        <v>64</v>
      </c>
    </row>
    <row r="46" spans="1:11" ht="15" customHeight="1" x14ac:dyDescent="0.2">
      <c r="A46" s="10">
        <v>46237</v>
      </c>
      <c r="B46" s="11">
        <v>0.76053240740740702</v>
      </c>
      <c r="C46" s="11">
        <v>0.781944444444444</v>
      </c>
      <c r="D46" s="16">
        <v>31</v>
      </c>
      <c r="G46" s="16"/>
      <c r="J46" s="16"/>
      <c r="K46" s="9" t="s">
        <v>37</v>
      </c>
    </row>
    <row r="47" spans="1:11" ht="15" customHeight="1" x14ac:dyDescent="0.2">
      <c r="A47" s="10">
        <v>46237</v>
      </c>
      <c r="B47" s="11">
        <v>0.67708333333333304</v>
      </c>
      <c r="C47" s="11">
        <v>0.72457175925925899</v>
      </c>
      <c r="D47" s="16">
        <v>68</v>
      </c>
      <c r="G47" s="16"/>
      <c r="J47" s="16"/>
      <c r="K47" s="9" t="s">
        <v>44</v>
      </c>
    </row>
    <row r="48" spans="1:11" ht="15" customHeight="1" x14ac:dyDescent="0.2">
      <c r="A48" s="10">
        <v>46237</v>
      </c>
      <c r="B48" s="11">
        <v>0.48749999999999999</v>
      </c>
      <c r="C48" s="11">
        <v>0.500694444444444</v>
      </c>
      <c r="D48" s="18">
        <v>19</v>
      </c>
      <c r="H48" s="12">
        <v>0.50138888888888899</v>
      </c>
      <c r="I48" s="12">
        <v>0.51944444444444404</v>
      </c>
      <c r="J48" s="18">
        <v>26</v>
      </c>
    </row>
    <row r="49" spans="1:11" ht="15" customHeight="1" x14ac:dyDescent="0.2">
      <c r="A49" s="10">
        <v>46237</v>
      </c>
      <c r="B49" s="11">
        <v>0.54034722222222198</v>
      </c>
      <c r="C49" s="11">
        <v>0.56989583333333305</v>
      </c>
      <c r="D49" s="18">
        <v>42</v>
      </c>
    </row>
    <row r="50" spans="1:11" ht="15" customHeight="1" x14ac:dyDescent="0.2">
      <c r="A50" s="10">
        <v>46237</v>
      </c>
      <c r="B50" s="11">
        <v>0.67065972222222203</v>
      </c>
      <c r="C50" s="11">
        <v>0.69583333333333297</v>
      </c>
      <c r="D50" s="16">
        <v>37</v>
      </c>
      <c r="G50" s="16"/>
      <c r="J50" s="16"/>
      <c r="K50" s="9" t="s">
        <v>28</v>
      </c>
    </row>
    <row r="51" spans="1:11" ht="15" customHeight="1" x14ac:dyDescent="0.2">
      <c r="A51" s="10">
        <v>46237</v>
      </c>
      <c r="B51" s="11">
        <v>0.65508101851851896</v>
      </c>
      <c r="C51" s="11">
        <v>0.69346064814814801</v>
      </c>
      <c r="D51" s="16">
        <v>55</v>
      </c>
      <c r="G51" s="16"/>
      <c r="J51" s="16"/>
      <c r="K51" s="9" t="s">
        <v>28</v>
      </c>
    </row>
    <row r="52" spans="1:11" ht="15" customHeight="1" x14ac:dyDescent="0.2">
      <c r="A52" s="10">
        <v>46237</v>
      </c>
      <c r="B52" s="11">
        <v>0.85486111111111096</v>
      </c>
      <c r="C52" s="11">
        <v>0.88888888888888895</v>
      </c>
      <c r="D52" s="16">
        <v>49</v>
      </c>
      <c r="G52" s="16"/>
      <c r="J52" s="16"/>
      <c r="K52" s="9" t="s">
        <v>37</v>
      </c>
    </row>
    <row r="53" spans="1:11" ht="15" customHeight="1" x14ac:dyDescent="0.2">
      <c r="A53" s="10">
        <v>46237</v>
      </c>
      <c r="B53" s="11">
        <v>0.78233796296296299</v>
      </c>
      <c r="C53" s="11">
        <v>0.81406250000000002</v>
      </c>
      <c r="D53" s="16">
        <v>46</v>
      </c>
      <c r="G53" s="16"/>
      <c r="H53" s="12">
        <v>0.81408564814814799</v>
      </c>
      <c r="I53" s="12">
        <v>0.84620370370370401</v>
      </c>
      <c r="J53" s="16">
        <v>46</v>
      </c>
      <c r="K53" s="9" t="s">
        <v>28</v>
      </c>
    </row>
    <row r="54" spans="1:11" ht="15" customHeight="1" x14ac:dyDescent="0.2">
      <c r="A54" s="10">
        <v>46237</v>
      </c>
      <c r="B54" s="11">
        <v>0.50921296296296303</v>
      </c>
      <c r="C54" s="11">
        <v>0.56597222222222199</v>
      </c>
      <c r="D54" s="16">
        <v>82</v>
      </c>
      <c r="G54" s="16"/>
      <c r="H54" s="12">
        <v>0.56599537037036995</v>
      </c>
      <c r="I54" s="12">
        <v>0.58619212962962997</v>
      </c>
      <c r="J54" s="16">
        <v>29</v>
      </c>
      <c r="K54" s="9" t="s">
        <v>30</v>
      </c>
    </row>
    <row r="55" spans="1:11" ht="15" customHeight="1" x14ac:dyDescent="0.2">
      <c r="A55" s="10">
        <v>46238</v>
      </c>
      <c r="B55" s="11">
        <v>0.43935185185185199</v>
      </c>
      <c r="C55" s="11">
        <v>0.45532407407407399</v>
      </c>
      <c r="D55" s="16">
        <v>23</v>
      </c>
      <c r="G55" s="16"/>
      <c r="H55" s="12">
        <v>0.45548611111111098</v>
      </c>
      <c r="I55" s="12">
        <v>0.59799768518518504</v>
      </c>
      <c r="J55" s="16">
        <v>206</v>
      </c>
      <c r="K55" s="9" t="s">
        <v>30</v>
      </c>
    </row>
    <row r="56" spans="1:11" ht="15" customHeight="1" x14ac:dyDescent="0.2">
      <c r="A56" s="10">
        <v>46238</v>
      </c>
      <c r="B56" s="11">
        <v>0.5625</v>
      </c>
      <c r="C56" s="11">
        <v>0.59375</v>
      </c>
      <c r="D56" s="16">
        <v>45</v>
      </c>
      <c r="E56" s="11">
        <v>0.594444444444444</v>
      </c>
      <c r="F56" s="11">
        <v>0.63124999999999998</v>
      </c>
      <c r="G56" s="16">
        <v>53</v>
      </c>
      <c r="J56" s="16"/>
      <c r="K56" s="9" t="s">
        <v>46</v>
      </c>
    </row>
    <row r="57" spans="1:11" ht="15" customHeight="1" x14ac:dyDescent="0.2">
      <c r="A57" s="10">
        <v>46238</v>
      </c>
      <c r="B57" s="11">
        <v>0.35115740740740697</v>
      </c>
      <c r="C57" s="11">
        <v>0.374305555555556</v>
      </c>
      <c r="D57" s="16">
        <v>34</v>
      </c>
      <c r="E57" s="11">
        <v>0.375</v>
      </c>
      <c r="F57" s="11">
        <v>0.40625</v>
      </c>
      <c r="G57" s="16">
        <v>45</v>
      </c>
      <c r="J57" s="16"/>
      <c r="K57" s="9" t="s">
        <v>30</v>
      </c>
    </row>
    <row r="58" spans="1:11" ht="15" customHeight="1" x14ac:dyDescent="0.2">
      <c r="A58" s="10">
        <v>46238</v>
      </c>
      <c r="B58" s="11">
        <v>0.39791666666666697</v>
      </c>
      <c r="C58" s="11">
        <v>0.422916666666667</v>
      </c>
      <c r="D58" s="16">
        <v>36</v>
      </c>
      <c r="E58" s="11">
        <v>0.42361111111111099</v>
      </c>
      <c r="F58" s="11">
        <v>0.45833333333333298</v>
      </c>
      <c r="G58" s="16">
        <v>50</v>
      </c>
      <c r="J58" s="16"/>
      <c r="K58" s="9" t="s">
        <v>30</v>
      </c>
    </row>
    <row r="59" spans="1:11" ht="15" customHeight="1" x14ac:dyDescent="0.2">
      <c r="A59" s="10">
        <v>46238</v>
      </c>
      <c r="B59" s="11">
        <v>0.59883101851851805</v>
      </c>
      <c r="C59" s="11">
        <v>0.64930555555555602</v>
      </c>
      <c r="D59" s="16">
        <v>73</v>
      </c>
      <c r="G59" s="16"/>
      <c r="H59" s="12">
        <v>0.64930555555555602</v>
      </c>
      <c r="I59" s="12">
        <v>0.66666666666666696</v>
      </c>
      <c r="J59" s="16">
        <v>25</v>
      </c>
      <c r="K59" s="9" t="s">
        <v>33</v>
      </c>
    </row>
    <row r="60" spans="1:11" ht="15" customHeight="1" x14ac:dyDescent="0.2">
      <c r="A60" s="10">
        <v>46238</v>
      </c>
      <c r="B60" s="11">
        <v>0.60952546296296295</v>
      </c>
      <c r="C60" s="11">
        <v>0.64861111111111103</v>
      </c>
      <c r="D60" s="16">
        <v>57</v>
      </c>
      <c r="E60" s="11">
        <v>0.64930555555555602</v>
      </c>
      <c r="F60" s="11">
        <v>0.70625000000000004</v>
      </c>
      <c r="G60" s="16">
        <v>82</v>
      </c>
      <c r="J60" s="16"/>
      <c r="K60" s="9" t="s">
        <v>28</v>
      </c>
    </row>
    <row r="61" spans="1:11" ht="15" customHeight="1" x14ac:dyDescent="0.2">
      <c r="A61" s="10">
        <v>46238</v>
      </c>
      <c r="B61" s="11">
        <v>0.37655092592592598</v>
      </c>
      <c r="C61" s="11">
        <v>0.41736111111111102</v>
      </c>
      <c r="D61" s="16">
        <v>59</v>
      </c>
      <c r="E61" s="11">
        <v>0.41805555555555601</v>
      </c>
      <c r="F61" s="11">
        <v>0.47083333333333299</v>
      </c>
      <c r="G61" s="16">
        <v>76</v>
      </c>
      <c r="J61" s="16"/>
      <c r="K61" s="9" t="s">
        <v>28</v>
      </c>
    </row>
    <row r="62" spans="1:11" ht="15" customHeight="1" x14ac:dyDescent="0.2">
      <c r="A62" s="10">
        <v>46238</v>
      </c>
      <c r="B62" s="11">
        <v>0.57777777777777795</v>
      </c>
      <c r="C62" s="11">
        <v>0.594444444444444</v>
      </c>
      <c r="D62" s="16">
        <v>24</v>
      </c>
      <c r="E62" s="11">
        <v>0.59513888888888899</v>
      </c>
      <c r="F62" s="11">
        <v>0.62152777777777801</v>
      </c>
      <c r="G62" s="16">
        <v>38</v>
      </c>
      <c r="J62" s="16"/>
      <c r="K62" s="9" t="s">
        <v>30</v>
      </c>
    </row>
    <row r="63" spans="1:11" ht="15" customHeight="1" x14ac:dyDescent="0.2">
      <c r="A63" s="10">
        <v>46238</v>
      </c>
      <c r="B63" s="11">
        <v>0.44097222222222199</v>
      </c>
      <c r="C63" s="11">
        <v>0.46115740740740702</v>
      </c>
      <c r="D63" s="16">
        <v>29</v>
      </c>
      <c r="G63" s="16"/>
      <c r="H63" s="12">
        <v>0.46111111111111103</v>
      </c>
      <c r="I63" s="12">
        <v>0.6</v>
      </c>
      <c r="J63" s="16">
        <v>200</v>
      </c>
      <c r="K63" s="9" t="s">
        <v>33</v>
      </c>
    </row>
    <row r="64" spans="1:11" ht="15" customHeight="1" x14ac:dyDescent="0.2">
      <c r="A64" s="10">
        <v>46238</v>
      </c>
      <c r="B64" s="11">
        <v>0.61180555555555605</v>
      </c>
      <c r="C64" s="11">
        <v>0.63611111111111096</v>
      </c>
      <c r="D64" s="16">
        <v>35</v>
      </c>
      <c r="E64" s="11">
        <v>0.63680555555555596</v>
      </c>
      <c r="F64" s="11">
        <v>0.64652777777777803</v>
      </c>
      <c r="G64" s="16">
        <v>14</v>
      </c>
      <c r="J64" s="16"/>
      <c r="K64" s="9" t="s">
        <v>46</v>
      </c>
    </row>
    <row r="65" spans="1:11" ht="15" customHeight="1" x14ac:dyDescent="0.2">
      <c r="A65" s="10">
        <v>46238</v>
      </c>
      <c r="B65" s="11">
        <v>0.63888888888888895</v>
      </c>
      <c r="C65" s="11">
        <v>0.65416666666666701</v>
      </c>
      <c r="D65" s="16">
        <v>22</v>
      </c>
      <c r="E65" s="11">
        <v>0.65486111111111101</v>
      </c>
      <c r="F65" s="11">
        <v>0.67916666666666703</v>
      </c>
      <c r="G65" s="16">
        <v>35</v>
      </c>
      <c r="J65" s="16"/>
      <c r="K65" s="9" t="s">
        <v>28</v>
      </c>
    </row>
    <row r="66" spans="1:11" ht="15" customHeight="1" x14ac:dyDescent="0.2">
      <c r="A66" s="10">
        <v>46238</v>
      </c>
      <c r="B66" s="11">
        <v>0.429108796296296</v>
      </c>
      <c r="C66" s="11">
        <v>0.50138888888888899</v>
      </c>
      <c r="D66" s="16">
        <v>105</v>
      </c>
      <c r="G66" s="16"/>
      <c r="H66" s="12">
        <v>0.50208333333333299</v>
      </c>
      <c r="I66" s="12">
        <v>0.52916666666666701</v>
      </c>
      <c r="J66" s="16">
        <v>39</v>
      </c>
      <c r="K66" s="9" t="s">
        <v>49</v>
      </c>
    </row>
    <row r="67" spans="1:11" ht="15" customHeight="1" x14ac:dyDescent="0.2">
      <c r="A67" s="10">
        <v>46238</v>
      </c>
      <c r="B67" s="11">
        <v>0.46031250000000001</v>
      </c>
      <c r="C67" s="11">
        <v>0.47222222222222199</v>
      </c>
      <c r="D67" s="16">
        <v>18</v>
      </c>
      <c r="E67" s="11">
        <v>0.47291666666666698</v>
      </c>
      <c r="F67" s="11">
        <v>0.49652777777777801</v>
      </c>
      <c r="G67" s="16">
        <v>34</v>
      </c>
      <c r="J67" s="16"/>
      <c r="K67" s="9" t="s">
        <v>28</v>
      </c>
    </row>
    <row r="68" spans="1:11" ht="15" customHeight="1" x14ac:dyDescent="0.2">
      <c r="A68" s="10">
        <v>46238</v>
      </c>
      <c r="B68" s="11">
        <v>0.38194444444444398</v>
      </c>
      <c r="C68" s="11">
        <v>0.39791666666666697</v>
      </c>
      <c r="D68" s="16">
        <v>23</v>
      </c>
      <c r="E68" s="11">
        <v>0.39791666666666697</v>
      </c>
      <c r="F68" s="11">
        <v>0.53472222222222199</v>
      </c>
      <c r="G68" s="16">
        <v>197</v>
      </c>
      <c r="J68" s="16"/>
      <c r="K68" s="9" t="s">
        <v>28</v>
      </c>
    </row>
    <row r="69" spans="1:11" ht="15" customHeight="1" x14ac:dyDescent="0.2">
      <c r="A69" s="10">
        <v>46238</v>
      </c>
      <c r="B69" s="11">
        <v>0.56736111111111098</v>
      </c>
      <c r="C69" s="11">
        <v>0.58958333333333302</v>
      </c>
      <c r="D69" s="16">
        <v>32</v>
      </c>
      <c r="G69" s="16"/>
      <c r="H69" s="12">
        <v>0.59027777777777801</v>
      </c>
      <c r="I69" s="12">
        <v>0.62361111111111101</v>
      </c>
      <c r="J69" s="16">
        <v>48</v>
      </c>
      <c r="K69" s="9" t="s">
        <v>28</v>
      </c>
    </row>
    <row r="70" spans="1:11" ht="15" customHeight="1" x14ac:dyDescent="0.2">
      <c r="A70" s="10">
        <v>46238</v>
      </c>
      <c r="B70" s="11">
        <v>0.46935185185185202</v>
      </c>
      <c r="C70" s="11">
        <v>0.52013888888888904</v>
      </c>
      <c r="D70" s="16">
        <v>74</v>
      </c>
      <c r="E70" s="11">
        <v>0.52083333333333304</v>
      </c>
      <c r="F70" s="11">
        <v>0.56026620370370395</v>
      </c>
      <c r="G70" s="16">
        <v>56</v>
      </c>
      <c r="J70" s="16"/>
      <c r="K70" s="9" t="s">
        <v>33</v>
      </c>
    </row>
    <row r="71" spans="1:11" ht="15" customHeight="1" x14ac:dyDescent="0.2">
      <c r="A71" s="10">
        <v>46238</v>
      </c>
      <c r="B71" s="11">
        <v>0.43312499999999998</v>
      </c>
      <c r="C71" s="11">
        <v>0.51041666666666696</v>
      </c>
      <c r="D71" s="16">
        <v>112</v>
      </c>
      <c r="G71" s="16"/>
      <c r="H71" s="12">
        <v>0.51041666666666696</v>
      </c>
      <c r="I71" s="12">
        <v>0.53402777777777799</v>
      </c>
      <c r="J71" s="16">
        <v>34</v>
      </c>
      <c r="K71" s="9" t="s">
        <v>28</v>
      </c>
    </row>
    <row r="72" spans="1:11" ht="15" customHeight="1" x14ac:dyDescent="0.2">
      <c r="A72" s="10">
        <v>46238</v>
      </c>
      <c r="B72" s="11">
        <v>0.69305555555555598</v>
      </c>
      <c r="C72" s="11">
        <v>0.72916666666666696</v>
      </c>
      <c r="D72" s="16">
        <v>52</v>
      </c>
      <c r="E72" s="11">
        <v>0.72986111111111096</v>
      </c>
      <c r="F72" s="11">
        <v>0.78472222222222199</v>
      </c>
      <c r="G72" s="16">
        <v>79</v>
      </c>
      <c r="J72" s="16"/>
      <c r="K72" s="9" t="s">
        <v>30</v>
      </c>
    </row>
    <row r="73" spans="1:11" ht="15" customHeight="1" x14ac:dyDescent="0.2">
      <c r="A73" s="10">
        <v>46238</v>
      </c>
      <c r="B73" s="11">
        <v>0.51041666666666696</v>
      </c>
      <c r="C73" s="11">
        <v>0.52847222222222201</v>
      </c>
      <c r="D73" s="16">
        <v>26</v>
      </c>
      <c r="E73" s="11">
        <v>0.52916666666666701</v>
      </c>
      <c r="F73" s="11">
        <v>0.59166666666666701</v>
      </c>
      <c r="G73" s="16">
        <v>90</v>
      </c>
      <c r="J73" s="16"/>
      <c r="K73" s="9" t="s">
        <v>45</v>
      </c>
    </row>
    <row r="74" spans="1:11" ht="15" customHeight="1" x14ac:dyDescent="0.2">
      <c r="A74" s="10">
        <v>46238</v>
      </c>
      <c r="B74" s="11">
        <v>0.72186342592592601</v>
      </c>
      <c r="C74" s="11">
        <v>0.74240740740740696</v>
      </c>
      <c r="D74" s="16">
        <v>30</v>
      </c>
      <c r="G74" s="16"/>
      <c r="J74" s="16"/>
      <c r="K74" s="9" t="s">
        <v>39</v>
      </c>
    </row>
    <row r="75" spans="1:11" ht="15" customHeight="1" x14ac:dyDescent="0.2">
      <c r="A75" s="10">
        <v>46238</v>
      </c>
      <c r="B75" s="11">
        <v>0.67361111111111105</v>
      </c>
      <c r="C75" s="11">
        <v>0.71592592592592597</v>
      </c>
      <c r="D75" s="16">
        <v>60</v>
      </c>
      <c r="G75" s="16"/>
      <c r="J75" s="16"/>
      <c r="K75" s="9" t="s">
        <v>33</v>
      </c>
    </row>
    <row r="76" spans="1:11" ht="15" customHeight="1" x14ac:dyDescent="0.2">
      <c r="A76" s="10">
        <v>46238</v>
      </c>
      <c r="B76" s="11">
        <v>0.66497685185185196</v>
      </c>
      <c r="C76" s="11">
        <v>0.69861111111111096</v>
      </c>
      <c r="D76" s="16">
        <v>49</v>
      </c>
      <c r="G76" s="16"/>
      <c r="J76" s="16"/>
      <c r="K76" s="9" t="s">
        <v>30</v>
      </c>
    </row>
    <row r="77" spans="1:11" ht="15" customHeight="1" x14ac:dyDescent="0.2">
      <c r="A77" s="10">
        <v>46238</v>
      </c>
      <c r="B77" s="11">
        <v>0.51041666666666696</v>
      </c>
      <c r="C77" s="11">
        <v>0.54236111111111096</v>
      </c>
      <c r="D77" s="16">
        <v>46</v>
      </c>
      <c r="E77" s="11">
        <v>0.54305555555555596</v>
      </c>
      <c r="F77" s="11">
        <v>0.57013888888888897</v>
      </c>
      <c r="G77" s="16">
        <v>39</v>
      </c>
      <c r="J77" s="16"/>
      <c r="K77" s="9" t="s">
        <v>28</v>
      </c>
    </row>
    <row r="78" spans="1:11" ht="15" customHeight="1" x14ac:dyDescent="0.2">
      <c r="A78" s="10">
        <v>46238</v>
      </c>
      <c r="B78" s="11">
        <v>0.75555555555555598</v>
      </c>
      <c r="C78" s="11">
        <v>0.813194444444444</v>
      </c>
      <c r="D78" s="16">
        <v>83</v>
      </c>
      <c r="G78" s="16"/>
      <c r="J78" s="16"/>
      <c r="K78" s="9" t="s">
        <v>30</v>
      </c>
    </row>
    <row r="79" spans="1:11" ht="15" customHeight="1" x14ac:dyDescent="0.2">
      <c r="A79" s="10">
        <v>46238</v>
      </c>
      <c r="B79" s="11">
        <v>0.50208333333333299</v>
      </c>
      <c r="C79" s="11">
        <v>0.55277777777777803</v>
      </c>
      <c r="D79" s="16">
        <v>73</v>
      </c>
      <c r="G79" s="16"/>
      <c r="H79" s="12">
        <v>0.55347222222222203</v>
      </c>
      <c r="I79" s="12">
        <v>0.56666666666666698</v>
      </c>
      <c r="J79" s="16">
        <v>19</v>
      </c>
      <c r="K79" s="9" t="s">
        <v>28</v>
      </c>
    </row>
    <row r="80" spans="1:11" ht="15" customHeight="1" x14ac:dyDescent="0.2">
      <c r="A80" s="10">
        <v>46238</v>
      </c>
      <c r="B80" s="11">
        <v>0.60416666666666696</v>
      </c>
      <c r="C80" s="11">
        <v>0.64296296296296296</v>
      </c>
      <c r="D80" s="16">
        <v>55</v>
      </c>
      <c r="G80" s="16"/>
      <c r="J80" s="16"/>
      <c r="K80" s="9" t="s">
        <v>30</v>
      </c>
    </row>
    <row r="81" spans="1:11" ht="15" customHeight="1" x14ac:dyDescent="0.2">
      <c r="A81" s="10">
        <v>46238</v>
      </c>
      <c r="B81" s="11">
        <v>0.44583333333333303</v>
      </c>
      <c r="C81" s="11">
        <v>0.47152777777777799</v>
      </c>
      <c r="D81" s="18">
        <v>37</v>
      </c>
    </row>
    <row r="82" spans="1:11" ht="15" customHeight="1" x14ac:dyDescent="0.2">
      <c r="A82" s="10">
        <v>46238</v>
      </c>
      <c r="B82" s="11">
        <v>0.81805555555555598</v>
      </c>
      <c r="C82" s="11">
        <v>0.88194444444444398</v>
      </c>
      <c r="D82" s="16">
        <v>92</v>
      </c>
      <c r="G82" s="16"/>
      <c r="J82" s="16"/>
      <c r="K82" s="9" t="s">
        <v>30</v>
      </c>
    </row>
    <row r="83" spans="1:11" ht="15" customHeight="1" x14ac:dyDescent="0.2">
      <c r="A83" s="10">
        <v>46238</v>
      </c>
      <c r="B83" s="11">
        <v>0.58541666666666703</v>
      </c>
      <c r="C83" s="11">
        <v>0.61527777777777803</v>
      </c>
      <c r="D83" s="16">
        <v>43</v>
      </c>
      <c r="E83" s="11">
        <v>0.61597222222222203</v>
      </c>
      <c r="F83" s="11">
        <v>0.69513888888888897</v>
      </c>
      <c r="G83" s="16">
        <v>114</v>
      </c>
      <c r="J83" s="16"/>
      <c r="K83" s="9" t="s">
        <v>30</v>
      </c>
    </row>
    <row r="84" spans="1:11" ht="15" customHeight="1" x14ac:dyDescent="0.2">
      <c r="A84" s="10">
        <v>46238</v>
      </c>
      <c r="B84" s="11">
        <v>0.34375</v>
      </c>
      <c r="C84" s="11">
        <v>0.36458333333333298</v>
      </c>
      <c r="D84" s="16">
        <v>30</v>
      </c>
      <c r="E84" s="11">
        <v>0.36527777777777798</v>
      </c>
      <c r="F84" s="11">
        <v>0.36805555555555602</v>
      </c>
      <c r="G84" s="16">
        <v>4</v>
      </c>
      <c r="J84" s="16"/>
      <c r="K84" s="9" t="s">
        <v>45</v>
      </c>
    </row>
    <row r="85" spans="1:11" ht="15" customHeight="1" x14ac:dyDescent="0.2">
      <c r="A85" s="10">
        <v>46238</v>
      </c>
      <c r="B85" s="11">
        <v>0.67074074074074097</v>
      </c>
      <c r="C85" s="11">
        <v>0.71690972222222205</v>
      </c>
      <c r="D85" s="16">
        <v>67</v>
      </c>
      <c r="E85" s="11">
        <v>0.71699074074074098</v>
      </c>
      <c r="F85" s="11">
        <v>0.720405092592593</v>
      </c>
      <c r="G85" s="16">
        <v>5</v>
      </c>
      <c r="J85" s="16"/>
      <c r="K85" s="9" t="s">
        <v>46</v>
      </c>
    </row>
    <row r="86" spans="1:11" ht="15" customHeight="1" x14ac:dyDescent="0.2">
      <c r="A86" s="10">
        <v>46238</v>
      </c>
      <c r="B86" s="11">
        <v>0.39652777777777798</v>
      </c>
      <c r="C86" s="11">
        <v>0.41736111111111102</v>
      </c>
      <c r="D86" s="16">
        <v>30</v>
      </c>
      <c r="E86" s="11">
        <v>0.41805555555555601</v>
      </c>
      <c r="F86" s="11">
        <v>0.43541666666666701</v>
      </c>
      <c r="G86" s="16">
        <v>25</v>
      </c>
      <c r="J86" s="16"/>
      <c r="K86" s="9" t="s">
        <v>45</v>
      </c>
    </row>
    <row r="87" spans="1:11" ht="15" customHeight="1" x14ac:dyDescent="0.2">
      <c r="A87" s="10">
        <v>46238</v>
      </c>
      <c r="B87" s="11">
        <v>0.44305555555555598</v>
      </c>
      <c r="C87" s="11">
        <v>0.48958333333333298</v>
      </c>
      <c r="D87" s="16">
        <v>67</v>
      </c>
      <c r="E87" s="11">
        <v>0.49027777777777798</v>
      </c>
      <c r="F87" s="11">
        <v>0.54166666666666696</v>
      </c>
      <c r="G87" s="16">
        <v>74</v>
      </c>
      <c r="J87" s="16"/>
      <c r="K87" s="9" t="s">
        <v>45</v>
      </c>
    </row>
    <row r="88" spans="1:11" ht="15" customHeight="1" x14ac:dyDescent="0.2">
      <c r="A88" s="10">
        <v>46238</v>
      </c>
      <c r="B88" s="11">
        <v>0.410023148148148</v>
      </c>
      <c r="C88" s="11">
        <v>0.42430555555555599</v>
      </c>
      <c r="D88" s="16">
        <v>21</v>
      </c>
      <c r="E88" s="11">
        <v>0.42499999999999999</v>
      </c>
      <c r="F88" s="11">
        <v>0.45486111111111099</v>
      </c>
      <c r="G88" s="16">
        <v>43</v>
      </c>
      <c r="J88" s="16"/>
      <c r="K88" s="9" t="s">
        <v>45</v>
      </c>
    </row>
    <row r="89" spans="1:11" ht="15" customHeight="1" x14ac:dyDescent="0.2">
      <c r="A89" s="10">
        <v>46238</v>
      </c>
      <c r="B89" s="11">
        <v>0.35208333333333303</v>
      </c>
      <c r="C89" s="11">
        <v>0.375694444444444</v>
      </c>
      <c r="D89" s="16">
        <v>34</v>
      </c>
      <c r="E89" s="11">
        <v>0.37638888888888899</v>
      </c>
      <c r="F89" s="11">
        <v>0.389583333333333</v>
      </c>
      <c r="G89" s="16">
        <v>19</v>
      </c>
      <c r="J89" s="16"/>
      <c r="K89" s="9" t="s">
        <v>45</v>
      </c>
    </row>
    <row r="90" spans="1:11" ht="15" customHeight="1" x14ac:dyDescent="0.2">
      <c r="A90" s="10">
        <v>46239</v>
      </c>
      <c r="B90" s="11">
        <v>0.438194444444444</v>
      </c>
      <c r="C90" s="11">
        <v>0.60624999999999996</v>
      </c>
      <c r="D90" s="16">
        <v>242</v>
      </c>
      <c r="G90" s="16"/>
      <c r="J90" s="16"/>
      <c r="K90" s="9" t="s">
        <v>28</v>
      </c>
    </row>
    <row r="91" spans="1:11" ht="15" customHeight="1" x14ac:dyDescent="0.2">
      <c r="A91" s="10">
        <v>46239</v>
      </c>
      <c r="B91" s="11">
        <v>0.49083333333333301</v>
      </c>
      <c r="C91" s="11">
        <v>0.516354166666667</v>
      </c>
      <c r="D91" s="16">
        <v>37</v>
      </c>
      <c r="E91" s="11">
        <v>0.51636574074074104</v>
      </c>
      <c r="F91" s="11">
        <v>0.55899305555555601</v>
      </c>
      <c r="G91" s="16">
        <v>61</v>
      </c>
      <c r="J91" s="16"/>
      <c r="K91" s="9" t="s">
        <v>45</v>
      </c>
    </row>
    <row r="92" spans="1:11" ht="15" customHeight="1" x14ac:dyDescent="0.2">
      <c r="A92" s="10">
        <v>46239</v>
      </c>
      <c r="B92" s="11">
        <v>0.346828703703704</v>
      </c>
      <c r="C92" s="11">
        <v>0.35642361111111098</v>
      </c>
      <c r="D92" s="16">
        <v>14</v>
      </c>
      <c r="E92" s="11">
        <v>0.35644675925925901</v>
      </c>
      <c r="F92" s="11">
        <v>0.40625</v>
      </c>
      <c r="G92" s="16">
        <v>72</v>
      </c>
      <c r="J92" s="16"/>
      <c r="K92" s="9" t="s">
        <v>45</v>
      </c>
    </row>
    <row r="93" spans="1:11" ht="15" customHeight="1" x14ac:dyDescent="0.2">
      <c r="A93" s="10">
        <v>46239</v>
      </c>
      <c r="B93" s="11">
        <v>0.42986111111111103</v>
      </c>
      <c r="C93" s="11">
        <v>0.46752314814814799</v>
      </c>
      <c r="D93" s="16">
        <v>54</v>
      </c>
      <c r="E93" s="11">
        <v>0.46756944444444398</v>
      </c>
      <c r="F93" s="11">
        <v>0.51245370370370402</v>
      </c>
      <c r="G93" s="16">
        <v>64</v>
      </c>
      <c r="J93" s="16"/>
      <c r="K93" s="9" t="s">
        <v>28</v>
      </c>
    </row>
    <row r="94" spans="1:11" ht="15" customHeight="1" x14ac:dyDescent="0.2">
      <c r="A94" s="10">
        <v>46239</v>
      </c>
      <c r="B94" s="11">
        <v>0.36805555555555602</v>
      </c>
      <c r="C94" s="11">
        <v>0.47499999999999998</v>
      </c>
      <c r="D94" s="16">
        <v>154</v>
      </c>
      <c r="E94" s="11">
        <v>0.47569444444444398</v>
      </c>
      <c r="F94" s="11">
        <v>0.52546296296296302</v>
      </c>
      <c r="G94" s="16">
        <v>71</v>
      </c>
      <c r="J94" s="16"/>
      <c r="K94" s="9" t="s">
        <v>28</v>
      </c>
    </row>
    <row r="95" spans="1:11" ht="15" customHeight="1" x14ac:dyDescent="0.2">
      <c r="A95" s="10">
        <v>46239</v>
      </c>
      <c r="B95" s="11">
        <v>0.42464120370370401</v>
      </c>
      <c r="C95" s="11">
        <v>0.468055555555556</v>
      </c>
      <c r="D95" s="16">
        <v>63</v>
      </c>
      <c r="E95" s="11">
        <v>0.46875</v>
      </c>
      <c r="F95" s="11">
        <v>0.61319444444444404</v>
      </c>
      <c r="G95" s="16">
        <v>208</v>
      </c>
      <c r="J95" s="16"/>
      <c r="K95" s="9" t="s">
        <v>28</v>
      </c>
    </row>
    <row r="96" spans="1:11" ht="15" customHeight="1" x14ac:dyDescent="0.2">
      <c r="A96" s="10">
        <v>46239</v>
      </c>
      <c r="B96" s="11">
        <v>0.52986111111111101</v>
      </c>
      <c r="C96" s="11">
        <v>0.56357638888888895</v>
      </c>
      <c r="D96" s="16">
        <v>48</v>
      </c>
      <c r="E96" s="11">
        <v>0.56361111111111095</v>
      </c>
      <c r="F96" s="11">
        <v>0.57887731481481497</v>
      </c>
      <c r="G96" s="16">
        <v>22</v>
      </c>
      <c r="J96" s="16"/>
      <c r="K96" s="9" t="s">
        <v>45</v>
      </c>
    </row>
    <row r="97" spans="1:11" ht="15" customHeight="1" x14ac:dyDescent="0.2">
      <c r="A97" s="10">
        <v>46239</v>
      </c>
      <c r="B97" s="11">
        <v>0.60624999999999996</v>
      </c>
      <c r="C97" s="11">
        <v>0.67569444444444404</v>
      </c>
      <c r="D97" s="16">
        <v>100</v>
      </c>
      <c r="G97" s="16"/>
      <c r="J97" s="16"/>
      <c r="K97" s="9" t="s">
        <v>28</v>
      </c>
    </row>
    <row r="98" spans="1:11" ht="15" customHeight="1" x14ac:dyDescent="0.2">
      <c r="A98" s="10">
        <v>46239</v>
      </c>
      <c r="B98" s="11">
        <v>0.53047453703703695</v>
      </c>
      <c r="C98" s="11">
        <v>0.57013888888888897</v>
      </c>
      <c r="D98" s="16">
        <v>58</v>
      </c>
      <c r="E98" s="11">
        <v>0.57083333333333297</v>
      </c>
      <c r="F98" s="11">
        <v>0.60138888888888897</v>
      </c>
      <c r="G98" s="16">
        <v>44</v>
      </c>
      <c r="J98" s="16"/>
      <c r="K98" s="9" t="s">
        <v>28</v>
      </c>
    </row>
    <row r="99" spans="1:11" ht="15" customHeight="1" x14ac:dyDescent="0.2">
      <c r="A99" s="10">
        <v>46239</v>
      </c>
      <c r="B99" s="11">
        <v>0.34427083333333303</v>
      </c>
      <c r="C99" s="11">
        <v>0.375694444444444</v>
      </c>
      <c r="D99" s="16">
        <v>46</v>
      </c>
      <c r="E99" s="11">
        <v>0.37638888888888899</v>
      </c>
      <c r="F99" s="11">
        <v>0.45624999999999999</v>
      </c>
      <c r="G99" s="16">
        <v>115</v>
      </c>
      <c r="J99" s="16"/>
      <c r="K99" s="9" t="s">
        <v>33</v>
      </c>
    </row>
    <row r="100" spans="1:11" ht="15" customHeight="1" x14ac:dyDescent="0.2">
      <c r="A100" s="10">
        <v>46239</v>
      </c>
      <c r="B100" s="11">
        <v>0.48093750000000002</v>
      </c>
      <c r="C100" s="11">
        <v>0.51458333333333295</v>
      </c>
      <c r="D100" s="16">
        <v>49</v>
      </c>
      <c r="E100" s="11">
        <v>0.51527777777777795</v>
      </c>
      <c r="F100" s="11">
        <v>0.54236111111111096</v>
      </c>
      <c r="G100" s="16">
        <v>39</v>
      </c>
      <c r="J100" s="16"/>
      <c r="K100" s="9" t="s">
        <v>28</v>
      </c>
    </row>
    <row r="101" spans="1:11" ht="15" customHeight="1" x14ac:dyDescent="0.2">
      <c r="A101" s="10">
        <v>46239</v>
      </c>
      <c r="B101" s="11">
        <v>0.39988425925925902</v>
      </c>
      <c r="C101" s="11">
        <v>0.42013888888888901</v>
      </c>
      <c r="D101" s="16">
        <v>30</v>
      </c>
      <c r="E101" s="11">
        <v>0.420833333333333</v>
      </c>
      <c r="F101" s="11">
        <v>0.48680555555555599</v>
      </c>
      <c r="G101" s="16">
        <v>95</v>
      </c>
      <c r="J101" s="16"/>
      <c r="K101" s="9" t="s">
        <v>33</v>
      </c>
    </row>
    <row r="102" spans="1:11" ht="15" customHeight="1" x14ac:dyDescent="0.2">
      <c r="A102" s="10">
        <v>46239</v>
      </c>
      <c r="B102" s="11">
        <v>0.64444444444444404</v>
      </c>
      <c r="C102" s="11">
        <v>0.749305555555556</v>
      </c>
      <c r="D102" s="16">
        <v>151</v>
      </c>
      <c r="E102" s="11">
        <v>0.75</v>
      </c>
      <c r="F102" s="11">
        <v>0.81332175925925898</v>
      </c>
      <c r="G102" s="16">
        <v>91</v>
      </c>
      <c r="J102" s="16"/>
      <c r="K102" s="9" t="s">
        <v>30</v>
      </c>
    </row>
    <row r="103" spans="1:11" ht="15" customHeight="1" x14ac:dyDescent="0.2">
      <c r="A103" s="10">
        <v>46239</v>
      </c>
      <c r="B103" s="11">
        <v>0.77870370370370401</v>
      </c>
      <c r="C103" s="11">
        <v>0.79568287037037</v>
      </c>
      <c r="D103" s="16">
        <v>24</v>
      </c>
      <c r="E103" s="11">
        <v>0.79570601851851896</v>
      </c>
      <c r="F103" s="11">
        <v>0.82430555555555596</v>
      </c>
      <c r="G103" s="16">
        <v>42</v>
      </c>
      <c r="J103" s="16"/>
      <c r="K103" s="9" t="s">
        <v>30</v>
      </c>
    </row>
    <row r="104" spans="1:11" ht="15" customHeight="1" x14ac:dyDescent="0.2">
      <c r="A104" s="10">
        <v>46239</v>
      </c>
      <c r="B104" s="11">
        <v>0.42712962962963003</v>
      </c>
      <c r="C104" s="11">
        <v>0.44858796296296299</v>
      </c>
      <c r="D104" s="16">
        <v>30</v>
      </c>
      <c r="E104" s="11">
        <v>0.448622685185185</v>
      </c>
      <c r="F104" s="11">
        <v>0.49504629629629598</v>
      </c>
      <c r="G104" s="16">
        <v>66</v>
      </c>
      <c r="J104" s="16"/>
      <c r="K104" s="9" t="s">
        <v>39</v>
      </c>
    </row>
    <row r="105" spans="1:11" ht="15" customHeight="1" x14ac:dyDescent="0.2">
      <c r="A105" s="10">
        <v>46239</v>
      </c>
      <c r="B105" s="11">
        <v>0.48958333333333298</v>
      </c>
      <c r="C105" s="11">
        <v>0.53888888888888897</v>
      </c>
      <c r="D105" s="16">
        <v>71</v>
      </c>
      <c r="G105" s="16"/>
      <c r="H105" s="12">
        <v>0.53958333333333297</v>
      </c>
      <c r="I105" s="12">
        <v>0.593055555555556</v>
      </c>
      <c r="J105" s="16">
        <v>77</v>
      </c>
      <c r="K105" s="9" t="s">
        <v>30</v>
      </c>
    </row>
    <row r="106" spans="1:11" ht="15" customHeight="1" x14ac:dyDescent="0.2">
      <c r="A106" s="10">
        <v>46239</v>
      </c>
      <c r="B106" s="11">
        <v>0.60824074074074097</v>
      </c>
      <c r="C106" s="11">
        <v>0.63611111111111096</v>
      </c>
      <c r="D106" s="16">
        <v>41</v>
      </c>
      <c r="E106" s="11">
        <v>0.63680555555555596</v>
      </c>
      <c r="F106" s="11">
        <v>0.69072916666666695</v>
      </c>
      <c r="G106" s="16">
        <v>77</v>
      </c>
      <c r="J106" s="16"/>
      <c r="K106" s="9" t="s">
        <v>30</v>
      </c>
    </row>
    <row r="107" spans="1:11" ht="15" customHeight="1" x14ac:dyDescent="0.2">
      <c r="A107" s="10">
        <v>46239</v>
      </c>
      <c r="B107" s="11">
        <v>0.48680555555555599</v>
      </c>
      <c r="C107" s="11">
        <v>0.49629629629629601</v>
      </c>
      <c r="D107" s="16">
        <v>13</v>
      </c>
      <c r="E107" s="11">
        <v>0.53357638888888903</v>
      </c>
      <c r="F107" s="11">
        <v>0.54185185185185203</v>
      </c>
      <c r="G107" s="16">
        <v>12</v>
      </c>
      <c r="J107" s="16"/>
      <c r="K107" s="9" t="s">
        <v>33</v>
      </c>
    </row>
    <row r="108" spans="1:11" ht="15" customHeight="1" x14ac:dyDescent="0.2">
      <c r="A108" s="10">
        <v>46239</v>
      </c>
      <c r="B108" s="11">
        <v>0.55054398148148198</v>
      </c>
      <c r="C108" s="11">
        <v>0.59983796296296299</v>
      </c>
      <c r="D108" s="16">
        <v>71</v>
      </c>
      <c r="G108" s="16"/>
      <c r="J108" s="16"/>
      <c r="K108" s="9" t="s">
        <v>30</v>
      </c>
    </row>
    <row r="109" spans="1:11" ht="15" customHeight="1" x14ac:dyDescent="0.2">
      <c r="A109" s="10">
        <v>46239</v>
      </c>
      <c r="B109" s="11">
        <v>0.79930555555555605</v>
      </c>
      <c r="C109" s="11">
        <v>0.86248842592592601</v>
      </c>
      <c r="D109" s="16">
        <v>90</v>
      </c>
      <c r="G109" s="16"/>
      <c r="J109" s="16"/>
      <c r="K109" s="9" t="s">
        <v>37</v>
      </c>
    </row>
    <row r="110" spans="1:11" ht="15" customHeight="1" x14ac:dyDescent="0.2">
      <c r="A110" s="10">
        <v>46239</v>
      </c>
      <c r="B110" s="11">
        <v>0.72638888888888897</v>
      </c>
      <c r="C110" s="11">
        <v>0.77152777777777803</v>
      </c>
      <c r="D110" s="16">
        <v>65</v>
      </c>
      <c r="G110" s="16"/>
      <c r="J110" s="16"/>
      <c r="K110" s="9" t="s">
        <v>30</v>
      </c>
    </row>
    <row r="111" spans="1:11" ht="15" customHeight="1" x14ac:dyDescent="0.2">
      <c r="A111" s="10">
        <v>46239</v>
      </c>
      <c r="B111" s="11">
        <v>0.87152777777777801</v>
      </c>
      <c r="C111" s="11">
        <v>0.90173611111111096</v>
      </c>
      <c r="D111" s="16">
        <v>43</v>
      </c>
      <c r="G111" s="16"/>
      <c r="J111" s="16"/>
      <c r="K111" s="9" t="s">
        <v>30</v>
      </c>
    </row>
    <row r="112" spans="1:11" ht="15" customHeight="1" x14ac:dyDescent="0.2">
      <c r="A112" s="10">
        <v>46239</v>
      </c>
      <c r="B112" s="11">
        <v>0.72373842592592597</v>
      </c>
      <c r="C112" s="11">
        <v>0.74629629629629601</v>
      </c>
      <c r="D112" s="16">
        <v>32</v>
      </c>
      <c r="G112" s="16"/>
      <c r="J112" s="16"/>
      <c r="K112" s="9" t="s">
        <v>44</v>
      </c>
    </row>
    <row r="113" spans="1:11" ht="15" customHeight="1" x14ac:dyDescent="0.2">
      <c r="A113" s="10">
        <v>46239</v>
      </c>
      <c r="B113" s="11">
        <v>0.74517361111111102</v>
      </c>
      <c r="C113" s="11">
        <v>0.781944444444444</v>
      </c>
      <c r="D113" s="16">
        <v>53</v>
      </c>
      <c r="G113" s="16"/>
      <c r="H113" s="12">
        <v>0.78263888888888899</v>
      </c>
      <c r="I113" s="12">
        <v>0.82222222222222197</v>
      </c>
      <c r="J113" s="16">
        <v>57</v>
      </c>
      <c r="K113" s="9" t="s">
        <v>28</v>
      </c>
    </row>
    <row r="114" spans="1:11" ht="15" customHeight="1" x14ac:dyDescent="0.2">
      <c r="A114" s="10">
        <v>46239</v>
      </c>
      <c r="B114" s="11">
        <v>0.82708333333333295</v>
      </c>
      <c r="C114" s="11">
        <v>0.85443287037036997</v>
      </c>
      <c r="D114" s="16">
        <v>39</v>
      </c>
      <c r="G114" s="16"/>
      <c r="J114" s="16"/>
      <c r="K114" s="9" t="s">
        <v>28</v>
      </c>
    </row>
    <row r="115" spans="1:11" ht="15" customHeight="1" x14ac:dyDescent="0.2">
      <c r="A115" s="10">
        <v>46239</v>
      </c>
      <c r="B115" s="11">
        <v>0.51041666666666696</v>
      </c>
      <c r="C115" s="11">
        <v>0.57222222222222197</v>
      </c>
      <c r="D115" s="16">
        <v>89</v>
      </c>
      <c r="E115" s="11">
        <v>0.57291666666666696</v>
      </c>
      <c r="F115" s="11">
        <v>0.64583333333333304</v>
      </c>
      <c r="G115" s="16">
        <v>105</v>
      </c>
      <c r="J115" s="16"/>
      <c r="K115" s="9" t="s">
        <v>30</v>
      </c>
    </row>
    <row r="116" spans="1:11" ht="15" customHeight="1" x14ac:dyDescent="0.2">
      <c r="A116" s="10">
        <v>46239</v>
      </c>
      <c r="B116" s="11">
        <v>0.40998842592592599</v>
      </c>
      <c r="C116" s="11">
        <v>0.45902777777777798</v>
      </c>
      <c r="D116" s="16">
        <v>71</v>
      </c>
      <c r="E116" s="11">
        <v>0.45972222222222198</v>
      </c>
      <c r="F116" s="11">
        <v>0.47291666666666698</v>
      </c>
      <c r="G116" s="16">
        <v>19</v>
      </c>
      <c r="J116" s="16"/>
      <c r="K116" s="9" t="s">
        <v>45</v>
      </c>
    </row>
    <row r="117" spans="1:11" ht="15" customHeight="1" x14ac:dyDescent="0.2">
      <c r="A117" s="10">
        <v>46239</v>
      </c>
      <c r="B117" s="11">
        <v>0.62062499999999998</v>
      </c>
      <c r="C117" s="11">
        <v>0.65347222222222201</v>
      </c>
      <c r="D117" s="16">
        <v>48</v>
      </c>
      <c r="G117" s="16"/>
      <c r="H117" s="12">
        <v>0.65416666666666701</v>
      </c>
      <c r="I117" s="12">
        <v>0.66597222222222197</v>
      </c>
      <c r="J117" s="16">
        <v>17</v>
      </c>
      <c r="K117" s="9" t="s">
        <v>30</v>
      </c>
    </row>
    <row r="118" spans="1:11" ht="15" customHeight="1" x14ac:dyDescent="0.2">
      <c r="A118" s="10">
        <v>46240</v>
      </c>
      <c r="B118" s="11">
        <v>0.394895833333333</v>
      </c>
      <c r="C118" s="11">
        <v>0.41774305555555602</v>
      </c>
      <c r="D118" s="16">
        <v>33</v>
      </c>
      <c r="E118" s="11">
        <v>0.41775462962963</v>
      </c>
      <c r="F118" s="11">
        <v>0.42072916666666699</v>
      </c>
      <c r="G118" s="16">
        <v>4</v>
      </c>
      <c r="J118" s="16"/>
      <c r="K118" s="9" t="s">
        <v>33</v>
      </c>
    </row>
    <row r="119" spans="1:11" ht="15" customHeight="1" x14ac:dyDescent="0.2">
      <c r="A119" s="10">
        <v>46240</v>
      </c>
      <c r="B119" s="11">
        <v>0.40625</v>
      </c>
      <c r="C119" s="11">
        <v>0.453391203703704</v>
      </c>
      <c r="D119" s="16">
        <v>67</v>
      </c>
      <c r="E119" s="11">
        <v>0.45341435185185203</v>
      </c>
      <c r="F119" s="11">
        <v>0.50006944444444401</v>
      </c>
      <c r="G119" s="16">
        <v>68</v>
      </c>
      <c r="J119" s="16"/>
      <c r="K119" s="9" t="s">
        <v>33</v>
      </c>
    </row>
    <row r="120" spans="1:11" ht="15" customHeight="1" x14ac:dyDescent="0.2">
      <c r="A120" s="10">
        <v>46240</v>
      </c>
      <c r="B120" s="11">
        <v>0.46542824074074102</v>
      </c>
      <c r="C120" s="11">
        <v>0.49771990740740701</v>
      </c>
      <c r="D120" s="16">
        <v>46</v>
      </c>
      <c r="E120" s="11">
        <v>0.497731481481481</v>
      </c>
      <c r="F120" s="11">
        <v>0.50924768518518504</v>
      </c>
      <c r="G120" s="16">
        <v>17</v>
      </c>
      <c r="J120" s="16"/>
      <c r="K120" s="9" t="s">
        <v>33</v>
      </c>
    </row>
    <row r="121" spans="1:11" ht="15" customHeight="1" x14ac:dyDescent="0.2">
      <c r="A121" s="10">
        <v>46240</v>
      </c>
      <c r="B121" s="11">
        <v>0.57291666666666696</v>
      </c>
      <c r="C121" s="11">
        <v>0.60902777777777795</v>
      </c>
      <c r="D121" s="16">
        <v>52</v>
      </c>
      <c r="G121" s="16"/>
      <c r="H121" s="12">
        <v>0.60972222222222205</v>
      </c>
      <c r="I121" s="12">
        <v>0.64930555555555602</v>
      </c>
      <c r="J121" s="16">
        <v>57</v>
      </c>
      <c r="K121" s="9" t="s">
        <v>30</v>
      </c>
    </row>
    <row r="122" spans="1:11" ht="15" customHeight="1" x14ac:dyDescent="0.2">
      <c r="A122" s="10">
        <v>46240</v>
      </c>
      <c r="B122" s="11">
        <v>0.72502314814814794</v>
      </c>
      <c r="C122" s="11">
        <v>0.83472222222222203</v>
      </c>
      <c r="D122" s="16">
        <v>158</v>
      </c>
      <c r="G122" s="16"/>
      <c r="J122" s="16"/>
      <c r="K122" s="9" t="s">
        <v>33</v>
      </c>
    </row>
    <row r="123" spans="1:11" ht="15" customHeight="1" x14ac:dyDescent="0.2">
      <c r="A123" s="10">
        <v>46240</v>
      </c>
      <c r="B123" s="11">
        <v>0.36597222222222198</v>
      </c>
      <c r="C123" s="11">
        <v>0.49444444444444402</v>
      </c>
      <c r="D123" s="16">
        <v>185</v>
      </c>
      <c r="G123" s="16"/>
      <c r="J123" s="16"/>
      <c r="K123" s="9" t="s">
        <v>28</v>
      </c>
    </row>
    <row r="124" spans="1:11" ht="15" customHeight="1" x14ac:dyDescent="0.2">
      <c r="A124" s="10">
        <v>46240</v>
      </c>
      <c r="B124" s="11">
        <v>0.53370370370370401</v>
      </c>
      <c r="C124" s="11">
        <v>0.58837962962962997</v>
      </c>
      <c r="D124" s="16">
        <v>79</v>
      </c>
      <c r="G124" s="16"/>
      <c r="H124" s="12">
        <v>0.58848379629629599</v>
      </c>
      <c r="I124" s="12">
        <v>0.59858796296296302</v>
      </c>
      <c r="J124" s="16">
        <v>14</v>
      </c>
      <c r="K124" s="9" t="s">
        <v>33</v>
      </c>
    </row>
    <row r="125" spans="1:11" ht="15" customHeight="1" x14ac:dyDescent="0.2">
      <c r="A125" s="10">
        <v>46240</v>
      </c>
      <c r="B125" s="11">
        <v>0.63472222222222197</v>
      </c>
      <c r="C125" s="11">
        <v>0.64583333333333304</v>
      </c>
      <c r="D125" s="16">
        <v>16</v>
      </c>
      <c r="E125" s="11">
        <v>0.64652777777777803</v>
      </c>
      <c r="F125" s="11">
        <v>0.67430555555555605</v>
      </c>
      <c r="G125" s="16">
        <v>40</v>
      </c>
      <c r="J125" s="16"/>
      <c r="K125" s="9" t="s">
        <v>33</v>
      </c>
    </row>
    <row r="126" spans="1:11" ht="15" customHeight="1" x14ac:dyDescent="0.2">
      <c r="A126" s="10">
        <v>46240</v>
      </c>
      <c r="B126" s="11">
        <v>0.59516203703703696</v>
      </c>
      <c r="C126" s="11">
        <v>0.61875000000000002</v>
      </c>
      <c r="D126" s="16">
        <v>34</v>
      </c>
      <c r="E126" s="11">
        <v>0.61944444444444402</v>
      </c>
      <c r="F126" s="11">
        <v>0.63055555555555598</v>
      </c>
      <c r="G126" s="16">
        <v>16</v>
      </c>
      <c r="J126" s="16"/>
      <c r="K126" s="9" t="s">
        <v>33</v>
      </c>
    </row>
    <row r="127" spans="1:11" ht="15" customHeight="1" x14ac:dyDescent="0.2">
      <c r="A127" s="10">
        <v>46240</v>
      </c>
      <c r="B127" s="11">
        <v>0.41812500000000002</v>
      </c>
      <c r="C127" s="11">
        <v>0.44814814814814802</v>
      </c>
      <c r="D127" s="16">
        <v>43</v>
      </c>
      <c r="G127" s="16"/>
      <c r="H127" s="12">
        <v>0.44829861111111102</v>
      </c>
      <c r="I127" s="12">
        <v>0.46740740740740699</v>
      </c>
      <c r="J127" s="16">
        <v>28</v>
      </c>
      <c r="K127" s="9" t="s">
        <v>30</v>
      </c>
    </row>
    <row r="128" spans="1:11" ht="15" customHeight="1" x14ac:dyDescent="0.2">
      <c r="A128" s="10">
        <v>46240</v>
      </c>
      <c r="B128" s="11">
        <v>0.43444444444444402</v>
      </c>
      <c r="C128" s="11">
        <v>0.44861111111111102</v>
      </c>
      <c r="D128" s="16">
        <v>21</v>
      </c>
      <c r="G128" s="16"/>
      <c r="H128" s="12">
        <v>0.44930555555555601</v>
      </c>
      <c r="I128" s="12">
        <v>0.52361111111111103</v>
      </c>
      <c r="J128" s="16">
        <v>107</v>
      </c>
      <c r="K128" s="9" t="s">
        <v>33</v>
      </c>
    </row>
    <row r="129" spans="1:11" ht="15" customHeight="1" x14ac:dyDescent="0.2">
      <c r="A129" s="10">
        <v>46240</v>
      </c>
      <c r="B129" s="11">
        <v>0.71157407407407403</v>
      </c>
      <c r="C129" s="11">
        <v>0.77908564814814796</v>
      </c>
      <c r="D129" s="16">
        <v>97</v>
      </c>
      <c r="E129" s="11">
        <v>0.77910879629629604</v>
      </c>
      <c r="F129" s="11">
        <v>0.85069444444444398</v>
      </c>
      <c r="G129" s="16">
        <v>104</v>
      </c>
      <c r="J129" s="16"/>
      <c r="K129" s="9" t="s">
        <v>33</v>
      </c>
    </row>
    <row r="130" spans="1:11" ht="15" customHeight="1" x14ac:dyDescent="0.2">
      <c r="A130" s="10">
        <v>46240</v>
      </c>
      <c r="B130" s="11">
        <v>0.59791666666666698</v>
      </c>
      <c r="C130" s="11">
        <v>0.625694444444444</v>
      </c>
      <c r="D130" s="16">
        <v>40</v>
      </c>
      <c r="G130" s="16"/>
      <c r="H130" s="12">
        <v>0.62638888888888899</v>
      </c>
      <c r="I130" s="12">
        <v>0.67638888888888904</v>
      </c>
      <c r="J130" s="16">
        <v>72</v>
      </c>
      <c r="K130" s="9" t="s">
        <v>33</v>
      </c>
    </row>
    <row r="131" spans="1:11" ht="15" customHeight="1" x14ac:dyDescent="0.2">
      <c r="A131" s="10">
        <v>46240</v>
      </c>
      <c r="B131" s="11">
        <v>0.71604166666666702</v>
      </c>
      <c r="C131" s="11">
        <v>0.73124999999999996</v>
      </c>
      <c r="D131" s="16">
        <v>22</v>
      </c>
      <c r="G131" s="16"/>
      <c r="H131" s="12">
        <v>0.73194444444444395</v>
      </c>
      <c r="I131" s="12">
        <v>0.78930555555555604</v>
      </c>
      <c r="J131" s="16">
        <v>82</v>
      </c>
      <c r="K131" s="9" t="s">
        <v>30</v>
      </c>
    </row>
    <row r="132" spans="1:11" ht="15" customHeight="1" x14ac:dyDescent="0.2">
      <c r="A132" s="10">
        <v>46240</v>
      </c>
      <c r="B132" s="11">
        <v>0.358333333333333</v>
      </c>
      <c r="C132" s="11">
        <v>0.375</v>
      </c>
      <c r="D132" s="16">
        <v>24</v>
      </c>
      <c r="E132" s="11">
        <v>0.375694444444444</v>
      </c>
      <c r="F132" s="11">
        <v>0.38541666666666702</v>
      </c>
      <c r="G132" s="16">
        <v>14</v>
      </c>
      <c r="J132" s="16"/>
      <c r="K132" s="9" t="s">
        <v>28</v>
      </c>
    </row>
    <row r="133" spans="1:11" ht="15" customHeight="1" x14ac:dyDescent="0.2">
      <c r="A133" s="10">
        <v>46240</v>
      </c>
      <c r="B133" s="11">
        <v>0.71614583333333304</v>
      </c>
      <c r="C133" s="11">
        <v>0.74305555555555602</v>
      </c>
      <c r="D133" s="16">
        <v>39</v>
      </c>
      <c r="E133" s="11">
        <v>0.74305555555555602</v>
      </c>
      <c r="F133" s="11">
        <v>0.76249999999999996</v>
      </c>
      <c r="G133" s="16">
        <v>28</v>
      </c>
      <c r="J133" s="16"/>
      <c r="K133" s="9" t="s">
        <v>33</v>
      </c>
    </row>
    <row r="134" spans="1:11" ht="15" customHeight="1" x14ac:dyDescent="0.2">
      <c r="A134" s="10">
        <v>46240</v>
      </c>
      <c r="B134" s="11">
        <v>0.42708333333333298</v>
      </c>
      <c r="C134" s="11">
        <v>0.47916666666666702</v>
      </c>
      <c r="D134" s="16">
        <v>75</v>
      </c>
      <c r="G134" s="16"/>
      <c r="H134" s="12">
        <v>0.47986111111111102</v>
      </c>
      <c r="I134" s="12">
        <v>0.50347222222222199</v>
      </c>
      <c r="J134" s="16">
        <v>34</v>
      </c>
      <c r="K134" s="9" t="s">
        <v>30</v>
      </c>
    </row>
    <row r="135" spans="1:11" ht="15" customHeight="1" x14ac:dyDescent="0.2">
      <c r="A135" s="10">
        <v>46240</v>
      </c>
      <c r="B135" s="11">
        <v>0.42336805555555601</v>
      </c>
      <c r="C135" s="11">
        <v>0.46875</v>
      </c>
      <c r="D135" s="16">
        <v>66</v>
      </c>
      <c r="E135" s="11">
        <v>0.469444444444444</v>
      </c>
      <c r="F135" s="11">
        <v>0.47916666666666702</v>
      </c>
      <c r="G135" s="16">
        <v>14</v>
      </c>
      <c r="J135" s="16"/>
      <c r="K135" s="9" t="s">
        <v>28</v>
      </c>
    </row>
    <row r="136" spans="1:11" ht="15" customHeight="1" x14ac:dyDescent="0.2">
      <c r="A136" s="10">
        <v>46240</v>
      </c>
      <c r="B136" s="11">
        <v>0.51944444444444404</v>
      </c>
      <c r="C136" s="11">
        <v>0.53554398148148197</v>
      </c>
      <c r="D136" s="16">
        <v>23</v>
      </c>
      <c r="E136" s="11">
        <v>0.53555555555555601</v>
      </c>
      <c r="F136" s="11">
        <v>0.57083333333333297</v>
      </c>
      <c r="G136" s="16">
        <v>51</v>
      </c>
      <c r="J136" s="16"/>
      <c r="K136" s="9" t="s">
        <v>28</v>
      </c>
    </row>
    <row r="137" spans="1:11" ht="15" customHeight="1" x14ac:dyDescent="0.2">
      <c r="A137" s="10">
        <v>46240</v>
      </c>
      <c r="B137" s="11">
        <v>0.43141203703703701</v>
      </c>
      <c r="C137" s="11">
        <v>0.44791666666666702</v>
      </c>
      <c r="D137" s="16">
        <v>24</v>
      </c>
      <c r="E137" s="11">
        <v>0.44861111111111102</v>
      </c>
      <c r="F137" s="11">
        <v>0.49097222222222198</v>
      </c>
      <c r="G137" s="16">
        <v>61</v>
      </c>
      <c r="J137" s="16"/>
      <c r="K137" s="9" t="s">
        <v>28</v>
      </c>
    </row>
    <row r="138" spans="1:11" ht="15" customHeight="1" x14ac:dyDescent="0.2">
      <c r="A138" s="10">
        <v>46240</v>
      </c>
      <c r="B138" s="11">
        <v>0.59166666666666701</v>
      </c>
      <c r="C138" s="11">
        <v>0.616689814814815</v>
      </c>
      <c r="D138" s="16">
        <v>36</v>
      </c>
      <c r="E138" s="11">
        <v>0.61671296296296296</v>
      </c>
      <c r="F138" s="11">
        <v>0.64010416666666703</v>
      </c>
      <c r="G138" s="16">
        <v>33</v>
      </c>
      <c r="J138" s="16"/>
      <c r="K138" s="9" t="s">
        <v>28</v>
      </c>
    </row>
    <row r="139" spans="1:11" ht="15" customHeight="1" x14ac:dyDescent="0.2">
      <c r="A139" s="10">
        <v>46240</v>
      </c>
      <c r="B139" s="11">
        <v>0.74365740740740705</v>
      </c>
      <c r="C139" s="11">
        <v>0.75694444444444398</v>
      </c>
      <c r="D139" s="16">
        <v>20</v>
      </c>
      <c r="E139" s="11">
        <v>0.75763888888888897</v>
      </c>
      <c r="F139" s="11">
        <v>0.76736111111111105</v>
      </c>
      <c r="G139" s="16">
        <v>14</v>
      </c>
      <c r="J139" s="16"/>
      <c r="K139" s="9" t="s">
        <v>33</v>
      </c>
    </row>
    <row r="140" spans="1:11" ht="15" customHeight="1" x14ac:dyDescent="0.2">
      <c r="A140" s="10">
        <v>46240</v>
      </c>
      <c r="B140" s="11">
        <v>0.60565972222222197</v>
      </c>
      <c r="C140" s="11">
        <v>0.63333333333333297</v>
      </c>
      <c r="D140" s="16">
        <v>40</v>
      </c>
      <c r="G140" s="16"/>
      <c r="H140" s="12">
        <v>0.63333333333333297</v>
      </c>
      <c r="I140" s="12">
        <v>0.70895833333333302</v>
      </c>
      <c r="J140" s="16">
        <v>108</v>
      </c>
      <c r="K140" s="9" t="s">
        <v>30</v>
      </c>
    </row>
    <row r="141" spans="1:11" ht="15" customHeight="1" x14ac:dyDescent="0.2">
      <c r="A141" s="10">
        <v>46240</v>
      </c>
      <c r="B141" s="11">
        <v>0.48528935185185201</v>
      </c>
      <c r="C141" s="11">
        <v>0.51759259259259305</v>
      </c>
      <c r="D141" s="16">
        <v>47</v>
      </c>
      <c r="E141" s="11">
        <v>0.52083333333333304</v>
      </c>
      <c r="F141" s="11">
        <v>0.55833333333333302</v>
      </c>
      <c r="G141" s="16">
        <v>54</v>
      </c>
      <c r="J141" s="16"/>
      <c r="K141" s="9" t="s">
        <v>28</v>
      </c>
    </row>
    <row r="142" spans="1:11" ht="15" customHeight="1" x14ac:dyDescent="0.2">
      <c r="A142" s="10">
        <v>46240</v>
      </c>
      <c r="B142" s="11">
        <v>0.62152777777777801</v>
      </c>
      <c r="C142" s="11">
        <v>0.64474537037037005</v>
      </c>
      <c r="D142" s="16">
        <v>33</v>
      </c>
      <c r="G142" s="16"/>
      <c r="H142" s="12">
        <v>0.64495370370370397</v>
      </c>
      <c r="I142" s="12">
        <v>0.68194444444444402</v>
      </c>
      <c r="J142" s="16">
        <v>54</v>
      </c>
      <c r="K142" s="9" t="s">
        <v>28</v>
      </c>
    </row>
    <row r="143" spans="1:11" ht="15" customHeight="1" x14ac:dyDescent="0.2">
      <c r="A143" s="10">
        <v>46240</v>
      </c>
      <c r="B143" s="11">
        <v>0.79861111111111105</v>
      </c>
      <c r="C143" s="11">
        <v>0.88194444444444398</v>
      </c>
      <c r="D143" s="16">
        <v>120</v>
      </c>
      <c r="G143" s="16"/>
      <c r="J143" s="16"/>
      <c r="K143" s="9" t="s">
        <v>41</v>
      </c>
    </row>
    <row r="144" spans="1:11" ht="15" customHeight="1" x14ac:dyDescent="0.2">
      <c r="A144" s="10">
        <v>46240</v>
      </c>
      <c r="B144" s="11">
        <v>0.71527777777777801</v>
      </c>
      <c r="C144" s="11">
        <v>0.77430555555555602</v>
      </c>
      <c r="D144" s="16">
        <v>85</v>
      </c>
      <c r="E144" s="11">
        <v>0.77500000000000002</v>
      </c>
      <c r="F144" s="11">
        <v>0.77638888888888902</v>
      </c>
      <c r="G144" s="16">
        <v>2</v>
      </c>
      <c r="J144" s="16"/>
      <c r="K144" s="9" t="s">
        <v>28</v>
      </c>
    </row>
    <row r="145" spans="1:11" ht="15" customHeight="1" x14ac:dyDescent="0.2">
      <c r="A145" s="10">
        <v>46240</v>
      </c>
      <c r="B145" s="11">
        <v>0.48612268518518498</v>
      </c>
      <c r="C145" s="11">
        <v>0.54166666666666696</v>
      </c>
      <c r="D145" s="16">
        <v>80</v>
      </c>
      <c r="G145" s="16"/>
      <c r="J145" s="16"/>
      <c r="K145" s="9" t="s">
        <v>28</v>
      </c>
    </row>
    <row r="146" spans="1:11" ht="15" customHeight="1" x14ac:dyDescent="0.2">
      <c r="A146" s="10">
        <v>46240</v>
      </c>
      <c r="B146" s="11">
        <v>0.53130787037036997</v>
      </c>
      <c r="C146" s="11">
        <v>0.594444444444444</v>
      </c>
      <c r="D146" s="16">
        <v>91</v>
      </c>
      <c r="G146" s="16"/>
      <c r="H146" s="12">
        <v>0.59513888888888899</v>
      </c>
      <c r="I146" s="12">
        <v>0.63055555555555598</v>
      </c>
      <c r="J146" s="16">
        <v>51</v>
      </c>
      <c r="K146" s="9" t="s">
        <v>30</v>
      </c>
    </row>
    <row r="147" spans="1:11" ht="15" customHeight="1" x14ac:dyDescent="0.2">
      <c r="A147" s="10">
        <v>46240</v>
      </c>
      <c r="B147" s="11">
        <v>0.49375000000000002</v>
      </c>
      <c r="C147" s="11">
        <v>0.52083333333333304</v>
      </c>
      <c r="D147" s="16">
        <v>39</v>
      </c>
      <c r="G147" s="16"/>
      <c r="J147" s="16"/>
      <c r="K147" s="9" t="s">
        <v>32</v>
      </c>
    </row>
    <row r="148" spans="1:11" ht="15" customHeight="1" x14ac:dyDescent="0.2">
      <c r="A148" s="10">
        <v>46240</v>
      </c>
      <c r="B148" s="11">
        <v>0.58525462962963004</v>
      </c>
      <c r="C148" s="11">
        <v>0.64803240740740697</v>
      </c>
      <c r="D148" s="16">
        <v>91</v>
      </c>
      <c r="G148" s="16"/>
      <c r="J148" s="16"/>
      <c r="K148" s="9" t="s">
        <v>30</v>
      </c>
    </row>
    <row r="149" spans="1:11" ht="15" customHeight="1" x14ac:dyDescent="0.2">
      <c r="A149" s="10">
        <v>46240</v>
      </c>
      <c r="B149" s="11">
        <v>0.65896990740740702</v>
      </c>
      <c r="C149" s="11">
        <v>0.688194444444444</v>
      </c>
      <c r="D149" s="16">
        <v>43</v>
      </c>
      <c r="G149" s="16"/>
      <c r="J149" s="16"/>
      <c r="K149" s="9" t="s">
        <v>39</v>
      </c>
    </row>
    <row r="150" spans="1:11" ht="15" customHeight="1" x14ac:dyDescent="0.2">
      <c r="A150" s="10">
        <v>46240</v>
      </c>
      <c r="B150" s="11">
        <v>0.53591435185185199</v>
      </c>
      <c r="C150" s="11">
        <v>0.58333333333333304</v>
      </c>
      <c r="D150" s="18">
        <v>69</v>
      </c>
      <c r="E150" s="11">
        <v>0.58333333333333304</v>
      </c>
      <c r="F150" s="11">
        <v>0.58472222222222203</v>
      </c>
      <c r="G150" s="18">
        <v>2</v>
      </c>
    </row>
    <row r="151" spans="1:11" ht="15" customHeight="1" x14ac:dyDescent="0.2">
      <c r="A151" s="10">
        <v>46240</v>
      </c>
      <c r="E151" s="11">
        <v>0.43541666666666701</v>
      </c>
      <c r="F151" s="11">
        <v>0.51111111111111096</v>
      </c>
      <c r="G151" s="18">
        <v>109</v>
      </c>
    </row>
    <row r="152" spans="1:11" ht="15" customHeight="1" x14ac:dyDescent="0.2">
      <c r="A152" s="10">
        <v>46240</v>
      </c>
      <c r="E152" s="11">
        <v>0.452083333333333</v>
      </c>
      <c r="F152" s="11">
        <v>0.51936342592592599</v>
      </c>
      <c r="G152" s="18">
        <v>96</v>
      </c>
    </row>
    <row r="153" spans="1:11" ht="15" customHeight="1" x14ac:dyDescent="0.2">
      <c r="A153" s="10">
        <v>46240</v>
      </c>
      <c r="E153" s="11">
        <v>0.66319444444444398</v>
      </c>
      <c r="F153" s="11">
        <v>0.75430555555555601</v>
      </c>
      <c r="G153" s="18">
        <v>131</v>
      </c>
    </row>
    <row r="154" spans="1:11" ht="15" customHeight="1" x14ac:dyDescent="0.2">
      <c r="A154" s="10">
        <v>46240</v>
      </c>
      <c r="B154" s="11">
        <v>0.75694444444444398</v>
      </c>
      <c r="C154" s="11">
        <v>0.77569444444444402</v>
      </c>
      <c r="D154" s="16">
        <v>27</v>
      </c>
      <c r="G154" s="16"/>
      <c r="H154" s="12">
        <v>0.77638888888888902</v>
      </c>
      <c r="I154" s="12">
        <v>0.81944444444444398</v>
      </c>
      <c r="J154" s="16">
        <v>62</v>
      </c>
      <c r="K154" s="9" t="s">
        <v>33</v>
      </c>
    </row>
    <row r="155" spans="1:11" ht="15" customHeight="1" x14ac:dyDescent="0.2">
      <c r="A155" s="10">
        <v>46240</v>
      </c>
      <c r="B155" s="11">
        <v>0.80543981481481497</v>
      </c>
      <c r="C155" s="11">
        <v>0.84373842592592596</v>
      </c>
      <c r="D155" s="16">
        <v>55</v>
      </c>
      <c r="G155" s="16"/>
      <c r="J155" s="16"/>
      <c r="K155" s="9" t="s">
        <v>28</v>
      </c>
    </row>
    <row r="156" spans="1:11" ht="15" customHeight="1" x14ac:dyDescent="0.2">
      <c r="A156" s="10">
        <v>46240</v>
      </c>
      <c r="B156" s="11">
        <v>0.84482638888888895</v>
      </c>
      <c r="C156" s="11">
        <v>0.89513888888888904</v>
      </c>
      <c r="D156" s="18">
        <v>73</v>
      </c>
    </row>
    <row r="157" spans="1:11" ht="15" customHeight="1" x14ac:dyDescent="0.2">
      <c r="A157" s="10">
        <v>46240</v>
      </c>
      <c r="B157" s="11">
        <v>0.34133101851851799</v>
      </c>
      <c r="C157" s="11">
        <v>0.4375</v>
      </c>
      <c r="D157" s="16">
        <v>139</v>
      </c>
      <c r="G157" s="16"/>
      <c r="H157" s="12">
        <v>0.438194444444444</v>
      </c>
      <c r="I157" s="12">
        <v>0.499305555555556</v>
      </c>
      <c r="J157" s="16">
        <v>88</v>
      </c>
      <c r="K157" s="9" t="s">
        <v>33</v>
      </c>
    </row>
    <row r="158" spans="1:11" ht="15" customHeight="1" x14ac:dyDescent="0.2">
      <c r="A158" s="10">
        <v>46240</v>
      </c>
      <c r="B158" s="11">
        <v>0.49604166666666699</v>
      </c>
      <c r="C158" s="11">
        <v>0.55208333333333304</v>
      </c>
      <c r="D158" s="16">
        <v>81</v>
      </c>
      <c r="G158" s="16"/>
      <c r="J158" s="16"/>
      <c r="K158" s="9" t="s">
        <v>33</v>
      </c>
    </row>
    <row r="159" spans="1:11" ht="15" customHeight="1" x14ac:dyDescent="0.2">
      <c r="A159" s="10">
        <v>46240</v>
      </c>
      <c r="B159" s="11">
        <v>0.561805555555556</v>
      </c>
      <c r="C159" s="11">
        <v>0.594444444444444</v>
      </c>
      <c r="D159" s="16">
        <v>47</v>
      </c>
      <c r="E159" s="11">
        <v>0.59513888888888899</v>
      </c>
      <c r="F159" s="11">
        <v>0.60277777777777797</v>
      </c>
      <c r="G159" s="16">
        <v>11</v>
      </c>
      <c r="J159" s="16"/>
      <c r="K159" s="9" t="s">
        <v>33</v>
      </c>
    </row>
    <row r="160" spans="1:11" ht="15" customHeight="1" x14ac:dyDescent="0.2">
      <c r="A160" s="10">
        <v>46240</v>
      </c>
      <c r="B160" s="11">
        <v>0.34027777777777801</v>
      </c>
      <c r="C160" s="11">
        <v>0.35798611111111101</v>
      </c>
      <c r="D160" s="16">
        <v>25</v>
      </c>
      <c r="E160" s="11">
        <v>0.35800925925925903</v>
      </c>
      <c r="F160" s="11">
        <v>0.39350694444444401</v>
      </c>
      <c r="G160" s="16">
        <v>51</v>
      </c>
      <c r="J160" s="16"/>
      <c r="K160" s="9" t="s">
        <v>33</v>
      </c>
    </row>
    <row r="161" spans="1:11" ht="15" customHeight="1" x14ac:dyDescent="0.2">
      <c r="A161" s="10">
        <v>46240</v>
      </c>
      <c r="B161" s="11">
        <v>0.625</v>
      </c>
      <c r="C161" s="11">
        <v>0.69861111111111096</v>
      </c>
      <c r="D161" s="16">
        <v>106</v>
      </c>
      <c r="E161" s="11">
        <v>0.69930555555555596</v>
      </c>
      <c r="F161" s="11">
        <v>0.72083333333333299</v>
      </c>
      <c r="G161" s="16">
        <v>31</v>
      </c>
      <c r="J161" s="16"/>
      <c r="K161" s="9" t="s">
        <v>33</v>
      </c>
    </row>
    <row r="162" spans="1:11" ht="15" customHeight="1" x14ac:dyDescent="0.2">
      <c r="A162" s="10">
        <v>46241</v>
      </c>
      <c r="B162" s="11">
        <v>0.56274305555555604</v>
      </c>
      <c r="C162" s="11">
        <v>0.63533564814814802</v>
      </c>
      <c r="D162" s="16">
        <v>104</v>
      </c>
      <c r="G162" s="16"/>
      <c r="J162" s="16"/>
      <c r="K162" s="9" t="s">
        <v>33</v>
      </c>
    </row>
    <row r="163" spans="1:11" ht="15" customHeight="1" x14ac:dyDescent="0.2">
      <c r="A163" s="10">
        <v>46241</v>
      </c>
      <c r="B163" s="11">
        <v>0.60486111111111096</v>
      </c>
      <c r="C163" s="11">
        <v>0.625</v>
      </c>
      <c r="D163" s="16">
        <v>29</v>
      </c>
      <c r="G163" s="16"/>
      <c r="J163" s="16"/>
      <c r="K163" s="9" t="s">
        <v>33</v>
      </c>
    </row>
    <row r="164" spans="1:11" ht="15" customHeight="1" x14ac:dyDescent="0.2">
      <c r="A164" s="10">
        <v>46241</v>
      </c>
      <c r="B164" s="11">
        <v>0.35555555555555601</v>
      </c>
      <c r="C164" s="11">
        <v>0.375694444444444</v>
      </c>
      <c r="D164" s="16">
        <v>29</v>
      </c>
      <c r="E164" s="11">
        <v>0.375694444444444</v>
      </c>
      <c r="F164" s="11">
        <v>0.40972222222222199</v>
      </c>
      <c r="G164" s="16">
        <v>49</v>
      </c>
      <c r="J164" s="16"/>
      <c r="K164" s="9" t="s">
        <v>49</v>
      </c>
    </row>
    <row r="165" spans="1:11" ht="15" customHeight="1" x14ac:dyDescent="0.2">
      <c r="A165" s="10">
        <v>46241</v>
      </c>
      <c r="B165" s="11">
        <v>0.55000000000000004</v>
      </c>
      <c r="C165" s="11">
        <v>0.58402777777777803</v>
      </c>
      <c r="D165" s="16">
        <v>49</v>
      </c>
      <c r="E165" s="11">
        <v>0.58402777777777803</v>
      </c>
      <c r="F165" s="11">
        <v>0.60763888888888895</v>
      </c>
      <c r="G165" s="16">
        <v>34</v>
      </c>
      <c r="J165" s="16"/>
      <c r="K165" s="9" t="s">
        <v>28</v>
      </c>
    </row>
    <row r="166" spans="1:11" ht="15" customHeight="1" x14ac:dyDescent="0.2">
      <c r="A166" s="10">
        <v>46241</v>
      </c>
      <c r="B166" s="11">
        <v>0.36075231481481501</v>
      </c>
      <c r="C166" s="11">
        <v>0.40972222222222199</v>
      </c>
      <c r="D166" s="16">
        <v>71</v>
      </c>
      <c r="E166" s="11">
        <v>0.41041666666666698</v>
      </c>
      <c r="F166" s="11">
        <v>0.42013888888888901</v>
      </c>
      <c r="G166" s="16">
        <v>14</v>
      </c>
      <c r="J166" s="16"/>
      <c r="K166" s="9" t="s">
        <v>28</v>
      </c>
    </row>
    <row r="167" spans="1:11" ht="15" customHeight="1" x14ac:dyDescent="0.2">
      <c r="A167" s="10">
        <v>46241</v>
      </c>
      <c r="B167" s="11">
        <v>0.541678240740741</v>
      </c>
      <c r="C167" s="11">
        <v>0.58333333333333304</v>
      </c>
      <c r="D167" s="16">
        <v>60</v>
      </c>
      <c r="E167" s="11">
        <v>0.58402777777777803</v>
      </c>
      <c r="F167" s="11">
        <v>0.72569444444444398</v>
      </c>
      <c r="G167" s="16">
        <v>204</v>
      </c>
      <c r="J167" s="16"/>
      <c r="K167" s="9" t="s">
        <v>30</v>
      </c>
    </row>
    <row r="168" spans="1:11" ht="15" customHeight="1" x14ac:dyDescent="0.2">
      <c r="A168" s="10">
        <v>46241</v>
      </c>
      <c r="B168" s="11">
        <v>0.34097222222222201</v>
      </c>
      <c r="C168" s="11">
        <v>0.375</v>
      </c>
      <c r="D168" s="16">
        <v>49</v>
      </c>
      <c r="E168" s="11">
        <v>0.375694444444444</v>
      </c>
      <c r="F168" s="11">
        <v>0.40815972222222202</v>
      </c>
      <c r="G168" s="16">
        <v>46</v>
      </c>
      <c r="J168" s="16"/>
      <c r="K168" s="9" t="s">
        <v>39</v>
      </c>
    </row>
    <row r="169" spans="1:11" ht="15" customHeight="1" x14ac:dyDescent="0.2">
      <c r="A169" s="10">
        <v>46241</v>
      </c>
      <c r="B169" s="11">
        <v>0.35423611111111097</v>
      </c>
      <c r="C169" s="11">
        <v>0.42847222222222198</v>
      </c>
      <c r="D169" s="16">
        <v>107</v>
      </c>
      <c r="E169" s="11">
        <v>0.42916666666666697</v>
      </c>
      <c r="F169" s="11">
        <v>0.52569444444444402</v>
      </c>
      <c r="G169" s="16">
        <v>139</v>
      </c>
      <c r="J169" s="16"/>
      <c r="K169" s="9" t="s">
        <v>33</v>
      </c>
    </row>
    <row r="170" spans="1:11" ht="15" customHeight="1" x14ac:dyDescent="0.2">
      <c r="A170" s="10">
        <v>46241</v>
      </c>
      <c r="B170" s="11">
        <v>0.47222222222222199</v>
      </c>
      <c r="C170" s="11">
        <v>0.51736111111111105</v>
      </c>
      <c r="D170" s="16">
        <v>65</v>
      </c>
      <c r="G170" s="16"/>
      <c r="H170" s="12">
        <v>0.51736111111111105</v>
      </c>
      <c r="I170" s="12">
        <v>0.62291666666666701</v>
      </c>
      <c r="J170" s="16">
        <v>152</v>
      </c>
      <c r="K170" s="9" t="s">
        <v>33</v>
      </c>
    </row>
    <row r="171" spans="1:11" ht="15" customHeight="1" x14ac:dyDescent="0.2">
      <c r="A171" s="10">
        <v>46241</v>
      </c>
      <c r="B171" s="11">
        <v>0.53125</v>
      </c>
      <c r="C171" s="11">
        <v>0.57291666666666696</v>
      </c>
      <c r="D171" s="16">
        <v>60</v>
      </c>
      <c r="E171" s="11">
        <v>0.57361111111111096</v>
      </c>
      <c r="F171" s="11">
        <v>0.59177083333333302</v>
      </c>
      <c r="G171" s="16">
        <v>26</v>
      </c>
      <c r="J171" s="16"/>
      <c r="K171" s="9" t="s">
        <v>33</v>
      </c>
    </row>
    <row r="172" spans="1:11" ht="15" customHeight="1" x14ac:dyDescent="0.2">
      <c r="A172" s="10">
        <v>46241</v>
      </c>
      <c r="B172" s="11">
        <v>0.59459490740740695</v>
      </c>
      <c r="C172" s="11">
        <v>0.60416666666666696</v>
      </c>
      <c r="D172" s="16">
        <v>14</v>
      </c>
      <c r="E172" s="11">
        <v>0.60486111111111096</v>
      </c>
      <c r="F172" s="11">
        <v>0.66041666666666698</v>
      </c>
      <c r="G172" s="16">
        <v>80</v>
      </c>
      <c r="J172" s="16"/>
      <c r="K172" s="9" t="s">
        <v>33</v>
      </c>
    </row>
    <row r="173" spans="1:11" ht="15" customHeight="1" x14ac:dyDescent="0.2">
      <c r="A173" s="10">
        <v>46241</v>
      </c>
      <c r="B173" s="11">
        <v>0.41968749999999999</v>
      </c>
      <c r="C173" s="11">
        <v>0.45833333333333298</v>
      </c>
      <c r="D173" s="16">
        <v>56</v>
      </c>
      <c r="E173" s="11">
        <v>0.45902777777777798</v>
      </c>
      <c r="F173" s="11">
        <v>0.48611111111111099</v>
      </c>
      <c r="G173" s="16">
        <v>39</v>
      </c>
      <c r="J173" s="16"/>
      <c r="K173" s="9" t="s">
        <v>28</v>
      </c>
    </row>
    <row r="174" spans="1:11" ht="15" customHeight="1" x14ac:dyDescent="0.2">
      <c r="A174" s="10">
        <v>46241</v>
      </c>
      <c r="B174" s="11">
        <v>0.49135416666666698</v>
      </c>
      <c r="C174" s="11">
        <v>0.55208333333333304</v>
      </c>
      <c r="D174" s="16">
        <v>88</v>
      </c>
      <c r="E174" s="11">
        <v>0.55277777777777803</v>
      </c>
      <c r="F174" s="11">
        <v>0.57638888888888895</v>
      </c>
      <c r="G174" s="16">
        <v>34</v>
      </c>
      <c r="J174" s="16"/>
      <c r="K174" s="9" t="s">
        <v>28</v>
      </c>
    </row>
    <row r="175" spans="1:11" ht="15" customHeight="1" x14ac:dyDescent="0.2">
      <c r="A175" s="10">
        <v>46241</v>
      </c>
      <c r="B175" s="11">
        <v>0.41469907407407403</v>
      </c>
      <c r="C175" s="11">
        <v>0.44791666666666702</v>
      </c>
      <c r="D175" s="16">
        <v>48</v>
      </c>
      <c r="G175" s="16"/>
      <c r="H175" s="12">
        <v>0.44791666666666702</v>
      </c>
      <c r="I175" s="12">
        <v>0.56597222222222199</v>
      </c>
      <c r="J175" s="16">
        <v>170</v>
      </c>
      <c r="K175" s="9" t="s">
        <v>30</v>
      </c>
    </row>
    <row r="176" spans="1:11" ht="15" customHeight="1" x14ac:dyDescent="0.2">
      <c r="A176" s="10">
        <v>46241</v>
      </c>
      <c r="B176" s="11">
        <v>0.358333333333333</v>
      </c>
      <c r="C176" s="11">
        <v>0.432152777777778</v>
      </c>
      <c r="D176" s="16">
        <v>106</v>
      </c>
      <c r="E176" s="11">
        <v>0.43231481481481498</v>
      </c>
      <c r="F176" s="11">
        <v>0.44097222222222199</v>
      </c>
      <c r="G176" s="16">
        <v>13</v>
      </c>
      <c r="J176" s="16"/>
      <c r="K176" s="9" t="s">
        <v>28</v>
      </c>
    </row>
    <row r="177" spans="1:11" ht="15" customHeight="1" x14ac:dyDescent="0.2">
      <c r="A177" s="10">
        <v>46241</v>
      </c>
      <c r="B177" s="11">
        <v>0.50694444444444398</v>
      </c>
      <c r="C177" s="11">
        <v>0.594444444444444</v>
      </c>
      <c r="D177" s="16">
        <v>126</v>
      </c>
      <c r="E177" s="11">
        <v>0.61458333333333304</v>
      </c>
      <c r="F177" s="11">
        <v>0.65486111111111101</v>
      </c>
      <c r="G177" s="16">
        <v>58</v>
      </c>
      <c r="J177" s="16"/>
      <c r="K177" s="9" t="s">
        <v>30</v>
      </c>
    </row>
    <row r="178" spans="1:11" ht="15" customHeight="1" x14ac:dyDescent="0.2">
      <c r="A178" s="10">
        <v>46241</v>
      </c>
      <c r="B178" s="11">
        <v>0.70940972222222198</v>
      </c>
      <c r="C178" s="11">
        <v>0.72986111111111096</v>
      </c>
      <c r="D178" s="16">
        <v>30</v>
      </c>
      <c r="G178" s="16"/>
      <c r="H178" s="12">
        <v>0.73055555555555596</v>
      </c>
      <c r="I178" s="12">
        <v>0.76805555555555605</v>
      </c>
      <c r="J178" s="16">
        <v>54</v>
      </c>
      <c r="K178" s="9" t="s">
        <v>28</v>
      </c>
    </row>
    <row r="179" spans="1:11" ht="15" customHeight="1" x14ac:dyDescent="0.2">
      <c r="A179" s="10">
        <v>46241</v>
      </c>
      <c r="B179" s="11">
        <v>0.42708333333333298</v>
      </c>
      <c r="C179" s="11">
        <v>0.44166666666666698</v>
      </c>
      <c r="D179" s="16">
        <v>21</v>
      </c>
      <c r="E179" s="11">
        <v>0.44166666666666698</v>
      </c>
      <c r="F179" s="11">
        <v>0.46527777777777801</v>
      </c>
      <c r="G179" s="16">
        <v>34</v>
      </c>
      <c r="J179" s="16"/>
      <c r="K179" s="9" t="s">
        <v>39</v>
      </c>
    </row>
    <row r="180" spans="1:11" ht="15" customHeight="1" x14ac:dyDescent="0.2">
      <c r="A180" s="10">
        <v>46241</v>
      </c>
      <c r="B180" s="11">
        <v>0.43043981481481502</v>
      </c>
      <c r="C180" s="11">
        <v>0.47222222222222199</v>
      </c>
      <c r="D180" s="16">
        <v>61</v>
      </c>
      <c r="E180" s="11">
        <v>0.47291666666666698</v>
      </c>
      <c r="F180" s="11">
        <v>0.47569444444444398</v>
      </c>
      <c r="G180" s="16">
        <v>4</v>
      </c>
      <c r="J180" s="16"/>
      <c r="K180" s="9" t="s">
        <v>33</v>
      </c>
    </row>
    <row r="181" spans="1:11" ht="15" customHeight="1" x14ac:dyDescent="0.2">
      <c r="A181" s="10">
        <v>46241</v>
      </c>
      <c r="B181" s="11">
        <v>0.51622685185185202</v>
      </c>
      <c r="C181" s="11">
        <v>0.563194444444444</v>
      </c>
      <c r="D181" s="16">
        <v>68</v>
      </c>
      <c r="E181" s="11">
        <v>0.56388888888888899</v>
      </c>
      <c r="F181" s="11">
        <v>0.59027777777777801</v>
      </c>
      <c r="G181" s="16">
        <v>38</v>
      </c>
      <c r="J181" s="16"/>
      <c r="K181" s="9" t="s">
        <v>39</v>
      </c>
    </row>
    <row r="182" spans="1:11" ht="15" customHeight="1" x14ac:dyDescent="0.2">
      <c r="A182" s="10">
        <v>46241</v>
      </c>
      <c r="B182" s="11">
        <v>0.58888888888888902</v>
      </c>
      <c r="C182" s="11">
        <v>0.61388888888888904</v>
      </c>
      <c r="D182" s="16">
        <v>36</v>
      </c>
      <c r="E182" s="11">
        <v>0.61458333333333304</v>
      </c>
      <c r="F182" s="11">
        <v>0.64791666666666703</v>
      </c>
      <c r="G182" s="16">
        <v>48</v>
      </c>
      <c r="J182" s="16"/>
      <c r="K182" s="9" t="s">
        <v>28</v>
      </c>
    </row>
    <row r="183" spans="1:11" ht="15" customHeight="1" x14ac:dyDescent="0.2">
      <c r="A183" s="10">
        <v>46241</v>
      </c>
      <c r="B183" s="11">
        <v>0.40158564814814801</v>
      </c>
      <c r="C183" s="11">
        <v>0.46597222222222201</v>
      </c>
      <c r="D183" s="16">
        <v>93</v>
      </c>
      <c r="G183" s="16"/>
      <c r="J183" s="16"/>
      <c r="K183" s="9" t="s">
        <v>47</v>
      </c>
    </row>
    <row r="184" spans="1:11" ht="15" customHeight="1" x14ac:dyDescent="0.2">
      <c r="A184" s="10">
        <v>46241</v>
      </c>
      <c r="B184" s="11">
        <v>0.65324074074074101</v>
      </c>
      <c r="C184" s="11">
        <v>0.67291666666666705</v>
      </c>
      <c r="D184" s="16">
        <v>29</v>
      </c>
      <c r="G184" s="16"/>
      <c r="J184" s="16"/>
      <c r="K184" s="9" t="s">
        <v>33</v>
      </c>
    </row>
    <row r="185" spans="1:11" ht="15" customHeight="1" x14ac:dyDescent="0.2">
      <c r="A185" s="10">
        <v>46241</v>
      </c>
      <c r="B185" s="11">
        <v>0.43062499999999998</v>
      </c>
      <c r="C185" s="11">
        <v>0.483333333333333</v>
      </c>
      <c r="D185" s="16">
        <v>76</v>
      </c>
      <c r="G185" s="16"/>
      <c r="H185" s="12">
        <v>0.484027777777778</v>
      </c>
      <c r="I185" s="12">
        <v>0.49166666666666697</v>
      </c>
      <c r="J185" s="16">
        <v>11</v>
      </c>
      <c r="K185" s="9" t="s">
        <v>30</v>
      </c>
    </row>
    <row r="186" spans="1:11" ht="15" customHeight="1" x14ac:dyDescent="0.2">
      <c r="A186" s="10">
        <v>46241</v>
      </c>
      <c r="B186" s="11">
        <v>0.64236111111111105</v>
      </c>
      <c r="C186" s="11">
        <v>0.70833333333333304</v>
      </c>
      <c r="D186" s="16">
        <v>95</v>
      </c>
      <c r="G186" s="16"/>
      <c r="H186" s="12">
        <v>0.70902777777777803</v>
      </c>
      <c r="I186" s="12">
        <v>0.83750000000000002</v>
      </c>
      <c r="J186" s="16">
        <v>185</v>
      </c>
      <c r="K186" s="9" t="s">
        <v>41</v>
      </c>
    </row>
    <row r="187" spans="1:11" ht="15" customHeight="1" x14ac:dyDescent="0.2">
      <c r="A187" s="10">
        <v>46241</v>
      </c>
      <c r="B187" s="11">
        <v>0.43495370370370401</v>
      </c>
      <c r="C187" s="11">
        <v>0.49652777777777801</v>
      </c>
      <c r="D187" s="16">
        <v>89</v>
      </c>
      <c r="G187" s="16"/>
      <c r="J187" s="16"/>
      <c r="K187" s="9" t="s">
        <v>44</v>
      </c>
    </row>
    <row r="188" spans="1:11" ht="15" customHeight="1" x14ac:dyDescent="0.2">
      <c r="A188" s="10">
        <v>46241</v>
      </c>
      <c r="B188" s="11">
        <v>0.65928240740740696</v>
      </c>
      <c r="C188" s="11">
        <v>0.67708333333333304</v>
      </c>
      <c r="D188" s="16">
        <v>26</v>
      </c>
      <c r="G188" s="16"/>
      <c r="J188" s="16"/>
      <c r="K188" s="9" t="s">
        <v>33</v>
      </c>
    </row>
    <row r="189" spans="1:11" ht="15" customHeight="1" x14ac:dyDescent="0.2">
      <c r="A189" s="10">
        <v>46241</v>
      </c>
      <c r="B189" s="11">
        <v>0.69739583333333299</v>
      </c>
      <c r="C189" s="11">
        <v>0.73888888888888904</v>
      </c>
      <c r="D189" s="16">
        <v>60</v>
      </c>
      <c r="G189" s="16"/>
      <c r="J189" s="16"/>
      <c r="K189" s="9" t="s">
        <v>33</v>
      </c>
    </row>
    <row r="190" spans="1:11" ht="15" customHeight="1" x14ac:dyDescent="0.2">
      <c r="A190" s="10">
        <v>46241</v>
      </c>
      <c r="B190" s="11">
        <v>0.73958333333333304</v>
      </c>
      <c r="C190" s="11">
        <v>0.75</v>
      </c>
      <c r="D190" s="16">
        <v>15</v>
      </c>
      <c r="G190" s="16"/>
      <c r="J190" s="16"/>
      <c r="K190" s="9" t="s">
        <v>33</v>
      </c>
    </row>
    <row r="191" spans="1:11" ht="15" customHeight="1" x14ac:dyDescent="0.2">
      <c r="A191" s="10">
        <v>46241</v>
      </c>
      <c r="B191" s="11">
        <v>0.54620370370370397</v>
      </c>
      <c r="C191" s="11">
        <v>0.58402777777777803</v>
      </c>
      <c r="D191" s="16">
        <v>55</v>
      </c>
      <c r="G191" s="16"/>
      <c r="H191" s="12">
        <v>0.58472222222222203</v>
      </c>
      <c r="I191" s="12">
        <v>0.6</v>
      </c>
      <c r="J191" s="16">
        <v>22</v>
      </c>
      <c r="K191" s="9" t="s">
        <v>30</v>
      </c>
    </row>
    <row r="192" spans="1:11" ht="15" customHeight="1" x14ac:dyDescent="0.2">
      <c r="A192" s="10">
        <v>46241</v>
      </c>
      <c r="E192" s="11">
        <v>0.44513888888888897</v>
      </c>
      <c r="F192" s="11">
        <v>0.55928240740740698</v>
      </c>
      <c r="G192" s="18">
        <v>164</v>
      </c>
    </row>
    <row r="193" spans="1:11" ht="15" customHeight="1" x14ac:dyDescent="0.2">
      <c r="A193" s="10">
        <v>46241</v>
      </c>
      <c r="B193" s="11">
        <v>0.53828703703703695</v>
      </c>
      <c r="C193" s="11">
        <v>0.78819444444444398</v>
      </c>
      <c r="D193" s="18">
        <v>360</v>
      </c>
    </row>
    <row r="194" spans="1:11" ht="15" customHeight="1" x14ac:dyDescent="0.2">
      <c r="A194" s="10">
        <v>46241</v>
      </c>
      <c r="B194" s="11">
        <v>0.520821759259259</v>
      </c>
      <c r="C194" s="11">
        <v>0.58055555555555605</v>
      </c>
      <c r="D194" s="16">
        <v>87</v>
      </c>
      <c r="G194" s="16"/>
      <c r="J194" s="16"/>
      <c r="K194" s="9" t="s">
        <v>28</v>
      </c>
    </row>
    <row r="195" spans="1:11" ht="15" customHeight="1" x14ac:dyDescent="0.2">
      <c r="A195" s="10">
        <v>46241</v>
      </c>
      <c r="B195" s="11">
        <v>0.61763888888888896</v>
      </c>
      <c r="C195" s="11">
        <v>0.64652777777777803</v>
      </c>
      <c r="D195" s="16">
        <v>42</v>
      </c>
      <c r="G195" s="16"/>
      <c r="H195" s="12">
        <v>0.64722222222222203</v>
      </c>
      <c r="I195" s="12">
        <v>0.67083333333333295</v>
      </c>
      <c r="J195" s="16">
        <v>34</v>
      </c>
      <c r="K195" s="9" t="s">
        <v>28</v>
      </c>
    </row>
    <row r="196" spans="1:11" ht="15" customHeight="1" x14ac:dyDescent="0.2">
      <c r="A196" s="10">
        <v>46241</v>
      </c>
      <c r="B196" s="11">
        <v>0.62847222222222199</v>
      </c>
      <c r="C196" s="11">
        <v>0.65625</v>
      </c>
      <c r="D196" s="18">
        <v>40</v>
      </c>
    </row>
    <row r="197" spans="1:11" ht="15" customHeight="1" x14ac:dyDescent="0.2">
      <c r="A197" s="10">
        <v>46241</v>
      </c>
      <c r="B197" s="11">
        <v>0.78958333333333297</v>
      </c>
      <c r="C197" s="11">
        <v>0.843055555555556</v>
      </c>
      <c r="D197" s="16">
        <v>77</v>
      </c>
      <c r="G197" s="16"/>
      <c r="J197" s="16"/>
      <c r="K197" s="9" t="s">
        <v>33</v>
      </c>
    </row>
    <row r="198" spans="1:11" ht="15" customHeight="1" x14ac:dyDescent="0.2">
      <c r="A198" s="10">
        <v>46241</v>
      </c>
      <c r="B198" s="11">
        <v>0.91366898148148101</v>
      </c>
      <c r="C198" s="11">
        <v>0.97663194444444401</v>
      </c>
      <c r="D198" s="16">
        <v>91</v>
      </c>
      <c r="G198" s="16"/>
      <c r="J198" s="16"/>
      <c r="K198" s="9" t="s">
        <v>39</v>
      </c>
    </row>
    <row r="199" spans="1:11" ht="15" customHeight="1" x14ac:dyDescent="0.2">
      <c r="A199" s="10">
        <v>46241</v>
      </c>
      <c r="B199" s="11">
        <v>0.46388888888888902</v>
      </c>
      <c r="C199" s="11">
        <v>0.47986111111111102</v>
      </c>
      <c r="D199" s="16">
        <v>23</v>
      </c>
      <c r="E199" s="11">
        <v>0.47986111111111102</v>
      </c>
      <c r="F199" s="11">
        <v>0.53472222222222199</v>
      </c>
      <c r="G199" s="16">
        <v>79</v>
      </c>
      <c r="J199" s="16"/>
      <c r="K199" s="9" t="s">
        <v>28</v>
      </c>
    </row>
    <row r="200" spans="1:11" ht="15" customHeight="1" x14ac:dyDescent="0.2">
      <c r="A200" s="10">
        <v>46241</v>
      </c>
      <c r="B200" s="11">
        <v>0.62013888888888902</v>
      </c>
      <c r="C200" s="11">
        <v>0.64583333333333304</v>
      </c>
      <c r="D200" s="16">
        <v>37</v>
      </c>
      <c r="E200" s="11">
        <v>0.64652777777777803</v>
      </c>
      <c r="F200" s="11">
        <v>0.66666666666666696</v>
      </c>
      <c r="G200" s="16">
        <v>29</v>
      </c>
      <c r="J200" s="16"/>
      <c r="K200" s="9" t="s">
        <v>28</v>
      </c>
    </row>
    <row r="201" spans="1:11" ht="15" customHeight="1" x14ac:dyDescent="0.2">
      <c r="A201" s="10">
        <v>46241</v>
      </c>
      <c r="B201" s="11">
        <v>0.54166666666666696</v>
      </c>
      <c r="C201" s="11">
        <v>0.625694444444444</v>
      </c>
      <c r="D201" s="16">
        <v>121</v>
      </c>
      <c r="E201" s="11">
        <v>0.62638888888888899</v>
      </c>
      <c r="F201" s="11">
        <v>0.64236111111111105</v>
      </c>
      <c r="G201" s="16">
        <v>23</v>
      </c>
      <c r="J201" s="16"/>
      <c r="K201" s="9" t="s">
        <v>28</v>
      </c>
    </row>
    <row r="202" spans="1:11" ht="15" customHeight="1" x14ac:dyDescent="0.2">
      <c r="A202" s="10">
        <v>46241</v>
      </c>
      <c r="B202" s="11">
        <v>0.40972222222222199</v>
      </c>
      <c r="C202" s="11">
        <v>0.42013888888888901</v>
      </c>
      <c r="D202" s="16">
        <v>15</v>
      </c>
      <c r="G202" s="16"/>
      <c r="H202" s="12">
        <v>0.420833333333333</v>
      </c>
      <c r="I202" s="12">
        <v>0.59027777777777801</v>
      </c>
      <c r="J202" s="16">
        <v>244</v>
      </c>
      <c r="K202" s="9" t="s">
        <v>30</v>
      </c>
    </row>
    <row r="203" spans="1:11" ht="15" customHeight="1" x14ac:dyDescent="0.2">
      <c r="A203" s="10">
        <v>46242</v>
      </c>
      <c r="B203" s="11">
        <v>0.44394675925925903</v>
      </c>
      <c r="C203" s="11">
        <v>0.469444444444444</v>
      </c>
      <c r="D203" s="16">
        <v>37</v>
      </c>
      <c r="G203" s="16"/>
      <c r="H203" s="12">
        <v>0.47013888888888899</v>
      </c>
      <c r="I203" s="12">
        <v>0.48680555555555599</v>
      </c>
      <c r="J203" s="16">
        <v>24</v>
      </c>
      <c r="K203" s="9" t="s">
        <v>30</v>
      </c>
    </row>
    <row r="204" spans="1:11" ht="15" customHeight="1" x14ac:dyDescent="0.2">
      <c r="A204" s="10">
        <v>46242</v>
      </c>
      <c r="B204" s="11">
        <v>0.67784722222222205</v>
      </c>
      <c r="C204" s="11">
        <v>0.750694444444444</v>
      </c>
      <c r="D204" s="16">
        <v>105</v>
      </c>
      <c r="G204" s="16"/>
      <c r="H204" s="12">
        <v>0.75138888888888899</v>
      </c>
      <c r="I204" s="12">
        <v>0.76666666666666705</v>
      </c>
      <c r="J204" s="16">
        <v>22</v>
      </c>
      <c r="K204" s="9" t="s">
        <v>30</v>
      </c>
    </row>
    <row r="205" spans="1:11" ht="15" customHeight="1" x14ac:dyDescent="0.2">
      <c r="A205" s="10">
        <v>46242</v>
      </c>
      <c r="B205" s="11">
        <v>0.80715277777777805</v>
      </c>
      <c r="C205" s="11">
        <v>0.84861111111111098</v>
      </c>
      <c r="D205" s="16">
        <v>60</v>
      </c>
      <c r="G205" s="16"/>
      <c r="J205" s="16"/>
      <c r="K205" s="9" t="s">
        <v>30</v>
      </c>
    </row>
    <row r="206" spans="1:11" ht="15" customHeight="1" x14ac:dyDescent="0.2">
      <c r="A206" s="10">
        <v>46242</v>
      </c>
      <c r="B206" s="11">
        <v>0.73869212962963005</v>
      </c>
      <c r="C206" s="11">
        <v>0.75577546296296305</v>
      </c>
      <c r="D206" s="16">
        <v>25</v>
      </c>
      <c r="G206" s="16"/>
      <c r="J206" s="16"/>
      <c r="K206" s="9" t="s">
        <v>30</v>
      </c>
    </row>
    <row r="207" spans="1:11" ht="15" customHeight="1" x14ac:dyDescent="0.2">
      <c r="A207" s="10">
        <v>46242</v>
      </c>
      <c r="B207" s="11">
        <v>0.91805555555555596</v>
      </c>
      <c r="C207" s="11">
        <v>0.934189814814815</v>
      </c>
      <c r="D207" s="16">
        <v>23</v>
      </c>
      <c r="G207" s="16"/>
      <c r="H207" s="12">
        <v>0.93472222222222201</v>
      </c>
      <c r="I207" s="12">
        <v>0.94791666666666696</v>
      </c>
      <c r="J207" s="16">
        <v>19</v>
      </c>
      <c r="K207" s="9" t="s">
        <v>30</v>
      </c>
    </row>
    <row r="208" spans="1:11" ht="15" customHeight="1" x14ac:dyDescent="0.2">
      <c r="A208" s="10">
        <v>46243</v>
      </c>
      <c r="B208" s="11">
        <v>0.35763888888888901</v>
      </c>
      <c r="C208" s="11">
        <v>0.391666666666667</v>
      </c>
      <c r="D208" s="16">
        <v>49</v>
      </c>
      <c r="G208" s="16"/>
      <c r="J208" s="16"/>
      <c r="K208" s="9" t="s">
        <v>30</v>
      </c>
    </row>
    <row r="209" spans="1:11" ht="15" customHeight="1" x14ac:dyDescent="0.2">
      <c r="A209" s="10">
        <v>46243</v>
      </c>
      <c r="B209" s="11">
        <v>0.34581018518518503</v>
      </c>
      <c r="C209" s="11">
        <v>0.37601851851851897</v>
      </c>
      <c r="D209" s="16">
        <v>44</v>
      </c>
      <c r="G209" s="16"/>
      <c r="J209" s="16"/>
      <c r="K209" s="9" t="s">
        <v>33</v>
      </c>
    </row>
    <row r="210" spans="1:11" ht="15" customHeight="1" x14ac:dyDescent="0.2">
      <c r="A210" s="10">
        <v>46243</v>
      </c>
      <c r="B210" s="11">
        <v>0.41732638888888901</v>
      </c>
      <c r="C210" s="11">
        <v>0.44744212962962998</v>
      </c>
      <c r="D210" s="16">
        <v>44</v>
      </c>
      <c r="G210" s="16"/>
      <c r="J210" s="16"/>
      <c r="K210" s="9" t="s">
        <v>28</v>
      </c>
    </row>
    <row r="211" spans="1:11" ht="15" customHeight="1" x14ac:dyDescent="0.2">
      <c r="A211" s="10">
        <v>46243</v>
      </c>
      <c r="B211" s="11">
        <v>0.57965277777777802</v>
      </c>
      <c r="C211" s="11">
        <v>0.63472222222222197</v>
      </c>
      <c r="D211" s="16">
        <v>80</v>
      </c>
      <c r="G211" s="16"/>
      <c r="J211" s="16"/>
      <c r="K211" s="9" t="s">
        <v>33</v>
      </c>
    </row>
    <row r="212" spans="1:11" ht="15" customHeight="1" x14ac:dyDescent="0.2">
      <c r="A212" s="10">
        <v>46243</v>
      </c>
      <c r="B212" s="11">
        <v>0.79374999999999996</v>
      </c>
      <c r="C212" s="11">
        <v>0.83876157407407403</v>
      </c>
      <c r="D212" s="16">
        <v>64</v>
      </c>
      <c r="G212" s="16"/>
      <c r="J212" s="16"/>
      <c r="K212" s="9" t="s">
        <v>47</v>
      </c>
    </row>
    <row r="213" spans="1:11" ht="15" customHeight="1" x14ac:dyDescent="0.2">
      <c r="A213" s="10">
        <v>46243</v>
      </c>
      <c r="B213" s="11">
        <v>0.99266203703703704</v>
      </c>
      <c r="C213" s="11">
        <v>2.73611111111111E-2</v>
      </c>
      <c r="D213" s="16">
        <v>50</v>
      </c>
      <c r="G213" s="16"/>
      <c r="J213" s="16"/>
      <c r="K213" s="9" t="s">
        <v>33</v>
      </c>
    </row>
    <row r="214" spans="1:11" ht="15" customHeight="1" x14ac:dyDescent="0.2">
      <c r="A214" s="10">
        <v>46244</v>
      </c>
      <c r="B214" s="11">
        <v>0.72430555555555598</v>
      </c>
      <c r="C214" s="11">
        <v>0.77361111111111103</v>
      </c>
      <c r="D214" s="16">
        <v>71</v>
      </c>
      <c r="G214" s="16"/>
      <c r="H214" s="12">
        <v>0.77430555555555602</v>
      </c>
      <c r="I214" s="12">
        <v>0.81597222222222199</v>
      </c>
      <c r="J214" s="16">
        <v>60</v>
      </c>
      <c r="K214" s="9" t="s">
        <v>30</v>
      </c>
    </row>
    <row r="215" spans="1:11" ht="15" customHeight="1" x14ac:dyDescent="0.2">
      <c r="A215" s="10">
        <v>46244</v>
      </c>
      <c r="B215" s="11">
        <v>0.54037037037036995</v>
      </c>
      <c r="C215" s="11">
        <v>0.58333333333333304</v>
      </c>
      <c r="D215" s="16">
        <v>62</v>
      </c>
      <c r="E215" s="11">
        <v>0.58402777777777803</v>
      </c>
      <c r="F215" s="11">
        <v>0.59027777777777801</v>
      </c>
      <c r="G215" s="16">
        <v>9</v>
      </c>
      <c r="J215" s="16"/>
      <c r="K215" s="9" t="s">
        <v>46</v>
      </c>
    </row>
    <row r="216" spans="1:11" ht="15" customHeight="1" x14ac:dyDescent="0.2">
      <c r="A216" s="10">
        <v>46244</v>
      </c>
      <c r="B216" s="11">
        <v>0.516585648148148</v>
      </c>
      <c r="C216" s="11">
        <v>0.56181712962963004</v>
      </c>
      <c r="D216" s="16">
        <v>66</v>
      </c>
      <c r="G216" s="16"/>
      <c r="H216" s="12">
        <v>0.561805555555556</v>
      </c>
      <c r="I216" s="12">
        <v>0.60347222222222197</v>
      </c>
      <c r="J216" s="16">
        <v>60</v>
      </c>
      <c r="K216" s="9" t="s">
        <v>30</v>
      </c>
    </row>
    <row r="217" spans="1:11" ht="15" customHeight="1" x14ac:dyDescent="0.2">
      <c r="A217" s="10">
        <v>46244</v>
      </c>
      <c r="B217" s="11">
        <v>0.391701388888889</v>
      </c>
      <c r="C217" s="11">
        <v>0.42777777777777798</v>
      </c>
      <c r="D217" s="16">
        <v>52</v>
      </c>
      <c r="E217" s="11">
        <v>0.42847222222222198</v>
      </c>
      <c r="F217" s="11">
        <v>0.46319444444444402</v>
      </c>
      <c r="G217" s="16">
        <v>50</v>
      </c>
      <c r="J217" s="16"/>
      <c r="K217" s="9" t="s">
        <v>30</v>
      </c>
    </row>
    <row r="218" spans="1:11" ht="15" customHeight="1" x14ac:dyDescent="0.2">
      <c r="A218" s="10">
        <v>46244</v>
      </c>
      <c r="B218" s="11">
        <v>0.43471064814814803</v>
      </c>
      <c r="C218" s="11">
        <v>0.45741898148148102</v>
      </c>
      <c r="D218" s="16">
        <v>33</v>
      </c>
      <c r="E218" s="11">
        <v>0.45743055555555601</v>
      </c>
      <c r="F218" s="11">
        <v>0.51047453703703705</v>
      </c>
      <c r="G218" s="16">
        <v>77</v>
      </c>
      <c r="J218" s="16"/>
      <c r="K218" s="9" t="s">
        <v>45</v>
      </c>
    </row>
    <row r="219" spans="1:11" ht="15" customHeight="1" x14ac:dyDescent="0.2">
      <c r="A219" s="10">
        <v>46244</v>
      </c>
      <c r="B219" s="11">
        <v>0.59979166666666694</v>
      </c>
      <c r="C219" s="11">
        <v>0.65136574074074105</v>
      </c>
      <c r="D219" s="16">
        <v>74</v>
      </c>
      <c r="G219" s="16"/>
      <c r="J219" s="16"/>
      <c r="K219" s="9" t="s">
        <v>33</v>
      </c>
    </row>
    <row r="220" spans="1:11" ht="15" customHeight="1" x14ac:dyDescent="0.2">
      <c r="A220" s="10">
        <v>46244</v>
      </c>
      <c r="B220" s="11">
        <v>0.35732638888888901</v>
      </c>
      <c r="C220" s="11">
        <v>0.40625</v>
      </c>
      <c r="D220" s="16">
        <v>71</v>
      </c>
      <c r="E220" s="11">
        <v>0.406944444444444</v>
      </c>
      <c r="F220" s="11">
        <v>0.45138888888888901</v>
      </c>
      <c r="G220" s="16">
        <v>64</v>
      </c>
      <c r="J220" s="16"/>
      <c r="K220" s="9" t="s">
        <v>30</v>
      </c>
    </row>
    <row r="221" spans="1:11" ht="15" customHeight="1" x14ac:dyDescent="0.2">
      <c r="A221" s="10">
        <v>46244</v>
      </c>
      <c r="B221" s="11">
        <v>0.40516203703703701</v>
      </c>
      <c r="C221" s="11">
        <v>0.46875</v>
      </c>
      <c r="D221" s="16">
        <v>92</v>
      </c>
      <c r="E221" s="11">
        <v>0.469444444444444</v>
      </c>
      <c r="F221" s="11">
        <v>0.50138888888888899</v>
      </c>
      <c r="G221" s="16">
        <v>46</v>
      </c>
      <c r="J221" s="16"/>
      <c r="K221" s="9" t="s">
        <v>30</v>
      </c>
    </row>
    <row r="222" spans="1:11" ht="15" customHeight="1" x14ac:dyDescent="0.2">
      <c r="A222" s="10">
        <v>46244</v>
      </c>
      <c r="B222" s="11">
        <v>0.91636574074074095</v>
      </c>
      <c r="C222" s="11">
        <v>0.94444444444444398</v>
      </c>
      <c r="D222" s="16">
        <v>41</v>
      </c>
      <c r="G222" s="16"/>
      <c r="J222" s="16"/>
      <c r="K222" s="9" t="s">
        <v>33</v>
      </c>
    </row>
    <row r="223" spans="1:11" ht="15" customHeight="1" x14ac:dyDescent="0.2">
      <c r="A223" s="10">
        <v>46244</v>
      </c>
      <c r="B223" s="11">
        <v>0.48749999999999999</v>
      </c>
      <c r="C223" s="11">
        <v>0.530555555555556</v>
      </c>
      <c r="D223" s="16">
        <v>62</v>
      </c>
      <c r="E223" s="11">
        <v>0.53125</v>
      </c>
      <c r="F223" s="11">
        <v>0.54166666666666696</v>
      </c>
      <c r="G223" s="16">
        <v>15</v>
      </c>
      <c r="J223" s="16"/>
      <c r="K223" s="9" t="s">
        <v>45</v>
      </c>
    </row>
    <row r="224" spans="1:11" ht="15" customHeight="1" x14ac:dyDescent="0.2">
      <c r="A224" s="10">
        <v>46244</v>
      </c>
      <c r="B224" s="11">
        <v>0.60664351851851805</v>
      </c>
      <c r="C224" s="11">
        <v>0.64722222222222203</v>
      </c>
      <c r="D224" s="16">
        <v>59</v>
      </c>
      <c r="G224" s="16"/>
      <c r="J224" s="16"/>
      <c r="K224" s="9" t="s">
        <v>30</v>
      </c>
    </row>
    <row r="225" spans="1:11" ht="15" customHeight="1" x14ac:dyDescent="0.2">
      <c r="A225" s="10">
        <v>46244</v>
      </c>
      <c r="B225" s="11">
        <v>0.52865740740740697</v>
      </c>
      <c r="C225" s="11">
        <v>0.54166666666666696</v>
      </c>
      <c r="D225" s="16">
        <v>19</v>
      </c>
      <c r="G225" s="16"/>
      <c r="H225" s="12">
        <v>0.5625</v>
      </c>
      <c r="I225" s="12">
        <v>0.60555555555555596</v>
      </c>
      <c r="J225" s="16">
        <v>62</v>
      </c>
      <c r="K225" s="9" t="s">
        <v>28</v>
      </c>
    </row>
    <row r="226" spans="1:11" ht="15" customHeight="1" x14ac:dyDescent="0.2">
      <c r="A226" s="10">
        <v>46244</v>
      </c>
      <c r="B226" s="11">
        <v>0.44527777777777799</v>
      </c>
      <c r="C226" s="11">
        <v>0.45763888888888898</v>
      </c>
      <c r="D226" s="16">
        <v>18</v>
      </c>
      <c r="G226" s="16"/>
      <c r="H226" s="12">
        <v>0.47847222222222202</v>
      </c>
      <c r="I226" s="12">
        <v>0.64166666666666705</v>
      </c>
      <c r="J226" s="16">
        <v>235</v>
      </c>
      <c r="K226" s="9" t="s">
        <v>28</v>
      </c>
    </row>
    <row r="227" spans="1:11" ht="15" customHeight="1" x14ac:dyDescent="0.2">
      <c r="A227" s="10">
        <v>46244</v>
      </c>
      <c r="B227" s="11">
        <v>0.63278935185185203</v>
      </c>
      <c r="C227" s="11">
        <v>0.66736111111111096</v>
      </c>
      <c r="D227" s="16">
        <v>50</v>
      </c>
      <c r="E227" s="11">
        <v>0.66805555555555596</v>
      </c>
      <c r="F227" s="11">
        <v>0.68263888888888902</v>
      </c>
      <c r="G227" s="16">
        <v>21</v>
      </c>
      <c r="J227" s="16"/>
      <c r="K227" s="9" t="s">
        <v>28</v>
      </c>
    </row>
    <row r="228" spans="1:11" ht="15" customHeight="1" x14ac:dyDescent="0.2">
      <c r="A228" s="10">
        <v>46244</v>
      </c>
      <c r="B228" s="11">
        <v>0.86684027777777795</v>
      </c>
      <c r="C228" s="11">
        <v>0.91319444444444398</v>
      </c>
      <c r="D228" s="16">
        <v>67</v>
      </c>
      <c r="G228" s="16"/>
      <c r="J228" s="16"/>
      <c r="K228" s="9" t="s">
        <v>33</v>
      </c>
    </row>
    <row r="229" spans="1:11" ht="15" customHeight="1" x14ac:dyDescent="0.2">
      <c r="A229" s="10">
        <v>46244</v>
      </c>
      <c r="B229" s="11">
        <v>0.42737268518518501</v>
      </c>
      <c r="C229" s="11">
        <v>0.48894675925925901</v>
      </c>
      <c r="D229" s="16">
        <v>89</v>
      </c>
      <c r="G229" s="16"/>
      <c r="J229" s="16"/>
      <c r="K229" s="9" t="s">
        <v>44</v>
      </c>
    </row>
    <row r="230" spans="1:11" ht="15" customHeight="1" x14ac:dyDescent="0.2">
      <c r="A230" s="10">
        <v>46244</v>
      </c>
      <c r="B230" s="11">
        <v>0.67346064814814799</v>
      </c>
      <c r="C230" s="11">
        <v>0.70425925925925903</v>
      </c>
      <c r="D230" s="16">
        <v>45</v>
      </c>
      <c r="G230" s="16"/>
      <c r="J230" s="16"/>
      <c r="K230" s="9" t="s">
        <v>30</v>
      </c>
    </row>
    <row r="231" spans="1:11" ht="15" customHeight="1" x14ac:dyDescent="0.2">
      <c r="A231" s="10">
        <v>46244</v>
      </c>
      <c r="B231" s="11">
        <v>0.79150462962962997</v>
      </c>
      <c r="C231" s="11">
        <v>0.859837962962963</v>
      </c>
      <c r="D231" s="16">
        <v>99</v>
      </c>
      <c r="G231" s="16"/>
      <c r="J231" s="16"/>
      <c r="K231" s="9" t="s">
        <v>30</v>
      </c>
    </row>
    <row r="232" spans="1:11" ht="15" customHeight="1" x14ac:dyDescent="0.2">
      <c r="A232" s="10">
        <v>46244</v>
      </c>
      <c r="B232" s="11">
        <v>0.35258101851851897</v>
      </c>
      <c r="C232" s="11">
        <v>0.39351851851851899</v>
      </c>
      <c r="D232" s="16">
        <v>59</v>
      </c>
      <c r="G232" s="16"/>
      <c r="H232" s="12">
        <v>0.39305555555555599</v>
      </c>
      <c r="I232" s="12">
        <v>0.51249999999999996</v>
      </c>
      <c r="J232" s="16">
        <v>172</v>
      </c>
      <c r="K232" s="9" t="s">
        <v>45</v>
      </c>
    </row>
    <row r="233" spans="1:11" ht="15" customHeight="1" x14ac:dyDescent="0.2">
      <c r="A233" s="10">
        <v>46244</v>
      </c>
      <c r="B233" s="11">
        <v>0.52638888888888902</v>
      </c>
      <c r="C233" s="11">
        <v>0.53335648148148196</v>
      </c>
      <c r="D233" s="18">
        <v>10</v>
      </c>
      <c r="E233" s="11">
        <v>0.53337962962963004</v>
      </c>
      <c r="F233" s="11">
        <v>0.61673611111111104</v>
      </c>
      <c r="G233" s="18">
        <v>120</v>
      </c>
    </row>
    <row r="234" spans="1:11" ht="15" customHeight="1" x14ac:dyDescent="0.2">
      <c r="A234" s="10">
        <v>46244</v>
      </c>
      <c r="E234" s="11">
        <v>0.46597222222222201</v>
      </c>
      <c r="F234" s="11">
        <v>0.55902777777777801</v>
      </c>
      <c r="G234" s="18">
        <v>134</v>
      </c>
    </row>
    <row r="235" spans="1:11" ht="15" customHeight="1" x14ac:dyDescent="0.2">
      <c r="A235" s="10">
        <v>46244</v>
      </c>
      <c r="B235" s="11">
        <v>0.60072916666666698</v>
      </c>
      <c r="C235" s="11">
        <v>0.63472222222222197</v>
      </c>
      <c r="D235" s="16">
        <v>49</v>
      </c>
      <c r="E235" s="11">
        <v>0.63541666666666696</v>
      </c>
      <c r="F235" s="11">
        <v>0.65972222222222199</v>
      </c>
      <c r="G235" s="16">
        <v>35</v>
      </c>
      <c r="J235" s="16"/>
      <c r="K235" s="9" t="s">
        <v>33</v>
      </c>
    </row>
    <row r="236" spans="1:11" ht="15" customHeight="1" x14ac:dyDescent="0.2">
      <c r="A236" s="10">
        <v>46244</v>
      </c>
      <c r="B236" s="11">
        <v>0.37708333333333299</v>
      </c>
      <c r="C236" s="11">
        <v>0.41666666666666702</v>
      </c>
      <c r="D236" s="16">
        <v>57</v>
      </c>
      <c r="E236" s="11">
        <v>0.42708333333333298</v>
      </c>
      <c r="F236" s="11">
        <v>0.45833333333333298</v>
      </c>
      <c r="G236" s="16">
        <v>45</v>
      </c>
      <c r="J236" s="16"/>
      <c r="K236" s="9" t="s">
        <v>45</v>
      </c>
    </row>
    <row r="237" spans="1:11" ht="15" customHeight="1" x14ac:dyDescent="0.2">
      <c r="A237" s="10">
        <v>46244</v>
      </c>
      <c r="B237" s="11">
        <v>0.41041666666666698</v>
      </c>
      <c r="C237" s="11">
        <v>0.45069444444444401</v>
      </c>
      <c r="D237" s="16">
        <v>58</v>
      </c>
      <c r="E237" s="11">
        <v>0.45138888888888901</v>
      </c>
      <c r="F237" s="11">
        <v>0.49236111111111103</v>
      </c>
      <c r="G237" s="16">
        <v>59</v>
      </c>
      <c r="J237" s="16"/>
      <c r="K237" s="9" t="s">
        <v>30</v>
      </c>
    </row>
    <row r="238" spans="1:11" ht="15" customHeight="1" x14ac:dyDescent="0.2">
      <c r="A238" s="10">
        <v>46244</v>
      </c>
      <c r="B238" s="11">
        <v>0.62290509259259297</v>
      </c>
      <c r="C238" s="11">
        <v>0.68333333333333302</v>
      </c>
      <c r="D238" s="16">
        <v>88</v>
      </c>
      <c r="E238" s="11">
        <v>0.68402777777777801</v>
      </c>
      <c r="F238" s="11">
        <v>0.69791666666666696</v>
      </c>
      <c r="G238" s="16">
        <v>20</v>
      </c>
      <c r="J238" s="16"/>
      <c r="K238" s="9" t="s">
        <v>46</v>
      </c>
    </row>
    <row r="239" spans="1:11" ht="15" customHeight="1" x14ac:dyDescent="0.2">
      <c r="A239" s="10">
        <v>46244</v>
      </c>
      <c r="B239" s="11">
        <v>0.65612268518518502</v>
      </c>
      <c r="C239" s="11">
        <v>0.69998842592592603</v>
      </c>
      <c r="D239" s="16">
        <v>63</v>
      </c>
      <c r="G239" s="16"/>
      <c r="H239" s="12">
        <v>0.7</v>
      </c>
      <c r="I239" s="12">
        <v>0.71875</v>
      </c>
      <c r="J239" s="16">
        <v>27</v>
      </c>
      <c r="K239" s="9" t="s">
        <v>30</v>
      </c>
    </row>
    <row r="240" spans="1:11" ht="15" customHeight="1" x14ac:dyDescent="0.2">
      <c r="A240" s="10">
        <v>46245</v>
      </c>
      <c r="B240" s="11">
        <v>0.64141203703703698</v>
      </c>
      <c r="C240" s="11">
        <v>0.69236111111111098</v>
      </c>
      <c r="D240" s="16">
        <v>74</v>
      </c>
      <c r="E240" s="11">
        <v>0.69236111111111098</v>
      </c>
      <c r="F240" s="11">
        <v>0.73712962962963002</v>
      </c>
      <c r="G240" s="16">
        <v>64</v>
      </c>
      <c r="J240" s="16"/>
      <c r="K240" s="9" t="s">
        <v>30</v>
      </c>
    </row>
    <row r="241" spans="1:11" ht="15" customHeight="1" x14ac:dyDescent="0.2">
      <c r="A241" s="10">
        <v>46245</v>
      </c>
      <c r="B241" s="11">
        <v>0.34623842592592602</v>
      </c>
      <c r="C241" s="11">
        <v>0.375</v>
      </c>
      <c r="D241" s="16">
        <v>42</v>
      </c>
      <c r="E241" s="11">
        <v>0.375694444444444</v>
      </c>
      <c r="F241" s="11">
        <v>0.40763888888888899</v>
      </c>
      <c r="G241" s="16">
        <v>46</v>
      </c>
      <c r="J241" s="16"/>
      <c r="K241" s="9" t="s">
        <v>33</v>
      </c>
    </row>
    <row r="242" spans="1:11" ht="15" customHeight="1" x14ac:dyDescent="0.2">
      <c r="A242" s="10">
        <v>46245</v>
      </c>
      <c r="B242" s="11">
        <v>0.38263888888888897</v>
      </c>
      <c r="C242" s="11">
        <v>0.39374999999999999</v>
      </c>
      <c r="D242" s="16">
        <v>16</v>
      </c>
      <c r="G242" s="16"/>
      <c r="H242" s="12">
        <v>0.39374999999999999</v>
      </c>
      <c r="I242" s="12">
        <v>0.45486111111111099</v>
      </c>
      <c r="J242" s="16">
        <v>88</v>
      </c>
      <c r="K242" s="9" t="s">
        <v>49</v>
      </c>
    </row>
    <row r="243" spans="1:11" ht="15" customHeight="1" x14ac:dyDescent="0.2">
      <c r="A243" s="10">
        <v>46245</v>
      </c>
      <c r="B243" s="11">
        <v>0.70556712962962997</v>
      </c>
      <c r="C243" s="11">
        <v>0.73686342592592602</v>
      </c>
      <c r="D243" s="16">
        <v>45</v>
      </c>
      <c r="G243" s="16"/>
      <c r="J243" s="16"/>
      <c r="K243" s="9" t="s">
        <v>30</v>
      </c>
    </row>
    <row r="244" spans="1:11" ht="15" customHeight="1" x14ac:dyDescent="0.2">
      <c r="A244" s="10">
        <v>46245</v>
      </c>
      <c r="B244" s="11">
        <v>0.42986111111111103</v>
      </c>
      <c r="C244" s="11">
        <v>0.503541666666667</v>
      </c>
      <c r="D244" s="16">
        <v>106</v>
      </c>
      <c r="E244" s="11">
        <v>0.50694444444444398</v>
      </c>
      <c r="F244" s="11">
        <v>0.56983796296296296</v>
      </c>
      <c r="G244" s="16">
        <v>90</v>
      </c>
      <c r="J244" s="16"/>
      <c r="K244" s="9" t="s">
        <v>30</v>
      </c>
    </row>
    <row r="245" spans="1:11" ht="15" customHeight="1" x14ac:dyDescent="0.2">
      <c r="A245" s="10">
        <v>46245</v>
      </c>
      <c r="B245" s="11">
        <v>0.55208333333333304</v>
      </c>
      <c r="C245" s="11">
        <v>0.59722222222222199</v>
      </c>
      <c r="D245" s="16">
        <v>65</v>
      </c>
      <c r="G245" s="16"/>
      <c r="H245" s="12">
        <v>0.59791666666666698</v>
      </c>
      <c r="I245" s="12">
        <v>0.718055555555556</v>
      </c>
      <c r="J245" s="16">
        <v>173</v>
      </c>
      <c r="K245" s="9" t="s">
        <v>45</v>
      </c>
    </row>
    <row r="246" spans="1:11" ht="15" customHeight="1" x14ac:dyDescent="0.2">
      <c r="A246" s="10">
        <v>46245</v>
      </c>
      <c r="B246" s="11">
        <v>0.75902777777777797</v>
      </c>
      <c r="C246" s="11">
        <v>0.80763888888888902</v>
      </c>
      <c r="D246" s="16">
        <v>70</v>
      </c>
      <c r="G246" s="16"/>
      <c r="H246" s="12">
        <v>0.80833333333333302</v>
      </c>
      <c r="I246" s="12">
        <v>0.83125000000000004</v>
      </c>
      <c r="J246" s="16">
        <v>33</v>
      </c>
      <c r="K246" s="9" t="s">
        <v>30</v>
      </c>
    </row>
    <row r="247" spans="1:11" ht="15" customHeight="1" x14ac:dyDescent="0.2">
      <c r="A247" s="10">
        <v>46245</v>
      </c>
      <c r="B247" s="11">
        <v>0.573356481481481</v>
      </c>
      <c r="C247" s="11">
        <v>0.625</v>
      </c>
      <c r="D247" s="16">
        <v>75</v>
      </c>
      <c r="E247" s="11">
        <v>0.625694444444444</v>
      </c>
      <c r="F247" s="11">
        <v>0.67708333333333304</v>
      </c>
      <c r="G247" s="16">
        <v>74</v>
      </c>
      <c r="J247" s="16"/>
      <c r="K247" s="9" t="s">
        <v>30</v>
      </c>
    </row>
    <row r="248" spans="1:11" ht="15" customHeight="1" x14ac:dyDescent="0.2">
      <c r="A248" s="10">
        <v>46245</v>
      </c>
      <c r="B248" s="11">
        <v>0.437002314814815</v>
      </c>
      <c r="C248" s="11">
        <v>0.45833333333333298</v>
      </c>
      <c r="D248" s="16">
        <v>31</v>
      </c>
      <c r="E248" s="11">
        <v>0.45902777777777798</v>
      </c>
      <c r="F248" s="11">
        <v>0.47916666666666702</v>
      </c>
      <c r="G248" s="16">
        <v>29</v>
      </c>
      <c r="J248" s="16"/>
      <c r="K248" s="9" t="s">
        <v>33</v>
      </c>
    </row>
    <row r="249" spans="1:11" ht="15" customHeight="1" x14ac:dyDescent="0.2">
      <c r="A249" s="10">
        <v>46245</v>
      </c>
      <c r="B249" s="11">
        <v>0.42013888888888901</v>
      </c>
      <c r="C249" s="11">
        <v>0.438194444444444</v>
      </c>
      <c r="D249" s="16">
        <v>26</v>
      </c>
      <c r="G249" s="16"/>
      <c r="H249" s="12">
        <v>0.43888888888888899</v>
      </c>
      <c r="I249" s="12">
        <v>0.61041666666666705</v>
      </c>
      <c r="J249" s="16">
        <v>247</v>
      </c>
      <c r="K249" s="9" t="s">
        <v>33</v>
      </c>
    </row>
    <row r="250" spans="1:11" ht="15" customHeight="1" x14ac:dyDescent="0.2">
      <c r="A250" s="10">
        <v>46245</v>
      </c>
      <c r="B250" s="11">
        <v>0.47846064814814798</v>
      </c>
      <c r="C250" s="11">
        <v>0.51111111111111096</v>
      </c>
      <c r="D250" s="16">
        <v>48</v>
      </c>
      <c r="E250" s="11">
        <v>0.51111111111111096</v>
      </c>
      <c r="F250" s="11">
        <v>0.55076388888888905</v>
      </c>
      <c r="G250" s="16">
        <v>57</v>
      </c>
      <c r="J250" s="16"/>
      <c r="K250" s="9" t="s">
        <v>33</v>
      </c>
    </row>
    <row r="251" spans="1:11" ht="15" customHeight="1" x14ac:dyDescent="0.2">
      <c r="A251" s="10">
        <v>46245</v>
      </c>
      <c r="B251" s="11">
        <v>0.51875000000000004</v>
      </c>
      <c r="C251" s="11">
        <v>0.56672453703703696</v>
      </c>
      <c r="D251" s="16">
        <v>69</v>
      </c>
      <c r="G251" s="16"/>
      <c r="H251" s="12">
        <v>0.56675925925925896</v>
      </c>
      <c r="I251" s="12">
        <v>0.58435185185185201</v>
      </c>
      <c r="J251" s="16">
        <v>25</v>
      </c>
      <c r="K251" s="9" t="s">
        <v>49</v>
      </c>
    </row>
    <row r="252" spans="1:11" ht="15" customHeight="1" x14ac:dyDescent="0.2">
      <c r="A252" s="10">
        <v>46245</v>
      </c>
      <c r="B252" s="11">
        <v>0.44454861111111099</v>
      </c>
      <c r="C252" s="11">
        <v>0.45833333333333298</v>
      </c>
      <c r="D252" s="16">
        <v>20</v>
      </c>
      <c r="E252" s="11">
        <v>0.45902777777777798</v>
      </c>
      <c r="F252" s="11">
        <v>0.49305555555555602</v>
      </c>
      <c r="G252" s="16">
        <v>49</v>
      </c>
      <c r="J252" s="16"/>
      <c r="K252" s="9" t="s">
        <v>45</v>
      </c>
    </row>
    <row r="253" spans="1:11" ht="15" customHeight="1" x14ac:dyDescent="0.2">
      <c r="A253" s="10">
        <v>46245</v>
      </c>
      <c r="B253" s="11">
        <v>0.56597222222222199</v>
      </c>
      <c r="C253" s="11">
        <v>0.593055555555556</v>
      </c>
      <c r="D253" s="16">
        <v>39</v>
      </c>
      <c r="E253" s="11">
        <v>0.59375</v>
      </c>
      <c r="F253" s="11">
        <v>0.61312500000000003</v>
      </c>
      <c r="G253" s="16">
        <v>27</v>
      </c>
      <c r="J253" s="16"/>
      <c r="K253" s="9" t="s">
        <v>49</v>
      </c>
    </row>
    <row r="254" spans="1:11" ht="15" customHeight="1" x14ac:dyDescent="0.2">
      <c r="A254" s="10">
        <v>46245</v>
      </c>
      <c r="B254" s="11">
        <v>0.41666666666666702</v>
      </c>
      <c r="C254" s="11">
        <v>0.48542824074074098</v>
      </c>
      <c r="D254" s="16">
        <v>99</v>
      </c>
      <c r="G254" s="16"/>
      <c r="J254" s="16"/>
      <c r="K254" s="9" t="s">
        <v>28</v>
      </c>
    </row>
    <row r="255" spans="1:11" ht="15" customHeight="1" x14ac:dyDescent="0.2">
      <c r="A255" s="10">
        <v>46245</v>
      </c>
      <c r="B255" s="11">
        <v>0.66766203703703697</v>
      </c>
      <c r="C255" s="11">
        <v>0.72916666666666696</v>
      </c>
      <c r="D255" s="16">
        <v>89</v>
      </c>
      <c r="G255" s="16"/>
      <c r="J255" s="16"/>
      <c r="K255" s="9" t="s">
        <v>28</v>
      </c>
    </row>
    <row r="256" spans="1:11" ht="15" customHeight="1" x14ac:dyDescent="0.2">
      <c r="A256" s="10">
        <v>46245</v>
      </c>
      <c r="B256" s="11">
        <v>0.55381944444444398</v>
      </c>
      <c r="C256" s="11">
        <v>0.66708333333333303</v>
      </c>
      <c r="D256" s="16">
        <v>163</v>
      </c>
      <c r="G256" s="16"/>
      <c r="J256" s="16"/>
      <c r="K256" s="9" t="s">
        <v>28</v>
      </c>
    </row>
    <row r="257" spans="1:11" ht="15" customHeight="1" x14ac:dyDescent="0.2">
      <c r="A257" s="10">
        <v>46245</v>
      </c>
      <c r="B257" s="11">
        <v>0.39079861111111103</v>
      </c>
      <c r="C257" s="11">
        <v>0.4375</v>
      </c>
      <c r="D257" s="16">
        <v>68</v>
      </c>
      <c r="E257" s="11">
        <v>0.4375</v>
      </c>
      <c r="F257" s="11">
        <v>0.454166666666667</v>
      </c>
      <c r="G257" s="16">
        <v>24</v>
      </c>
      <c r="J257" s="16"/>
      <c r="K257" s="9" t="s">
        <v>33</v>
      </c>
    </row>
    <row r="258" spans="1:11" ht="15" customHeight="1" x14ac:dyDescent="0.2">
      <c r="A258" s="10">
        <v>46245</v>
      </c>
      <c r="B258" s="11">
        <v>0.53199074074074104</v>
      </c>
      <c r="C258" s="11">
        <v>0.57291666666666696</v>
      </c>
      <c r="D258" s="16">
        <v>59</v>
      </c>
      <c r="E258" s="11">
        <v>0.57361111111111096</v>
      </c>
      <c r="F258" s="11">
        <v>0.59166666666666701</v>
      </c>
      <c r="G258" s="16">
        <v>26</v>
      </c>
      <c r="J258" s="16"/>
      <c r="K258" s="9" t="s">
        <v>30</v>
      </c>
    </row>
    <row r="259" spans="1:11" ht="15" customHeight="1" x14ac:dyDescent="0.2">
      <c r="A259" s="10">
        <v>46245</v>
      </c>
      <c r="B259" s="11">
        <v>0.63201388888888899</v>
      </c>
      <c r="C259" s="11">
        <v>0.64079861111111103</v>
      </c>
      <c r="D259" s="16">
        <v>12</v>
      </c>
      <c r="G259" s="16"/>
      <c r="H259" s="12">
        <v>0.64027777777777795</v>
      </c>
      <c r="I259" s="12">
        <v>0.69861111111111096</v>
      </c>
      <c r="J259" s="16">
        <v>84</v>
      </c>
      <c r="K259" s="9" t="s">
        <v>30</v>
      </c>
    </row>
    <row r="260" spans="1:11" ht="15" customHeight="1" x14ac:dyDescent="0.2">
      <c r="A260" s="10">
        <v>46245</v>
      </c>
      <c r="B260" s="11">
        <v>0.42515046296296299</v>
      </c>
      <c r="C260" s="11">
        <v>0.53297453703703701</v>
      </c>
      <c r="D260" s="16">
        <v>155</v>
      </c>
      <c r="E260" s="11">
        <v>0.53299768518518498</v>
      </c>
      <c r="F260" s="11">
        <v>0.54847222222222203</v>
      </c>
      <c r="G260" s="16">
        <v>22</v>
      </c>
      <c r="J260" s="16"/>
      <c r="K260" s="9" t="s">
        <v>45</v>
      </c>
    </row>
    <row r="261" spans="1:11" ht="15" customHeight="1" x14ac:dyDescent="0.2">
      <c r="A261" s="10">
        <v>46245</v>
      </c>
      <c r="B261" s="11">
        <v>0.41875000000000001</v>
      </c>
      <c r="C261" s="11">
        <v>0.47152777777777799</v>
      </c>
      <c r="D261" s="16">
        <v>76</v>
      </c>
      <c r="G261" s="16"/>
      <c r="J261" s="16"/>
      <c r="K261" s="9" t="s">
        <v>47</v>
      </c>
    </row>
    <row r="262" spans="1:11" ht="15" customHeight="1" x14ac:dyDescent="0.2">
      <c r="A262" s="10">
        <v>46245</v>
      </c>
      <c r="B262" s="11">
        <v>0.79513888888888895</v>
      </c>
      <c r="C262" s="11">
        <v>0.86805555555555602</v>
      </c>
      <c r="D262" s="16">
        <v>105</v>
      </c>
      <c r="G262" s="16"/>
      <c r="J262" s="16"/>
      <c r="K262" s="9" t="s">
        <v>33</v>
      </c>
    </row>
    <row r="263" spans="1:11" ht="15" customHeight="1" x14ac:dyDescent="0.2">
      <c r="A263" s="10">
        <v>46245</v>
      </c>
      <c r="B263" s="11">
        <v>0.96579861111111098</v>
      </c>
      <c r="C263" s="11">
        <v>2.70833333333333E-2</v>
      </c>
      <c r="D263" s="16">
        <v>89</v>
      </c>
      <c r="G263" s="16"/>
      <c r="J263" s="16"/>
      <c r="K263" s="9" t="s">
        <v>33</v>
      </c>
    </row>
    <row r="264" spans="1:11" ht="15" customHeight="1" x14ac:dyDescent="0.2">
      <c r="A264" s="10">
        <v>46245</v>
      </c>
      <c r="B264" s="11">
        <v>0.5</v>
      </c>
      <c r="C264" s="11">
        <v>0.54097222222222197</v>
      </c>
      <c r="D264" s="18">
        <v>59</v>
      </c>
      <c r="E264" s="11">
        <v>0.54166666666666696</v>
      </c>
      <c r="F264" s="11">
        <v>0.58690972222222204</v>
      </c>
      <c r="G264" s="18">
        <v>65</v>
      </c>
    </row>
    <row r="265" spans="1:11" ht="15" customHeight="1" x14ac:dyDescent="0.2">
      <c r="A265" s="10">
        <v>46245</v>
      </c>
      <c r="B265" s="11">
        <v>0.49444444444444402</v>
      </c>
      <c r="C265" s="11">
        <v>0.52638888888888902</v>
      </c>
      <c r="D265" s="16">
        <v>46</v>
      </c>
      <c r="G265" s="16"/>
      <c r="H265" s="12">
        <v>0.52638888888888902</v>
      </c>
      <c r="I265" s="12">
        <v>0.53958333333333297</v>
      </c>
      <c r="J265" s="16">
        <v>19</v>
      </c>
      <c r="K265" s="9" t="s">
        <v>33</v>
      </c>
    </row>
    <row r="266" spans="1:11" ht="15" customHeight="1" x14ac:dyDescent="0.2">
      <c r="A266" s="10">
        <v>46245</v>
      </c>
      <c r="B266" s="11">
        <v>0.90094907407407399</v>
      </c>
      <c r="C266" s="11">
        <v>0.92420138888888903</v>
      </c>
      <c r="D266" s="18">
        <v>33</v>
      </c>
      <c r="K266" s="9" t="s">
        <v>64</v>
      </c>
    </row>
    <row r="267" spans="1:11" ht="15" customHeight="1" x14ac:dyDescent="0.2">
      <c r="A267" s="10">
        <v>46245</v>
      </c>
      <c r="B267" s="11">
        <v>0.73055555555555596</v>
      </c>
      <c r="C267" s="11">
        <v>0.76111111111111096</v>
      </c>
      <c r="D267" s="16">
        <v>44</v>
      </c>
      <c r="G267" s="16"/>
      <c r="J267" s="16"/>
      <c r="K267" s="9" t="s">
        <v>30</v>
      </c>
    </row>
    <row r="268" spans="1:11" ht="15" customHeight="1" x14ac:dyDescent="0.2">
      <c r="A268" s="10">
        <v>46245</v>
      </c>
      <c r="B268" s="11">
        <v>0.63888888888888895</v>
      </c>
      <c r="C268" s="11">
        <v>0.66189814814814796</v>
      </c>
      <c r="D268" s="18">
        <v>33</v>
      </c>
    </row>
    <row r="269" spans="1:11" ht="15" customHeight="1" x14ac:dyDescent="0.2">
      <c r="A269" s="10">
        <v>46245</v>
      </c>
      <c r="B269" s="11">
        <v>0.80571759259259301</v>
      </c>
      <c r="C269" s="11">
        <v>0.854178240740741</v>
      </c>
      <c r="D269" s="16">
        <v>70</v>
      </c>
      <c r="G269" s="16"/>
      <c r="J269" s="16"/>
      <c r="K269" s="9" t="s">
        <v>30</v>
      </c>
    </row>
    <row r="270" spans="1:11" ht="15" customHeight="1" x14ac:dyDescent="0.2">
      <c r="A270" s="10">
        <v>46245</v>
      </c>
      <c r="B270" s="11">
        <v>0.3803125</v>
      </c>
      <c r="C270" s="11">
        <v>0.40625</v>
      </c>
      <c r="D270" s="16">
        <v>38</v>
      </c>
      <c r="E270" s="11">
        <v>0.406944444444444</v>
      </c>
      <c r="F270" s="11">
        <v>0.42986111111111103</v>
      </c>
      <c r="G270" s="16">
        <v>33</v>
      </c>
      <c r="J270" s="16"/>
      <c r="K270" s="9" t="s">
        <v>45</v>
      </c>
    </row>
    <row r="271" spans="1:11" ht="15" customHeight="1" x14ac:dyDescent="0.2">
      <c r="A271" s="10">
        <v>46245</v>
      </c>
      <c r="B271" s="11">
        <v>0.67168981481481504</v>
      </c>
      <c r="C271" s="11">
        <v>0.69791666666666696</v>
      </c>
      <c r="D271" s="16">
        <v>38</v>
      </c>
      <c r="E271" s="11">
        <v>0.69861111111111096</v>
      </c>
      <c r="F271" s="11">
        <v>0.75</v>
      </c>
      <c r="G271" s="16">
        <v>74</v>
      </c>
      <c r="J271" s="16"/>
      <c r="K271" s="9" t="s">
        <v>28</v>
      </c>
    </row>
    <row r="272" spans="1:11" ht="15" customHeight="1" x14ac:dyDescent="0.2">
      <c r="A272" s="10">
        <v>46245</v>
      </c>
      <c r="B272" s="11">
        <v>0.62278935185185202</v>
      </c>
      <c r="C272" s="11">
        <v>0.65972222222222199</v>
      </c>
      <c r="D272" s="16">
        <v>54</v>
      </c>
      <c r="E272" s="11">
        <v>0.66041666666666698</v>
      </c>
      <c r="F272" s="11">
        <v>0.68402777777777801</v>
      </c>
      <c r="G272" s="16">
        <v>34</v>
      </c>
      <c r="J272" s="16"/>
      <c r="K272" s="9" t="s">
        <v>28</v>
      </c>
    </row>
    <row r="273" spans="1:11" ht="15" customHeight="1" x14ac:dyDescent="0.2">
      <c r="A273" s="10">
        <v>46245</v>
      </c>
      <c r="B273" s="11">
        <v>0.520358796296296</v>
      </c>
      <c r="C273" s="11">
        <v>0.54166666666666696</v>
      </c>
      <c r="D273" s="16">
        <v>31</v>
      </c>
      <c r="G273" s="16"/>
      <c r="H273" s="12">
        <v>0.54166666666666696</v>
      </c>
      <c r="I273" s="12">
        <v>0.60138888888888897</v>
      </c>
      <c r="J273" s="16">
        <v>86</v>
      </c>
      <c r="K273" s="9" t="s">
        <v>28</v>
      </c>
    </row>
    <row r="274" spans="1:11" ht="15" customHeight="1" x14ac:dyDescent="0.2">
      <c r="A274" s="10">
        <v>46245</v>
      </c>
      <c r="B274" s="11">
        <v>0.67089120370370403</v>
      </c>
      <c r="C274" s="11">
        <v>0.718055555555556</v>
      </c>
      <c r="D274" s="16">
        <v>68</v>
      </c>
      <c r="E274" s="11">
        <v>0.71875</v>
      </c>
      <c r="F274" s="11">
        <v>0.74538194444444394</v>
      </c>
      <c r="G274" s="16">
        <v>38</v>
      </c>
      <c r="J274" s="16"/>
      <c r="K274" s="9" t="s">
        <v>45</v>
      </c>
    </row>
    <row r="275" spans="1:11" ht="15" customHeight="1" x14ac:dyDescent="0.2">
      <c r="A275" s="10">
        <v>46245</v>
      </c>
      <c r="B275" s="11">
        <v>0.743877314814815</v>
      </c>
      <c r="C275" s="11">
        <v>0.78895833333333298</v>
      </c>
      <c r="D275" s="16">
        <v>65</v>
      </c>
      <c r="E275" s="11">
        <v>0.78908564814814797</v>
      </c>
      <c r="F275" s="11">
        <v>0.822662037037037</v>
      </c>
      <c r="G275" s="16">
        <v>48</v>
      </c>
      <c r="J275" s="16"/>
      <c r="K275" s="9" t="s">
        <v>28</v>
      </c>
    </row>
    <row r="276" spans="1:11" ht="15" customHeight="1" x14ac:dyDescent="0.2">
      <c r="A276" s="10">
        <v>46246</v>
      </c>
      <c r="B276" s="11">
        <v>0.531944444444444</v>
      </c>
      <c r="C276" s="11">
        <v>0.57361111111111096</v>
      </c>
      <c r="D276" s="16">
        <v>60</v>
      </c>
      <c r="G276" s="16"/>
      <c r="H276" s="12">
        <v>0.57361111111111096</v>
      </c>
      <c r="I276" s="12">
        <v>0.61805555555555602</v>
      </c>
      <c r="J276" s="16">
        <v>64</v>
      </c>
      <c r="K276" s="9" t="s">
        <v>45</v>
      </c>
    </row>
    <row r="277" spans="1:11" ht="15" customHeight="1" x14ac:dyDescent="0.2">
      <c r="A277" s="10">
        <v>46246</v>
      </c>
      <c r="B277" s="11">
        <v>0.35069444444444398</v>
      </c>
      <c r="C277" s="11">
        <v>0.375694444444444</v>
      </c>
      <c r="D277" s="16">
        <v>36</v>
      </c>
      <c r="E277" s="11">
        <v>0.375694444444444</v>
      </c>
      <c r="F277" s="11">
        <v>0.39930555555555602</v>
      </c>
      <c r="G277" s="16">
        <v>34</v>
      </c>
      <c r="J277" s="16"/>
      <c r="K277" s="9" t="s">
        <v>30</v>
      </c>
    </row>
    <row r="278" spans="1:11" ht="15" customHeight="1" x14ac:dyDescent="0.2">
      <c r="A278" s="10">
        <v>46246</v>
      </c>
      <c r="B278" s="11">
        <v>0.49652777777777801</v>
      </c>
      <c r="C278" s="11">
        <v>0.51736111111111105</v>
      </c>
      <c r="D278" s="16">
        <v>30</v>
      </c>
      <c r="E278" s="11">
        <v>0.51805555555555605</v>
      </c>
      <c r="F278" s="11">
        <v>0.57777777777777795</v>
      </c>
      <c r="G278" s="16">
        <v>86</v>
      </c>
      <c r="J278" s="16"/>
      <c r="K278" s="9" t="s">
        <v>33</v>
      </c>
    </row>
    <row r="279" spans="1:11" ht="15" customHeight="1" x14ac:dyDescent="0.2">
      <c r="A279" s="10">
        <v>46246</v>
      </c>
      <c r="B279" s="11">
        <v>0.55829861111111101</v>
      </c>
      <c r="C279" s="11">
        <v>0.58402777777777803</v>
      </c>
      <c r="D279" s="16">
        <v>38</v>
      </c>
      <c r="E279" s="11">
        <v>0.58472222222222203</v>
      </c>
      <c r="F279" s="11">
        <v>0.59791666666666698</v>
      </c>
      <c r="G279" s="16">
        <v>19</v>
      </c>
      <c r="J279" s="16"/>
      <c r="K279" s="9" t="s">
        <v>33</v>
      </c>
    </row>
    <row r="280" spans="1:11" ht="15" customHeight="1" x14ac:dyDescent="0.2">
      <c r="A280" s="10">
        <v>46246</v>
      </c>
      <c r="B280" s="11">
        <v>0.58750000000000002</v>
      </c>
      <c r="C280" s="11">
        <v>0.61527777777777803</v>
      </c>
      <c r="D280" s="16">
        <v>40</v>
      </c>
      <c r="E280" s="11">
        <v>0.61597222222222203</v>
      </c>
      <c r="F280" s="11">
        <v>0.63263888888888897</v>
      </c>
      <c r="G280" s="16">
        <v>24</v>
      </c>
      <c r="J280" s="16"/>
      <c r="K280" s="9" t="s">
        <v>33</v>
      </c>
    </row>
    <row r="281" spans="1:11" ht="15" customHeight="1" x14ac:dyDescent="0.2">
      <c r="A281" s="10">
        <v>46246</v>
      </c>
      <c r="B281" s="11">
        <v>0.64633101851851804</v>
      </c>
      <c r="C281" s="11">
        <v>0.67777777777777803</v>
      </c>
      <c r="D281" s="16">
        <v>46</v>
      </c>
      <c r="E281" s="11">
        <v>0.67847222222222203</v>
      </c>
      <c r="F281" s="11">
        <v>0.686805555555556</v>
      </c>
      <c r="G281" s="16">
        <v>12</v>
      </c>
      <c r="J281" s="16"/>
      <c r="K281" s="9" t="s">
        <v>33</v>
      </c>
    </row>
    <row r="282" spans="1:11" ht="15" customHeight="1" x14ac:dyDescent="0.2">
      <c r="A282" s="10">
        <v>46246</v>
      </c>
      <c r="B282" s="11">
        <v>0.40846064814814798</v>
      </c>
      <c r="C282" s="11">
        <v>0.438194444444444</v>
      </c>
      <c r="D282" s="16">
        <v>43</v>
      </c>
      <c r="E282" s="11">
        <v>0.43888888888888899</v>
      </c>
      <c r="F282" s="11">
        <v>0.46597222222222201</v>
      </c>
      <c r="G282" s="16">
        <v>39</v>
      </c>
      <c r="J282" s="16"/>
      <c r="K282" s="9" t="s">
        <v>33</v>
      </c>
    </row>
    <row r="283" spans="1:11" ht="15" customHeight="1" x14ac:dyDescent="0.2">
      <c r="A283" s="10">
        <v>46246</v>
      </c>
      <c r="B283" s="11">
        <v>0.50086805555555602</v>
      </c>
      <c r="C283" s="11">
        <v>0.541412037037037</v>
      </c>
      <c r="D283" s="16">
        <v>58</v>
      </c>
      <c r="G283" s="16"/>
      <c r="H283" s="12">
        <v>0.54166666666666696</v>
      </c>
      <c r="I283" s="12">
        <v>0.56597222222222199</v>
      </c>
      <c r="J283" s="16">
        <v>35</v>
      </c>
      <c r="K283" s="9" t="s">
        <v>49</v>
      </c>
    </row>
    <row r="284" spans="1:11" ht="15" customHeight="1" x14ac:dyDescent="0.2">
      <c r="A284" s="10">
        <v>46246</v>
      </c>
      <c r="B284" s="11">
        <v>0.42847222222222198</v>
      </c>
      <c r="C284" s="11">
        <v>0.46250000000000002</v>
      </c>
      <c r="D284" s="16">
        <v>49</v>
      </c>
      <c r="G284" s="16"/>
      <c r="H284" s="12">
        <v>0.46319444444444402</v>
      </c>
      <c r="I284" s="12">
        <v>0.62777777777777799</v>
      </c>
      <c r="J284" s="16">
        <v>237</v>
      </c>
      <c r="K284" s="9" t="s">
        <v>30</v>
      </c>
    </row>
    <row r="285" spans="1:11" ht="15" customHeight="1" x14ac:dyDescent="0.2">
      <c r="A285" s="10">
        <v>46246</v>
      </c>
      <c r="B285" s="11">
        <v>0.56388888888888899</v>
      </c>
      <c r="C285" s="11">
        <v>0.61597222222222203</v>
      </c>
      <c r="D285" s="16">
        <v>75</v>
      </c>
      <c r="G285" s="16"/>
      <c r="H285" s="12">
        <v>0.61666666666666703</v>
      </c>
      <c r="I285" s="12">
        <v>0.68958333333333299</v>
      </c>
      <c r="J285" s="16">
        <v>105</v>
      </c>
      <c r="K285" s="9" t="s">
        <v>30</v>
      </c>
    </row>
    <row r="286" spans="1:11" ht="15" customHeight="1" x14ac:dyDescent="0.2">
      <c r="A286" s="10">
        <v>46246</v>
      </c>
      <c r="B286" s="11">
        <v>0.57777777777777795</v>
      </c>
      <c r="C286" s="11">
        <v>0.59930555555555598</v>
      </c>
      <c r="D286" s="18">
        <v>31</v>
      </c>
      <c r="E286" s="11">
        <v>0.6</v>
      </c>
      <c r="F286" s="11">
        <v>0.78541666666666698</v>
      </c>
      <c r="G286" s="18">
        <v>267</v>
      </c>
      <c r="K286" s="9" t="s">
        <v>64</v>
      </c>
    </row>
    <row r="287" spans="1:11" ht="15" customHeight="1" x14ac:dyDescent="0.2">
      <c r="A287" s="10">
        <v>46246</v>
      </c>
      <c r="B287" s="11">
        <v>0.375</v>
      </c>
      <c r="C287" s="11">
        <v>0.406944444444444</v>
      </c>
      <c r="D287" s="16">
        <v>46</v>
      </c>
      <c r="E287" s="11">
        <v>0.40763888888888899</v>
      </c>
      <c r="F287" s="11">
        <v>0.44652777777777802</v>
      </c>
      <c r="G287" s="16">
        <v>56</v>
      </c>
      <c r="J287" s="16"/>
      <c r="K287" s="9" t="s">
        <v>28</v>
      </c>
    </row>
    <row r="288" spans="1:11" ht="15" customHeight="1" x14ac:dyDescent="0.2">
      <c r="A288" s="10">
        <v>46246</v>
      </c>
      <c r="B288" s="11">
        <v>0.47777777777777802</v>
      </c>
      <c r="C288" s="11">
        <v>0.5390625</v>
      </c>
      <c r="D288" s="16">
        <v>88</v>
      </c>
      <c r="G288" s="16"/>
      <c r="J288" s="16"/>
      <c r="K288" s="9" t="s">
        <v>28</v>
      </c>
    </row>
    <row r="289" spans="1:11" ht="15" customHeight="1" x14ac:dyDescent="0.2">
      <c r="A289" s="10">
        <v>46246</v>
      </c>
      <c r="B289" s="11">
        <v>0.52083333333333304</v>
      </c>
      <c r="C289" s="11">
        <v>0.563194444444444</v>
      </c>
      <c r="D289" s="16">
        <v>61</v>
      </c>
      <c r="E289" s="11">
        <v>0.56388888888888899</v>
      </c>
      <c r="F289" s="11">
        <v>0.59583333333333299</v>
      </c>
      <c r="G289" s="16">
        <v>46</v>
      </c>
      <c r="J289" s="16"/>
      <c r="K289" s="9" t="s">
        <v>30</v>
      </c>
    </row>
    <row r="290" spans="1:11" ht="15" customHeight="1" x14ac:dyDescent="0.2">
      <c r="A290" s="10">
        <v>46246</v>
      </c>
      <c r="B290" s="11">
        <v>0.44652777777777802</v>
      </c>
      <c r="C290" s="11">
        <v>0.49027777777777798</v>
      </c>
      <c r="D290" s="16">
        <v>63</v>
      </c>
      <c r="E290" s="11">
        <v>0.49097222222222198</v>
      </c>
      <c r="F290" s="11">
        <v>0.52152777777777803</v>
      </c>
      <c r="G290" s="16">
        <v>44</v>
      </c>
      <c r="J290" s="16"/>
      <c r="K290" s="9" t="s">
        <v>30</v>
      </c>
    </row>
    <row r="291" spans="1:11" ht="15" customHeight="1" x14ac:dyDescent="0.2">
      <c r="A291" s="10">
        <v>46246</v>
      </c>
      <c r="B291" s="11">
        <v>0.37291666666666701</v>
      </c>
      <c r="C291" s="11">
        <v>0.39652777777777798</v>
      </c>
      <c r="D291" s="16">
        <v>34</v>
      </c>
      <c r="E291" s="11">
        <v>0.39722222222222198</v>
      </c>
      <c r="F291" s="11">
        <v>0.40208333333333302</v>
      </c>
      <c r="G291" s="16">
        <v>7</v>
      </c>
      <c r="J291" s="16"/>
      <c r="K291" s="9" t="s">
        <v>33</v>
      </c>
    </row>
    <row r="292" spans="1:11" ht="15" customHeight="1" x14ac:dyDescent="0.2">
      <c r="A292" s="10">
        <v>46246</v>
      </c>
      <c r="B292" s="11">
        <v>0.69652777777777797</v>
      </c>
      <c r="C292" s="11">
        <v>0.70138888888888895</v>
      </c>
      <c r="D292" s="16">
        <v>7</v>
      </c>
      <c r="G292" s="16"/>
      <c r="J292" s="16"/>
      <c r="K292" s="9" t="s">
        <v>33</v>
      </c>
    </row>
    <row r="293" spans="1:11" ht="15" customHeight="1" x14ac:dyDescent="0.2">
      <c r="A293" s="10">
        <v>46246</v>
      </c>
      <c r="B293" s="11">
        <v>0.80413194444444402</v>
      </c>
      <c r="C293" s="11">
        <v>0.82361111111111096</v>
      </c>
      <c r="D293" s="16">
        <v>29</v>
      </c>
      <c r="G293" s="16"/>
      <c r="H293" s="12">
        <v>0.82430555555555596</v>
      </c>
      <c r="I293" s="12">
        <v>0.87777777777777799</v>
      </c>
      <c r="J293" s="16">
        <v>77</v>
      </c>
      <c r="K293" s="9" t="s">
        <v>30</v>
      </c>
    </row>
    <row r="294" spans="1:11" ht="15" customHeight="1" x14ac:dyDescent="0.2">
      <c r="A294" s="10">
        <v>46246</v>
      </c>
      <c r="B294" s="11">
        <v>0.427337962962963</v>
      </c>
      <c r="C294" s="11">
        <v>0.45902777777777798</v>
      </c>
      <c r="D294" s="16">
        <v>46</v>
      </c>
      <c r="E294" s="11">
        <v>0.45902777777777798</v>
      </c>
      <c r="F294" s="11">
        <v>0.47222222222222199</v>
      </c>
      <c r="G294" s="16">
        <v>19</v>
      </c>
      <c r="J294" s="16"/>
      <c r="K294" s="9" t="s">
        <v>30</v>
      </c>
    </row>
    <row r="295" spans="1:11" ht="15" customHeight="1" x14ac:dyDescent="0.2">
      <c r="A295" s="10">
        <v>46246</v>
      </c>
      <c r="B295" s="11">
        <v>0.77877314814814802</v>
      </c>
      <c r="C295" s="11">
        <v>0.813194444444444</v>
      </c>
      <c r="D295" s="16">
        <v>50</v>
      </c>
      <c r="G295" s="16"/>
      <c r="H295" s="12">
        <v>0.81388888888888899</v>
      </c>
      <c r="I295" s="12">
        <v>0.85</v>
      </c>
      <c r="J295" s="16">
        <v>52</v>
      </c>
      <c r="K295" s="9" t="s">
        <v>47</v>
      </c>
    </row>
    <row r="296" spans="1:11" ht="15" customHeight="1" x14ac:dyDescent="0.2">
      <c r="A296" s="10">
        <v>46246</v>
      </c>
      <c r="B296" s="11">
        <v>0.42916666666666697</v>
      </c>
      <c r="C296" s="11">
        <v>0.54791666666666705</v>
      </c>
      <c r="D296" s="16">
        <v>171</v>
      </c>
      <c r="G296" s="16"/>
      <c r="J296" s="16"/>
      <c r="K296" s="9" t="s">
        <v>28</v>
      </c>
    </row>
    <row r="297" spans="1:11" ht="15" customHeight="1" x14ac:dyDescent="0.2">
      <c r="A297" s="10">
        <v>46246</v>
      </c>
      <c r="B297" s="11">
        <v>0.36944444444444402</v>
      </c>
      <c r="C297" s="11">
        <v>0.41666666666666702</v>
      </c>
      <c r="D297" s="16">
        <v>68</v>
      </c>
      <c r="G297" s="16"/>
      <c r="J297" s="16"/>
      <c r="K297" s="9" t="s">
        <v>30</v>
      </c>
    </row>
    <row r="298" spans="1:11" ht="15" customHeight="1" x14ac:dyDescent="0.2">
      <c r="A298" s="10">
        <v>46246</v>
      </c>
      <c r="B298" s="11">
        <v>0.59457175925925898</v>
      </c>
      <c r="C298" s="11">
        <v>0.64166666666666705</v>
      </c>
      <c r="D298" s="16">
        <v>68</v>
      </c>
      <c r="G298" s="16"/>
      <c r="H298" s="12">
        <v>0.64166666666666705</v>
      </c>
      <c r="I298" s="12">
        <v>0.70833333333333304</v>
      </c>
      <c r="J298" s="16">
        <v>96</v>
      </c>
      <c r="K298" s="9" t="s">
        <v>30</v>
      </c>
    </row>
    <row r="299" spans="1:11" ht="15" customHeight="1" x14ac:dyDescent="0.2">
      <c r="A299" s="10">
        <v>46246</v>
      </c>
      <c r="B299" s="11">
        <v>0.50798611111111103</v>
      </c>
      <c r="C299" s="11">
        <v>0.54166666666666696</v>
      </c>
      <c r="D299" s="16">
        <v>49</v>
      </c>
      <c r="G299" s="16"/>
      <c r="J299" s="16"/>
      <c r="K299" s="9" t="s">
        <v>39</v>
      </c>
    </row>
    <row r="300" spans="1:11" ht="15" customHeight="1" x14ac:dyDescent="0.2">
      <c r="A300" s="10">
        <v>46246</v>
      </c>
      <c r="B300" s="11">
        <v>0.57861111111111097</v>
      </c>
      <c r="C300" s="11">
        <v>0.61458333333333304</v>
      </c>
      <c r="D300" s="16">
        <v>52</v>
      </c>
      <c r="G300" s="16"/>
      <c r="H300" s="12">
        <v>0.61458333333333304</v>
      </c>
      <c r="I300" s="12">
        <v>0.67083333333333295</v>
      </c>
      <c r="J300" s="16">
        <v>81</v>
      </c>
      <c r="K300" s="9" t="s">
        <v>39</v>
      </c>
    </row>
    <row r="301" spans="1:11" ht="15" customHeight="1" x14ac:dyDescent="0.2">
      <c r="A301" s="10">
        <v>46246</v>
      </c>
      <c r="B301" s="11">
        <v>0.67718750000000005</v>
      </c>
      <c r="C301" s="11">
        <v>0.72430555555555598</v>
      </c>
      <c r="D301" s="16">
        <v>68</v>
      </c>
      <c r="G301" s="16"/>
      <c r="J301" s="16"/>
      <c r="K301" s="9" t="s">
        <v>30</v>
      </c>
    </row>
    <row r="302" spans="1:11" ht="15" customHeight="1" x14ac:dyDescent="0.2">
      <c r="A302" s="10">
        <v>46246</v>
      </c>
      <c r="B302" s="11">
        <v>0.84309027777777801</v>
      </c>
      <c r="C302" s="11">
        <v>0.86564814814814794</v>
      </c>
      <c r="D302" s="16">
        <v>32</v>
      </c>
      <c r="G302" s="16"/>
      <c r="J302" s="16"/>
      <c r="K302" s="9" t="s">
        <v>30</v>
      </c>
    </row>
    <row r="303" spans="1:11" ht="15" customHeight="1" x14ac:dyDescent="0.2">
      <c r="A303" s="10">
        <v>46246</v>
      </c>
      <c r="B303" s="11">
        <v>0.75828703703703704</v>
      </c>
      <c r="C303" s="11">
        <v>0.78472222222222199</v>
      </c>
      <c r="D303" s="16">
        <v>39</v>
      </c>
      <c r="G303" s="16"/>
      <c r="J303" s="16"/>
      <c r="K303" s="9" t="s">
        <v>30</v>
      </c>
    </row>
    <row r="304" spans="1:11" ht="15" customHeight="1" x14ac:dyDescent="0.2">
      <c r="A304" s="10">
        <v>46246</v>
      </c>
      <c r="B304" s="11">
        <v>0.58578703703703705</v>
      </c>
      <c r="C304" s="11">
        <v>0.61527777777777803</v>
      </c>
      <c r="D304" s="16">
        <v>43</v>
      </c>
      <c r="G304" s="16"/>
      <c r="H304" s="12">
        <v>0.61597222222222203</v>
      </c>
      <c r="I304" s="12">
        <v>0.68888888888888899</v>
      </c>
      <c r="J304" s="16">
        <v>105</v>
      </c>
      <c r="K304" s="9" t="s">
        <v>28</v>
      </c>
    </row>
    <row r="305" spans="1:11" ht="15" customHeight="1" x14ac:dyDescent="0.2">
      <c r="A305" s="10">
        <v>46246</v>
      </c>
      <c r="B305" s="11">
        <v>0.61180555555555605</v>
      </c>
      <c r="C305" s="11">
        <v>0.65231481481481501</v>
      </c>
      <c r="D305" s="16">
        <v>58</v>
      </c>
      <c r="G305" s="16"/>
      <c r="J305" s="16"/>
      <c r="K305" s="9" t="s">
        <v>30</v>
      </c>
    </row>
    <row r="306" spans="1:11" ht="15" customHeight="1" x14ac:dyDescent="0.2">
      <c r="A306" s="10">
        <v>46246</v>
      </c>
      <c r="B306" s="11">
        <v>0.61111111111111105</v>
      </c>
      <c r="C306" s="11">
        <v>0.64583333333333304</v>
      </c>
      <c r="D306" s="16">
        <v>50</v>
      </c>
      <c r="G306" s="16"/>
      <c r="J306" s="16"/>
      <c r="K306" s="9" t="s">
        <v>28</v>
      </c>
    </row>
    <row r="307" spans="1:11" ht="15" customHeight="1" x14ac:dyDescent="0.2">
      <c r="A307" s="10">
        <v>46246</v>
      </c>
      <c r="B307" s="11">
        <v>0.63055555555555598</v>
      </c>
      <c r="C307" s="11">
        <v>0.63958333333333295</v>
      </c>
      <c r="D307" s="18">
        <v>13</v>
      </c>
      <c r="H307" s="12">
        <v>0.63958333333333295</v>
      </c>
      <c r="I307" s="12">
        <v>0.64305555555555605</v>
      </c>
      <c r="J307" s="18">
        <v>5</v>
      </c>
    </row>
    <row r="308" spans="1:11" ht="15" customHeight="1" x14ac:dyDescent="0.2">
      <c r="A308" s="10">
        <v>46246</v>
      </c>
      <c r="B308" s="11">
        <v>0.80696759259259299</v>
      </c>
      <c r="C308" s="11">
        <v>0.84252314814814799</v>
      </c>
      <c r="D308" s="16">
        <v>51</v>
      </c>
      <c r="G308" s="16"/>
      <c r="J308" s="16"/>
      <c r="K308" s="9" t="s">
        <v>30</v>
      </c>
    </row>
    <row r="309" spans="1:11" ht="15" customHeight="1" x14ac:dyDescent="0.2">
      <c r="A309" s="10">
        <v>46246</v>
      </c>
      <c r="B309" s="11">
        <v>0.68475694444444402</v>
      </c>
      <c r="C309" s="11">
        <v>0.70902777777777803</v>
      </c>
      <c r="D309" s="16">
        <v>35</v>
      </c>
      <c r="G309" s="16"/>
      <c r="H309" s="12">
        <v>0.70972222222222203</v>
      </c>
      <c r="I309" s="12">
        <v>0.75833333333333297</v>
      </c>
      <c r="J309" s="16">
        <v>70</v>
      </c>
      <c r="K309" s="9" t="s">
        <v>30</v>
      </c>
    </row>
    <row r="310" spans="1:11" ht="15" customHeight="1" x14ac:dyDescent="0.2">
      <c r="A310" s="10">
        <v>46247</v>
      </c>
      <c r="B310" s="11">
        <v>0.51343749999999999</v>
      </c>
      <c r="C310" s="11">
        <v>0.531944444444444</v>
      </c>
      <c r="D310" s="16">
        <v>27</v>
      </c>
      <c r="G310" s="16"/>
      <c r="H310" s="12">
        <v>0.53263888888888899</v>
      </c>
      <c r="I310" s="12">
        <v>0.69513888888888897</v>
      </c>
      <c r="J310" s="16">
        <v>234</v>
      </c>
      <c r="K310" s="9" t="s">
        <v>28</v>
      </c>
    </row>
    <row r="311" spans="1:11" ht="15" customHeight="1" x14ac:dyDescent="0.2">
      <c r="A311" s="10">
        <v>46247</v>
      </c>
      <c r="B311" s="11">
        <v>0.38333333333333303</v>
      </c>
      <c r="C311" s="11">
        <v>0.39583333333333298</v>
      </c>
      <c r="D311" s="16">
        <v>18</v>
      </c>
      <c r="G311" s="16"/>
      <c r="H311" s="12">
        <v>0.39652777777777798</v>
      </c>
      <c r="I311" s="12">
        <v>0.50694444444444398</v>
      </c>
      <c r="J311" s="16">
        <v>159</v>
      </c>
      <c r="K311" s="9" t="s">
        <v>49</v>
      </c>
    </row>
    <row r="312" spans="1:11" ht="15" customHeight="1" x14ac:dyDescent="0.2">
      <c r="A312" s="10">
        <v>46247</v>
      </c>
      <c r="B312" s="11">
        <v>0.35763888888888901</v>
      </c>
      <c r="C312" s="11">
        <v>0.40972222222222199</v>
      </c>
      <c r="D312" s="16">
        <v>75</v>
      </c>
      <c r="E312" s="11">
        <v>0.40972222222222199</v>
      </c>
      <c r="F312" s="11">
        <v>0.43333333333333302</v>
      </c>
      <c r="G312" s="16">
        <v>34</v>
      </c>
      <c r="J312" s="16"/>
      <c r="K312" s="9" t="s">
        <v>45</v>
      </c>
    </row>
    <row r="313" spans="1:11" ht="15" customHeight="1" x14ac:dyDescent="0.2">
      <c r="A313" s="10">
        <v>46247</v>
      </c>
      <c r="B313" s="11">
        <v>0.41892361111111098</v>
      </c>
      <c r="C313" s="11">
        <v>0.45833333333333298</v>
      </c>
      <c r="D313" s="16">
        <v>57</v>
      </c>
      <c r="G313" s="16"/>
      <c r="H313" s="12">
        <v>0.45902777777777798</v>
      </c>
      <c r="I313" s="12">
        <v>0.60277777777777797</v>
      </c>
      <c r="J313" s="16">
        <v>207</v>
      </c>
      <c r="K313" s="9" t="s">
        <v>30</v>
      </c>
    </row>
    <row r="314" spans="1:11" ht="15" customHeight="1" x14ac:dyDescent="0.2">
      <c r="A314" s="10">
        <v>46247</v>
      </c>
      <c r="B314" s="11">
        <v>0.53444444444444394</v>
      </c>
      <c r="C314" s="11">
        <v>0.56597222222222199</v>
      </c>
      <c r="D314" s="16">
        <v>46</v>
      </c>
      <c r="E314" s="11">
        <v>0.56666666666666698</v>
      </c>
      <c r="F314" s="11">
        <v>0.57304398148148195</v>
      </c>
      <c r="G314" s="16">
        <v>9</v>
      </c>
      <c r="J314" s="16"/>
      <c r="K314" s="9" t="s">
        <v>45</v>
      </c>
    </row>
    <row r="315" spans="1:11" ht="15" customHeight="1" x14ac:dyDescent="0.2">
      <c r="A315" s="10">
        <v>46247</v>
      </c>
      <c r="B315" s="11">
        <v>0.53620370370370396</v>
      </c>
      <c r="C315" s="11">
        <v>0.55902777777777801</v>
      </c>
      <c r="D315" s="16">
        <v>33</v>
      </c>
      <c r="G315" s="16"/>
      <c r="H315" s="12">
        <v>0.55972222222222201</v>
      </c>
      <c r="I315" s="12">
        <v>0.61458333333333304</v>
      </c>
      <c r="J315" s="16">
        <v>79</v>
      </c>
      <c r="K315" s="9" t="s">
        <v>30</v>
      </c>
    </row>
    <row r="316" spans="1:11" ht="15" customHeight="1" x14ac:dyDescent="0.2">
      <c r="A316" s="10">
        <v>46247</v>
      </c>
      <c r="B316" s="11">
        <v>0.46180555555555602</v>
      </c>
      <c r="C316" s="11">
        <v>0.48611111111111099</v>
      </c>
      <c r="D316" s="16">
        <v>35</v>
      </c>
      <c r="G316" s="16"/>
      <c r="H316" s="12">
        <v>0.48680555555555599</v>
      </c>
      <c r="I316" s="12">
        <v>0.73611111111111105</v>
      </c>
      <c r="J316" s="16">
        <v>359</v>
      </c>
      <c r="K316" s="9" t="s">
        <v>49</v>
      </c>
    </row>
    <row r="317" spans="1:11" ht="15" customHeight="1" x14ac:dyDescent="0.2">
      <c r="A317" s="10">
        <v>46247</v>
      </c>
      <c r="B317" s="11">
        <v>0.63908564814814794</v>
      </c>
      <c r="C317" s="11">
        <v>0.69861111111111096</v>
      </c>
      <c r="D317" s="16">
        <v>86</v>
      </c>
      <c r="E317" s="11">
        <v>0.69930555555555596</v>
      </c>
      <c r="F317" s="11">
        <v>0.71319444444444402</v>
      </c>
      <c r="G317" s="16">
        <v>20</v>
      </c>
      <c r="J317" s="16"/>
      <c r="K317" s="9" t="s">
        <v>33</v>
      </c>
    </row>
    <row r="318" spans="1:11" ht="15" customHeight="1" x14ac:dyDescent="0.2">
      <c r="A318" s="10">
        <v>46247</v>
      </c>
      <c r="B318" s="11">
        <v>0.45555555555555599</v>
      </c>
      <c r="C318" s="11">
        <v>0.46875</v>
      </c>
      <c r="D318" s="16">
        <v>19</v>
      </c>
      <c r="G318" s="16"/>
      <c r="H318" s="12">
        <v>0.469444444444444</v>
      </c>
      <c r="I318" s="12">
        <v>0.54166666666666696</v>
      </c>
      <c r="J318" s="16">
        <v>104</v>
      </c>
      <c r="K318" s="9" t="s">
        <v>28</v>
      </c>
    </row>
    <row r="319" spans="1:11" ht="15" customHeight="1" x14ac:dyDescent="0.2">
      <c r="A319" s="10">
        <v>46247</v>
      </c>
      <c r="B319" s="11">
        <v>0.37344907407407402</v>
      </c>
      <c r="C319" s="11">
        <v>0.45763888888888898</v>
      </c>
      <c r="D319" s="16">
        <v>122</v>
      </c>
      <c r="E319" s="11">
        <v>0.45833333333333298</v>
      </c>
      <c r="F319" s="11">
        <v>0.5</v>
      </c>
      <c r="G319" s="16">
        <v>60</v>
      </c>
      <c r="J319" s="16"/>
      <c r="K319" s="9" t="s">
        <v>28</v>
      </c>
    </row>
    <row r="320" spans="1:11" ht="15" customHeight="1" x14ac:dyDescent="0.2">
      <c r="A320" s="10">
        <v>46247</v>
      </c>
      <c r="B320" s="11">
        <v>0.66666666666666696</v>
      </c>
      <c r="C320" s="11">
        <v>0.71875</v>
      </c>
      <c r="D320" s="16">
        <v>75</v>
      </c>
      <c r="G320" s="16"/>
      <c r="H320" s="12">
        <v>0.719444444444444</v>
      </c>
      <c r="I320" s="12">
        <v>0.75694444444444398</v>
      </c>
      <c r="J320" s="16">
        <v>54</v>
      </c>
      <c r="K320" s="9" t="s">
        <v>30</v>
      </c>
    </row>
    <row r="321" spans="1:11" ht="15" customHeight="1" x14ac:dyDescent="0.2">
      <c r="A321" s="10">
        <v>46247</v>
      </c>
      <c r="B321" s="11">
        <v>0.58069444444444396</v>
      </c>
      <c r="C321" s="11">
        <v>0.63541666666666696</v>
      </c>
      <c r="D321" s="16">
        <v>79</v>
      </c>
      <c r="G321" s="16"/>
      <c r="H321" s="12">
        <v>0.63611111111111096</v>
      </c>
      <c r="I321" s="12">
        <v>0.82638888888888895</v>
      </c>
      <c r="J321" s="16">
        <v>274</v>
      </c>
      <c r="K321" s="9" t="s">
        <v>33</v>
      </c>
    </row>
    <row r="322" spans="1:11" ht="15" customHeight="1" x14ac:dyDescent="0.2">
      <c r="A322" s="10">
        <v>46247</v>
      </c>
      <c r="B322" s="11">
        <v>0.53958333333333297</v>
      </c>
      <c r="C322" s="11">
        <v>0.58263888888888904</v>
      </c>
      <c r="D322" s="16">
        <v>62</v>
      </c>
      <c r="G322" s="16"/>
      <c r="H322" s="12">
        <v>0.58333333333333304</v>
      </c>
      <c r="I322" s="12">
        <v>0.60902777777777795</v>
      </c>
      <c r="J322" s="16">
        <v>37</v>
      </c>
      <c r="K322" s="9" t="s">
        <v>49</v>
      </c>
    </row>
    <row r="323" spans="1:11" ht="15" customHeight="1" x14ac:dyDescent="0.2">
      <c r="A323" s="10">
        <v>46247</v>
      </c>
      <c r="B323" s="11">
        <v>0.45833333333333298</v>
      </c>
      <c r="C323" s="11">
        <v>0.49027777777777798</v>
      </c>
      <c r="D323" s="16">
        <v>46</v>
      </c>
      <c r="E323" s="11">
        <v>0.49027777777777798</v>
      </c>
      <c r="F323" s="11">
        <v>0.51458333333333295</v>
      </c>
      <c r="G323" s="16">
        <v>35</v>
      </c>
      <c r="J323" s="16"/>
      <c r="K323" s="9" t="s">
        <v>45</v>
      </c>
    </row>
    <row r="324" spans="1:11" ht="15" customHeight="1" x14ac:dyDescent="0.2">
      <c r="A324" s="10">
        <v>46247</v>
      </c>
      <c r="B324" s="11">
        <v>0.36944444444444402</v>
      </c>
      <c r="C324" s="11">
        <v>0.38611111111111102</v>
      </c>
      <c r="D324" s="16">
        <v>24</v>
      </c>
      <c r="G324" s="16"/>
      <c r="H324" s="12">
        <v>0.38611111111111102</v>
      </c>
      <c r="I324" s="12">
        <v>0.52430555555555602</v>
      </c>
      <c r="J324" s="16">
        <v>199</v>
      </c>
      <c r="K324" s="9" t="s">
        <v>33</v>
      </c>
    </row>
    <row r="325" spans="1:11" ht="15" customHeight="1" x14ac:dyDescent="0.2">
      <c r="A325" s="10">
        <v>46247</v>
      </c>
      <c r="B325" s="11">
        <v>0.59216435185185201</v>
      </c>
      <c r="C325" s="11">
        <v>0.61527777777777803</v>
      </c>
      <c r="D325" s="16">
        <v>34</v>
      </c>
      <c r="E325" s="11">
        <v>0.61527777777777803</v>
      </c>
      <c r="F325" s="11">
        <v>0.63541666666666696</v>
      </c>
      <c r="G325" s="16">
        <v>29</v>
      </c>
      <c r="J325" s="16"/>
      <c r="K325" s="9" t="s">
        <v>33</v>
      </c>
    </row>
    <row r="326" spans="1:11" ht="15" customHeight="1" x14ac:dyDescent="0.2">
      <c r="A326" s="10">
        <v>46247</v>
      </c>
      <c r="B326" s="11">
        <v>0.42906250000000001</v>
      </c>
      <c r="C326" s="11">
        <v>0.45555555555555599</v>
      </c>
      <c r="D326" s="16">
        <v>39</v>
      </c>
      <c r="G326" s="16"/>
      <c r="H326" s="12">
        <v>0.45624999999999999</v>
      </c>
      <c r="I326" s="12">
        <v>0.65625</v>
      </c>
      <c r="J326" s="16">
        <v>288</v>
      </c>
      <c r="K326" s="9" t="s">
        <v>33</v>
      </c>
    </row>
    <row r="327" spans="1:11" ht="15" customHeight="1" x14ac:dyDescent="0.2">
      <c r="A327" s="10">
        <v>46247</v>
      </c>
      <c r="B327" s="11">
        <v>0.66527777777777797</v>
      </c>
      <c r="C327" s="11">
        <v>0.73263888888888895</v>
      </c>
      <c r="D327" s="16">
        <v>97</v>
      </c>
      <c r="E327" s="11">
        <v>0.73263888888888895</v>
      </c>
      <c r="F327" s="11">
        <v>0.76041666666666696</v>
      </c>
      <c r="G327" s="16">
        <v>40</v>
      </c>
      <c r="J327" s="16"/>
      <c r="K327" s="9" t="s">
        <v>33</v>
      </c>
    </row>
    <row r="328" spans="1:11" ht="15" customHeight="1" x14ac:dyDescent="0.2">
      <c r="A328" s="10">
        <v>46247</v>
      </c>
      <c r="B328" s="11">
        <v>0.43888888888888899</v>
      </c>
      <c r="C328" s="11">
        <v>0.48194444444444401</v>
      </c>
      <c r="D328" s="16">
        <v>62</v>
      </c>
      <c r="E328" s="11">
        <v>0.48263888888888901</v>
      </c>
      <c r="F328" s="11">
        <v>0.6</v>
      </c>
      <c r="G328" s="16">
        <v>169</v>
      </c>
      <c r="J328" s="16"/>
      <c r="K328" s="9" t="s">
        <v>28</v>
      </c>
    </row>
    <row r="329" spans="1:11" ht="15" customHeight="1" x14ac:dyDescent="0.2">
      <c r="A329" s="10">
        <v>46247</v>
      </c>
      <c r="B329" s="11">
        <v>0.63888888888888895</v>
      </c>
      <c r="C329" s="11">
        <v>0.68958333333333299</v>
      </c>
      <c r="D329" s="16">
        <v>73</v>
      </c>
      <c r="G329" s="16"/>
      <c r="H329" s="12">
        <v>0.69027777777777799</v>
      </c>
      <c r="I329" s="12">
        <v>0.83333333333333304</v>
      </c>
      <c r="J329" s="16">
        <v>206</v>
      </c>
      <c r="K329" s="9" t="s">
        <v>49</v>
      </c>
    </row>
    <row r="330" spans="1:11" ht="15" customHeight="1" x14ac:dyDescent="0.2">
      <c r="A330" s="10">
        <v>46247</v>
      </c>
      <c r="B330" s="11">
        <v>0.39557870370370402</v>
      </c>
      <c r="C330" s="11">
        <v>0.45833333333333298</v>
      </c>
      <c r="D330" s="16">
        <v>91</v>
      </c>
      <c r="E330" s="11">
        <v>0.45833333333333298</v>
      </c>
      <c r="F330" s="11">
        <v>0.47569444444444398</v>
      </c>
      <c r="G330" s="16">
        <v>25</v>
      </c>
      <c r="J330" s="16"/>
      <c r="K330" s="9" t="s">
        <v>28</v>
      </c>
    </row>
    <row r="331" spans="1:11" ht="15" customHeight="1" x14ac:dyDescent="0.2">
      <c r="A331" s="10">
        <v>46247</v>
      </c>
      <c r="B331" s="11">
        <v>0.86527777777777803</v>
      </c>
      <c r="C331" s="11">
        <v>0.91769675925925898</v>
      </c>
      <c r="D331" s="18">
        <v>75</v>
      </c>
      <c r="K331" s="9" t="s">
        <v>64</v>
      </c>
    </row>
    <row r="332" spans="1:11" ht="15" customHeight="1" x14ac:dyDescent="0.2">
      <c r="A332" s="10">
        <v>46247</v>
      </c>
      <c r="B332" s="11">
        <v>0.51319444444444395</v>
      </c>
      <c r="C332" s="11">
        <v>0.531944444444444</v>
      </c>
      <c r="D332" s="16">
        <v>27</v>
      </c>
      <c r="E332" s="11">
        <v>0.531944444444444</v>
      </c>
      <c r="F332" s="11">
        <v>0.55277777777777803</v>
      </c>
      <c r="G332" s="16">
        <v>30</v>
      </c>
      <c r="J332" s="16"/>
      <c r="K332" s="9" t="s">
        <v>28</v>
      </c>
    </row>
    <row r="333" spans="1:11" ht="15" customHeight="1" x14ac:dyDescent="0.2">
      <c r="A333" s="10">
        <v>46247</v>
      </c>
      <c r="B333" s="11">
        <v>0.40335648148148101</v>
      </c>
      <c r="C333" s="11">
        <v>0.444930555555556</v>
      </c>
      <c r="D333" s="16">
        <v>60</v>
      </c>
      <c r="E333" s="11">
        <v>0.44513888888888897</v>
      </c>
      <c r="F333" s="11">
        <v>0.47222222222222199</v>
      </c>
      <c r="G333" s="16">
        <v>39</v>
      </c>
      <c r="J333" s="16"/>
      <c r="K333" s="9" t="s">
        <v>28</v>
      </c>
    </row>
    <row r="334" spans="1:11" ht="15" customHeight="1" x14ac:dyDescent="0.2">
      <c r="A334" s="10">
        <v>46247</v>
      </c>
      <c r="B334" s="11">
        <v>0.50347222222222199</v>
      </c>
      <c r="C334" s="11">
        <v>0.57569444444444395</v>
      </c>
      <c r="D334" s="16">
        <v>104</v>
      </c>
      <c r="E334" s="11">
        <v>0.57638888888888895</v>
      </c>
      <c r="F334" s="11">
        <v>0.66319444444444398</v>
      </c>
      <c r="G334" s="16">
        <v>125</v>
      </c>
      <c r="J334" s="16"/>
      <c r="K334" s="9" t="s">
        <v>28</v>
      </c>
    </row>
    <row r="335" spans="1:11" ht="15" customHeight="1" x14ac:dyDescent="0.2">
      <c r="A335" s="10">
        <v>46247</v>
      </c>
      <c r="B335" s="11">
        <v>0.650127314814815</v>
      </c>
      <c r="C335" s="11">
        <v>0.68503472222222195</v>
      </c>
      <c r="D335" s="16">
        <v>50</v>
      </c>
      <c r="E335" s="11">
        <v>0.68505787037037003</v>
      </c>
      <c r="F335" s="11">
        <v>0.71180555555555602</v>
      </c>
      <c r="G335" s="16">
        <v>39</v>
      </c>
      <c r="J335" s="16"/>
      <c r="K335" s="9" t="s">
        <v>28</v>
      </c>
    </row>
    <row r="336" spans="1:11" ht="15" customHeight="1" x14ac:dyDescent="0.2">
      <c r="A336" s="10">
        <v>46247</v>
      </c>
      <c r="B336" s="11">
        <v>0.70990740740740699</v>
      </c>
      <c r="C336" s="11">
        <v>0.750694444444444</v>
      </c>
      <c r="D336" s="16">
        <v>59</v>
      </c>
      <c r="E336" s="11">
        <v>0.75138888888888899</v>
      </c>
      <c r="F336" s="11">
        <v>0.76319444444444395</v>
      </c>
      <c r="G336" s="16">
        <v>17</v>
      </c>
      <c r="J336" s="16"/>
      <c r="K336" s="9" t="s">
        <v>33</v>
      </c>
    </row>
    <row r="337" spans="1:11" ht="15" customHeight="1" x14ac:dyDescent="0.2">
      <c r="A337" s="10">
        <v>46247</v>
      </c>
      <c r="B337" s="11">
        <v>0.35620370370370402</v>
      </c>
      <c r="C337" s="11">
        <v>0.42209490740740702</v>
      </c>
      <c r="D337" s="16">
        <v>95</v>
      </c>
      <c r="E337" s="11">
        <v>0.42211805555555598</v>
      </c>
      <c r="F337" s="11">
        <v>0.57804398148148195</v>
      </c>
      <c r="G337" s="16">
        <v>225</v>
      </c>
      <c r="J337" s="16"/>
      <c r="K337" s="9" t="s">
        <v>28</v>
      </c>
    </row>
    <row r="338" spans="1:11" ht="15" customHeight="1" x14ac:dyDescent="0.2">
      <c r="A338" s="10">
        <v>46247</v>
      </c>
      <c r="B338" s="11">
        <v>0.625694444444444</v>
      </c>
      <c r="C338" s="11">
        <v>0.63194444444444398</v>
      </c>
      <c r="D338" s="16">
        <v>9</v>
      </c>
      <c r="G338" s="16"/>
      <c r="J338" s="16"/>
      <c r="K338" s="9" t="s">
        <v>32</v>
      </c>
    </row>
    <row r="339" spans="1:11" ht="15" customHeight="1" x14ac:dyDescent="0.2">
      <c r="A339" s="10">
        <v>46247</v>
      </c>
      <c r="B339" s="11">
        <v>0.48958333333333298</v>
      </c>
      <c r="C339" s="11">
        <v>0.51849537037036997</v>
      </c>
      <c r="D339" s="16">
        <v>41</v>
      </c>
      <c r="E339" s="11">
        <v>0.51851851851851805</v>
      </c>
      <c r="F339" s="11">
        <v>0.58260416666666703</v>
      </c>
      <c r="G339" s="16">
        <v>92</v>
      </c>
      <c r="J339" s="16"/>
      <c r="K339" s="9" t="s">
        <v>33</v>
      </c>
    </row>
    <row r="340" spans="1:11" ht="15" customHeight="1" x14ac:dyDescent="0.2">
      <c r="A340" s="10">
        <v>46247</v>
      </c>
      <c r="B340" s="11">
        <v>0.74121527777777796</v>
      </c>
      <c r="C340" s="11">
        <v>0.78541666666666698</v>
      </c>
      <c r="D340" s="16">
        <v>64</v>
      </c>
      <c r="G340" s="16"/>
      <c r="J340" s="16"/>
      <c r="K340" s="9" t="s">
        <v>47</v>
      </c>
    </row>
    <row r="341" spans="1:11" ht="15" customHeight="1" x14ac:dyDescent="0.2">
      <c r="A341" s="10">
        <v>46247</v>
      </c>
      <c r="B341" s="11">
        <v>0.68055555555555602</v>
      </c>
      <c r="C341" s="11">
        <v>0.688194444444444</v>
      </c>
      <c r="D341" s="16">
        <v>11</v>
      </c>
      <c r="G341" s="16"/>
      <c r="H341" s="12">
        <v>0.68888888888888899</v>
      </c>
      <c r="I341" s="12">
        <v>0.70069444444444395</v>
      </c>
      <c r="J341" s="16">
        <v>17</v>
      </c>
      <c r="K341" s="9" t="s">
        <v>30</v>
      </c>
    </row>
    <row r="342" spans="1:11" ht="15" customHeight="1" x14ac:dyDescent="0.2">
      <c r="A342" s="10">
        <v>46247</v>
      </c>
      <c r="B342" s="11">
        <v>0.52777777777777801</v>
      </c>
      <c r="C342" s="11">
        <v>0.57638888888888895</v>
      </c>
      <c r="D342" s="16">
        <v>70</v>
      </c>
      <c r="G342" s="16"/>
      <c r="J342" s="16"/>
      <c r="K342" s="9" t="s">
        <v>30</v>
      </c>
    </row>
    <row r="343" spans="1:11" ht="15" customHeight="1" x14ac:dyDescent="0.2">
      <c r="A343" s="10">
        <v>46247</v>
      </c>
      <c r="B343" s="11">
        <v>0.60972222222222205</v>
      </c>
      <c r="C343" s="11">
        <v>0.625694444444444</v>
      </c>
      <c r="D343" s="16">
        <v>23</v>
      </c>
      <c r="G343" s="16"/>
      <c r="H343" s="12">
        <v>0.62638888888888899</v>
      </c>
      <c r="I343" s="12">
        <v>0.67986111111111103</v>
      </c>
      <c r="J343" s="16">
        <v>77</v>
      </c>
      <c r="K343" s="9" t="s">
        <v>28</v>
      </c>
    </row>
    <row r="344" spans="1:11" ht="15" customHeight="1" x14ac:dyDescent="0.2">
      <c r="A344" s="10">
        <v>46247</v>
      </c>
      <c r="B344" s="11">
        <v>0.42371527777777801</v>
      </c>
      <c r="C344" s="11">
        <v>0.43472222222222201</v>
      </c>
      <c r="D344" s="16">
        <v>16</v>
      </c>
      <c r="G344" s="16"/>
      <c r="H344" s="12">
        <v>0.43472222222222201</v>
      </c>
      <c r="I344" s="12">
        <v>0.43958333333333299</v>
      </c>
      <c r="J344" s="16">
        <v>7</v>
      </c>
      <c r="K344" s="9" t="s">
        <v>33</v>
      </c>
    </row>
    <row r="345" spans="1:11" ht="15" customHeight="1" x14ac:dyDescent="0.2">
      <c r="A345" s="10">
        <v>46247</v>
      </c>
      <c r="B345" s="11">
        <v>0.66554398148148197</v>
      </c>
      <c r="C345" s="11">
        <v>0.68402777777777801</v>
      </c>
      <c r="D345" s="16">
        <v>27</v>
      </c>
      <c r="G345" s="16"/>
      <c r="J345" s="16"/>
      <c r="K345" s="9" t="s">
        <v>28</v>
      </c>
    </row>
    <row r="346" spans="1:11" ht="15" customHeight="1" x14ac:dyDescent="0.2">
      <c r="A346" s="10">
        <v>46247</v>
      </c>
      <c r="E346" s="11">
        <v>0.42430555555555599</v>
      </c>
      <c r="F346" s="11">
        <v>0.51180555555555596</v>
      </c>
      <c r="G346" s="18">
        <v>126</v>
      </c>
    </row>
    <row r="347" spans="1:11" ht="15" customHeight="1" x14ac:dyDescent="0.2">
      <c r="A347" s="10">
        <v>46247</v>
      </c>
      <c r="B347" s="11">
        <v>0.53263888888888899</v>
      </c>
      <c r="C347" s="11">
        <v>0.60833333333333295</v>
      </c>
      <c r="D347" s="18">
        <v>109</v>
      </c>
    </row>
    <row r="348" spans="1:11" ht="15" customHeight="1" x14ac:dyDescent="0.2">
      <c r="A348" s="10">
        <v>46247</v>
      </c>
      <c r="B348" s="11">
        <v>0.63287037037036997</v>
      </c>
      <c r="C348" s="11">
        <v>0.655555555555556</v>
      </c>
      <c r="D348" s="16">
        <v>33</v>
      </c>
      <c r="G348" s="16"/>
      <c r="H348" s="12">
        <v>0.65625</v>
      </c>
      <c r="I348" s="12">
        <v>0.74791666666666701</v>
      </c>
      <c r="J348" s="16">
        <v>132</v>
      </c>
      <c r="K348" s="9" t="s">
        <v>30</v>
      </c>
    </row>
    <row r="349" spans="1:11" ht="15" customHeight="1" x14ac:dyDescent="0.2">
      <c r="A349" s="10">
        <v>46247</v>
      </c>
      <c r="E349" s="11">
        <v>0.67222222222222205</v>
      </c>
      <c r="F349" s="11">
        <v>0.76041666666666696</v>
      </c>
      <c r="G349" s="18">
        <v>127</v>
      </c>
    </row>
    <row r="350" spans="1:11" ht="15" customHeight="1" x14ac:dyDescent="0.2">
      <c r="A350" s="10">
        <v>46247</v>
      </c>
      <c r="B350" s="11">
        <v>7.4999999999999997E-2</v>
      </c>
      <c r="C350" s="11">
        <v>0.119236111111111</v>
      </c>
      <c r="D350" s="16">
        <v>63</v>
      </c>
      <c r="G350" s="16"/>
      <c r="J350" s="16"/>
      <c r="K350" s="9" t="s">
        <v>37</v>
      </c>
    </row>
    <row r="351" spans="1:11" ht="15" customHeight="1" x14ac:dyDescent="0.2">
      <c r="A351" s="10">
        <v>46247</v>
      </c>
      <c r="B351" s="11">
        <v>0.56364583333333296</v>
      </c>
      <c r="C351" s="11">
        <v>0.63888888888888895</v>
      </c>
      <c r="D351" s="16">
        <v>109</v>
      </c>
      <c r="E351" s="11">
        <v>0.63888888888888895</v>
      </c>
      <c r="F351" s="11">
        <v>0.70325231481481498</v>
      </c>
      <c r="G351" s="16">
        <v>92</v>
      </c>
      <c r="J351" s="16"/>
      <c r="K351" s="9" t="s">
        <v>33</v>
      </c>
    </row>
    <row r="352" spans="1:11" ht="15" customHeight="1" x14ac:dyDescent="0.2">
      <c r="A352" s="10">
        <v>46248</v>
      </c>
      <c r="B352" s="11">
        <v>0.51880787037037002</v>
      </c>
      <c r="C352" s="11">
        <v>0.54166666666666696</v>
      </c>
      <c r="D352" s="16">
        <v>33</v>
      </c>
      <c r="E352" s="11">
        <v>0.54236111111111096</v>
      </c>
      <c r="F352" s="11">
        <v>0.57291666666666696</v>
      </c>
      <c r="G352" s="16">
        <v>44</v>
      </c>
      <c r="J352" s="16"/>
      <c r="K352" s="9" t="s">
        <v>37</v>
      </c>
    </row>
    <row r="353" spans="1:11" ht="15" customHeight="1" x14ac:dyDescent="0.2">
      <c r="A353" s="10">
        <v>46248</v>
      </c>
      <c r="B353" s="11">
        <v>0.57013888888888897</v>
      </c>
      <c r="C353" s="11">
        <v>0.60416666666666696</v>
      </c>
      <c r="D353" s="16">
        <v>49</v>
      </c>
      <c r="E353" s="11">
        <v>0.61875000000000002</v>
      </c>
      <c r="F353" s="11">
        <v>0.656944444444444</v>
      </c>
      <c r="G353" s="16">
        <v>55</v>
      </c>
      <c r="J353" s="16"/>
      <c r="K353" s="9" t="s">
        <v>33</v>
      </c>
    </row>
    <row r="354" spans="1:11" ht="15" customHeight="1" x14ac:dyDescent="0.2">
      <c r="A354" s="10">
        <v>46248</v>
      </c>
      <c r="B354" s="11">
        <v>0.48958333333333298</v>
      </c>
      <c r="C354" s="11">
        <v>0.60069444444444398</v>
      </c>
      <c r="D354" s="16">
        <v>160</v>
      </c>
      <c r="E354" s="11">
        <v>0.603217592592593</v>
      </c>
      <c r="F354" s="11">
        <v>0.64236111111111105</v>
      </c>
      <c r="G354" s="16">
        <v>57</v>
      </c>
      <c r="J354" s="16"/>
      <c r="K354" s="9" t="s">
        <v>33</v>
      </c>
    </row>
    <row r="355" spans="1:11" ht="15" customHeight="1" x14ac:dyDescent="0.2">
      <c r="A355" s="10">
        <v>46248</v>
      </c>
      <c r="B355" s="11">
        <v>0.53749999999999998</v>
      </c>
      <c r="C355" s="11">
        <v>0.59375</v>
      </c>
      <c r="D355" s="16">
        <v>81</v>
      </c>
      <c r="E355" s="11">
        <v>0.59375</v>
      </c>
      <c r="F355" s="11">
        <v>0.73194444444444395</v>
      </c>
      <c r="G355" s="16">
        <v>199</v>
      </c>
      <c r="J355" s="16"/>
      <c r="K355" s="9" t="s">
        <v>28</v>
      </c>
    </row>
    <row r="356" spans="1:11" ht="15" customHeight="1" x14ac:dyDescent="0.2">
      <c r="A356" s="10">
        <v>46248</v>
      </c>
      <c r="B356" s="11">
        <v>0.45247685185185199</v>
      </c>
      <c r="C356" s="11">
        <v>0.46319444444444402</v>
      </c>
      <c r="D356" s="16">
        <v>16</v>
      </c>
      <c r="G356" s="16"/>
      <c r="H356" s="12">
        <v>0.484027777777778</v>
      </c>
      <c r="I356" s="12">
        <v>0.49444444444444402</v>
      </c>
      <c r="J356" s="16">
        <v>15</v>
      </c>
      <c r="K356" s="9" t="s">
        <v>30</v>
      </c>
    </row>
    <row r="357" spans="1:11" ht="15" customHeight="1" x14ac:dyDescent="0.2">
      <c r="A357" s="10">
        <v>46248</v>
      </c>
      <c r="B357" s="11">
        <v>0.59026620370370397</v>
      </c>
      <c r="C357" s="11">
        <v>0.60138888888888897</v>
      </c>
      <c r="D357" s="16">
        <v>17</v>
      </c>
      <c r="G357" s="16"/>
      <c r="H357" s="12">
        <v>0.62222222222222201</v>
      </c>
      <c r="I357" s="12">
        <v>0.72916666666666696</v>
      </c>
      <c r="J357" s="16">
        <v>154</v>
      </c>
      <c r="K357" s="9" t="s">
        <v>30</v>
      </c>
    </row>
    <row r="358" spans="1:11" ht="15" customHeight="1" x14ac:dyDescent="0.2">
      <c r="A358" s="10">
        <v>46248</v>
      </c>
      <c r="B358" s="11">
        <v>0.47569444444444398</v>
      </c>
      <c r="C358" s="11">
        <v>0.52430555555555602</v>
      </c>
      <c r="D358" s="16">
        <v>70</v>
      </c>
      <c r="E358" s="11">
        <v>0.52430555555555602</v>
      </c>
      <c r="F358" s="11">
        <v>0.54163194444444396</v>
      </c>
      <c r="G358" s="16">
        <v>24</v>
      </c>
      <c r="J358" s="16"/>
      <c r="K358" s="9" t="s">
        <v>28</v>
      </c>
    </row>
    <row r="359" spans="1:11" ht="15" customHeight="1" x14ac:dyDescent="0.2">
      <c r="A359" s="10">
        <v>46248</v>
      </c>
      <c r="B359" s="11">
        <v>0.62839120370370405</v>
      </c>
      <c r="C359" s="11">
        <v>0.64583333333333304</v>
      </c>
      <c r="D359" s="16">
        <v>26</v>
      </c>
      <c r="E359" s="11">
        <v>0.64652777777777803</v>
      </c>
      <c r="F359" s="11">
        <v>0.72916666666666696</v>
      </c>
      <c r="G359" s="16">
        <v>119</v>
      </c>
      <c r="J359" s="16"/>
      <c r="K359" s="9" t="s">
        <v>33</v>
      </c>
    </row>
    <row r="360" spans="1:11" ht="15" customHeight="1" x14ac:dyDescent="0.2">
      <c r="A360" s="10">
        <v>46248</v>
      </c>
      <c r="B360" s="11">
        <v>0.63114583333333296</v>
      </c>
      <c r="C360" s="11">
        <v>0.68832175925925898</v>
      </c>
      <c r="D360" s="16">
        <v>83</v>
      </c>
      <c r="E360" s="11">
        <v>0.68835648148148099</v>
      </c>
      <c r="F360" s="11">
        <v>0.72847222222222197</v>
      </c>
      <c r="G360" s="16">
        <v>58</v>
      </c>
      <c r="J360" s="16"/>
      <c r="K360" s="9" t="s">
        <v>28</v>
      </c>
    </row>
    <row r="361" spans="1:11" ht="15" customHeight="1" x14ac:dyDescent="0.2">
      <c r="A361" s="10">
        <v>46248</v>
      </c>
      <c r="B361" s="11">
        <v>0.56331018518518505</v>
      </c>
      <c r="C361" s="11">
        <v>0.61527777777777803</v>
      </c>
      <c r="D361" s="16">
        <v>75</v>
      </c>
      <c r="E361" s="11">
        <v>0.61527777777777803</v>
      </c>
      <c r="F361" s="11">
        <v>0.63055555555555598</v>
      </c>
      <c r="G361" s="16">
        <v>22</v>
      </c>
      <c r="J361" s="16"/>
      <c r="K361" s="9" t="s">
        <v>28</v>
      </c>
    </row>
    <row r="362" spans="1:11" ht="15" customHeight="1" x14ac:dyDescent="0.2">
      <c r="A362" s="10">
        <v>46248</v>
      </c>
      <c r="B362" s="11">
        <v>0.42605324074074102</v>
      </c>
      <c r="C362" s="11">
        <v>0.55625000000000002</v>
      </c>
      <c r="D362" s="16">
        <v>188</v>
      </c>
      <c r="G362" s="16"/>
      <c r="H362" s="12">
        <v>0.49166666666666697</v>
      </c>
      <c r="I362" s="12">
        <v>0.55625000000000002</v>
      </c>
      <c r="J362" s="16">
        <v>93</v>
      </c>
      <c r="K362" s="9" t="s">
        <v>28</v>
      </c>
    </row>
    <row r="363" spans="1:11" ht="15" customHeight="1" x14ac:dyDescent="0.2">
      <c r="A363" s="10">
        <v>46248</v>
      </c>
      <c r="B363" s="11">
        <v>0.59915509259259303</v>
      </c>
      <c r="C363" s="11">
        <v>0.67986111111111103</v>
      </c>
      <c r="D363" s="16">
        <v>117</v>
      </c>
      <c r="E363" s="11">
        <v>0.68055555555555602</v>
      </c>
      <c r="F363" s="11">
        <v>0.79166666666666696</v>
      </c>
      <c r="G363" s="16">
        <v>160</v>
      </c>
      <c r="J363" s="16"/>
      <c r="K363" s="9" t="s">
        <v>28</v>
      </c>
    </row>
    <row r="364" spans="1:11" ht="15" customHeight="1" x14ac:dyDescent="0.2">
      <c r="A364" s="10">
        <v>46248</v>
      </c>
      <c r="B364" s="11">
        <v>0.69097222222222199</v>
      </c>
      <c r="C364" s="11">
        <v>0.73263888888888895</v>
      </c>
      <c r="D364" s="16">
        <v>60</v>
      </c>
      <c r="E364" s="11">
        <v>0.73263888888888895</v>
      </c>
      <c r="F364" s="11">
        <v>0.75</v>
      </c>
      <c r="G364" s="16">
        <v>25</v>
      </c>
      <c r="J364" s="16"/>
      <c r="K364" s="9" t="s">
        <v>28</v>
      </c>
    </row>
    <row r="365" spans="1:11" ht="15" customHeight="1" x14ac:dyDescent="0.2">
      <c r="A365" s="10">
        <v>46248</v>
      </c>
      <c r="B365" s="11">
        <v>0.67798611111111096</v>
      </c>
      <c r="C365" s="11">
        <v>0.69791666666666696</v>
      </c>
      <c r="D365" s="16">
        <v>29</v>
      </c>
      <c r="E365" s="11">
        <v>0.69861111111111096</v>
      </c>
      <c r="F365" s="11">
        <v>0.75694444444444398</v>
      </c>
      <c r="G365" s="16">
        <v>84</v>
      </c>
      <c r="J365" s="16"/>
      <c r="K365" s="9" t="s">
        <v>33</v>
      </c>
    </row>
    <row r="366" spans="1:11" ht="15" customHeight="1" x14ac:dyDescent="0.2">
      <c r="A366" s="10">
        <v>46248</v>
      </c>
      <c r="B366" s="11">
        <v>0.33920138888888901</v>
      </c>
      <c r="C366" s="11">
        <v>0.4</v>
      </c>
      <c r="D366" s="16">
        <v>88</v>
      </c>
      <c r="E366" s="11">
        <v>0.40069444444444402</v>
      </c>
      <c r="F366" s="11">
        <v>0.42916666666666697</v>
      </c>
      <c r="G366" s="16">
        <v>41</v>
      </c>
      <c r="J366" s="16"/>
      <c r="K366" s="9" t="s">
        <v>45</v>
      </c>
    </row>
    <row r="367" spans="1:11" ht="15" customHeight="1" x14ac:dyDescent="0.2">
      <c r="A367" s="10">
        <v>46248</v>
      </c>
      <c r="B367" s="11">
        <v>0.45388888888888901</v>
      </c>
      <c r="C367" s="11">
        <v>0.47986111111111102</v>
      </c>
      <c r="D367" s="16">
        <v>38</v>
      </c>
      <c r="G367" s="16"/>
      <c r="H367" s="12">
        <v>0.48055555555555601</v>
      </c>
      <c r="I367" s="12">
        <v>0.51319444444444395</v>
      </c>
      <c r="J367" s="16">
        <v>47</v>
      </c>
      <c r="K367" s="9" t="s">
        <v>28</v>
      </c>
    </row>
    <row r="368" spans="1:11" ht="15" customHeight="1" x14ac:dyDescent="0.2">
      <c r="A368" s="10">
        <v>46248</v>
      </c>
      <c r="B368" s="11">
        <v>0.42430555555555599</v>
      </c>
      <c r="C368" s="11">
        <v>0.45833333333333298</v>
      </c>
      <c r="D368" s="16">
        <v>49</v>
      </c>
      <c r="G368" s="16"/>
      <c r="H368" s="12">
        <v>0.45902777777777798</v>
      </c>
      <c r="I368" s="12">
        <v>0.53472222222222199</v>
      </c>
      <c r="J368" s="16">
        <v>109</v>
      </c>
      <c r="K368" s="9" t="s">
        <v>30</v>
      </c>
    </row>
    <row r="369" spans="1:11" ht="15" customHeight="1" x14ac:dyDescent="0.2">
      <c r="A369" s="10">
        <v>46248</v>
      </c>
      <c r="B369" s="11">
        <v>0.47956018518518501</v>
      </c>
      <c r="C369" s="11">
        <v>0.52430555555555602</v>
      </c>
      <c r="D369" s="16">
        <v>65</v>
      </c>
      <c r="E369" s="11">
        <v>0.52430555555555602</v>
      </c>
      <c r="F369" s="11">
        <v>0.61416666666666697</v>
      </c>
      <c r="G369" s="16">
        <v>129</v>
      </c>
      <c r="J369" s="16"/>
      <c r="K369" s="9" t="s">
        <v>28</v>
      </c>
    </row>
    <row r="370" spans="1:11" ht="15" customHeight="1" x14ac:dyDescent="0.2">
      <c r="A370" s="10">
        <v>46248</v>
      </c>
      <c r="B370" s="11">
        <v>0.79357638888888904</v>
      </c>
      <c r="C370" s="11">
        <v>0.83541666666666703</v>
      </c>
      <c r="D370" s="16">
        <v>61</v>
      </c>
      <c r="G370" s="16"/>
      <c r="J370" s="16"/>
      <c r="K370" s="9" t="s">
        <v>30</v>
      </c>
    </row>
    <row r="371" spans="1:11" ht="15" customHeight="1" x14ac:dyDescent="0.2">
      <c r="A371" s="10">
        <v>46248</v>
      </c>
      <c r="B371" s="11">
        <v>0.54387731481481505</v>
      </c>
      <c r="C371" s="11">
        <v>0.563194444444444</v>
      </c>
      <c r="D371" s="16">
        <v>28</v>
      </c>
      <c r="G371" s="16"/>
      <c r="H371" s="12">
        <v>0.56388888888888899</v>
      </c>
      <c r="I371" s="12">
        <v>0.58958333333333302</v>
      </c>
      <c r="J371" s="16">
        <v>37</v>
      </c>
      <c r="K371" s="9" t="s">
        <v>30</v>
      </c>
    </row>
    <row r="372" spans="1:11" ht="15" customHeight="1" x14ac:dyDescent="0.2">
      <c r="A372" s="10">
        <v>46248</v>
      </c>
      <c r="B372" s="11">
        <v>0.33604166666666702</v>
      </c>
      <c r="C372" s="11">
        <v>0.35416666666666702</v>
      </c>
      <c r="D372" s="16">
        <v>27</v>
      </c>
      <c r="E372" s="11">
        <v>0.35486111111111102</v>
      </c>
      <c r="F372" s="11">
        <v>0.37847222222222199</v>
      </c>
      <c r="G372" s="16">
        <v>34</v>
      </c>
      <c r="J372" s="16"/>
      <c r="K372" s="9" t="s">
        <v>39</v>
      </c>
    </row>
    <row r="373" spans="1:11" ht="15" customHeight="1" x14ac:dyDescent="0.2">
      <c r="A373" s="10">
        <v>46248</v>
      </c>
      <c r="B373" s="11">
        <v>0.65430555555555603</v>
      </c>
      <c r="C373" s="11">
        <v>0.67777777777777803</v>
      </c>
      <c r="D373" s="16">
        <v>34</v>
      </c>
      <c r="G373" s="16"/>
      <c r="H373" s="12">
        <v>0.67847222222222203</v>
      </c>
      <c r="I373" s="12">
        <v>0.69513888888888897</v>
      </c>
      <c r="J373" s="16">
        <v>24</v>
      </c>
      <c r="K373" s="9" t="s">
        <v>28</v>
      </c>
    </row>
    <row r="374" spans="1:11" ht="15" customHeight="1" x14ac:dyDescent="0.2">
      <c r="A374" s="10">
        <v>46248</v>
      </c>
      <c r="B374" s="11">
        <v>0.49791666666666701</v>
      </c>
      <c r="C374" s="11">
        <v>0.51041666666666696</v>
      </c>
      <c r="D374" s="16">
        <v>18</v>
      </c>
      <c r="G374" s="16"/>
      <c r="J374" s="16"/>
      <c r="K374" s="9" t="s">
        <v>28</v>
      </c>
    </row>
    <row r="375" spans="1:11" ht="15" customHeight="1" x14ac:dyDescent="0.2">
      <c r="A375" s="10">
        <v>46248</v>
      </c>
      <c r="E375" s="11">
        <v>0.54513888888888895</v>
      </c>
      <c r="F375" s="11">
        <v>0.67083333333333295</v>
      </c>
      <c r="G375" s="18">
        <v>181</v>
      </c>
    </row>
    <row r="376" spans="1:11" ht="15" customHeight="1" x14ac:dyDescent="0.2">
      <c r="A376" s="10">
        <v>46248</v>
      </c>
      <c r="B376" s="11">
        <v>0.86319444444444404</v>
      </c>
      <c r="C376" s="11">
        <v>0.88817129629629599</v>
      </c>
      <c r="D376" s="16">
        <v>35</v>
      </c>
      <c r="G376" s="16"/>
      <c r="J376" s="16"/>
      <c r="K376" s="9" t="s">
        <v>49</v>
      </c>
    </row>
    <row r="377" spans="1:11" ht="15" customHeight="1" x14ac:dyDescent="0.2">
      <c r="A377" s="10">
        <v>46248</v>
      </c>
      <c r="B377" s="11">
        <v>0.66319444444444398</v>
      </c>
      <c r="C377" s="11">
        <v>0.6875</v>
      </c>
      <c r="D377" s="16">
        <v>35</v>
      </c>
      <c r="G377" s="16"/>
      <c r="J377" s="16"/>
      <c r="K377" s="9" t="s">
        <v>28</v>
      </c>
    </row>
    <row r="378" spans="1:11" ht="15" customHeight="1" x14ac:dyDescent="0.2">
      <c r="A378" s="10">
        <v>46248</v>
      </c>
      <c r="B378" s="11">
        <v>0.38888888888888901</v>
      </c>
      <c r="C378" s="11">
        <v>0.47847222222222202</v>
      </c>
      <c r="D378" s="16">
        <v>129</v>
      </c>
      <c r="E378" s="11">
        <v>0.47875000000000001</v>
      </c>
      <c r="F378" s="11">
        <v>0.486643518518519</v>
      </c>
      <c r="G378" s="16">
        <v>11</v>
      </c>
      <c r="J378" s="16"/>
      <c r="K378" s="9" t="s">
        <v>45</v>
      </c>
    </row>
    <row r="379" spans="1:11" ht="15" customHeight="1" x14ac:dyDescent="0.2">
      <c r="A379" s="10">
        <v>46248</v>
      </c>
      <c r="B379" s="11">
        <v>0.969444444444444</v>
      </c>
      <c r="C379" s="11">
        <v>0.99515046296296295</v>
      </c>
      <c r="D379" s="16">
        <v>37</v>
      </c>
      <c r="G379" s="16"/>
      <c r="J379" s="16"/>
      <c r="K379" s="9" t="s">
        <v>37</v>
      </c>
    </row>
    <row r="380" spans="1:11" ht="15" customHeight="1" x14ac:dyDescent="0.2">
      <c r="A380" s="10">
        <v>46248</v>
      </c>
      <c r="B380" s="11">
        <v>0.40222222222222198</v>
      </c>
      <c r="C380" s="11">
        <v>0.5</v>
      </c>
      <c r="D380" s="16">
        <v>141</v>
      </c>
      <c r="G380" s="16"/>
      <c r="H380" s="12">
        <v>0.5</v>
      </c>
      <c r="I380" s="12">
        <v>0.57361111111111096</v>
      </c>
      <c r="J380" s="16">
        <v>106</v>
      </c>
      <c r="K380" s="9" t="s">
        <v>33</v>
      </c>
    </row>
    <row r="381" spans="1:11" ht="15" customHeight="1" x14ac:dyDescent="0.2">
      <c r="A381" s="10">
        <v>46248</v>
      </c>
      <c r="B381" s="11">
        <v>0.40427083333333302</v>
      </c>
      <c r="C381" s="11">
        <v>0.44090277777777798</v>
      </c>
      <c r="D381" s="16">
        <v>52</v>
      </c>
      <c r="E381" s="11">
        <v>0.440925925925926</v>
      </c>
      <c r="F381" s="11">
        <v>0.46891203703703699</v>
      </c>
      <c r="G381" s="16">
        <v>41</v>
      </c>
      <c r="J381" s="16"/>
      <c r="K381" s="9" t="s">
        <v>28</v>
      </c>
    </row>
    <row r="382" spans="1:11" ht="15" customHeight="1" x14ac:dyDescent="0.2">
      <c r="A382" s="10">
        <v>46249</v>
      </c>
      <c r="B382" s="11">
        <v>0.39650462962963001</v>
      </c>
      <c r="C382" s="11">
        <v>0.42408564814814798</v>
      </c>
      <c r="D382" s="16">
        <v>40</v>
      </c>
      <c r="G382" s="16"/>
      <c r="J382" s="16"/>
      <c r="K382" s="9" t="s">
        <v>32</v>
      </c>
    </row>
    <row r="383" spans="1:11" ht="15" customHeight="1" x14ac:dyDescent="0.2">
      <c r="A383" s="10">
        <v>46249</v>
      </c>
      <c r="B383" s="11">
        <v>0.39543981481481499</v>
      </c>
      <c r="C383" s="11">
        <v>0.45447916666666699</v>
      </c>
      <c r="D383" s="16">
        <v>85</v>
      </c>
      <c r="G383" s="16"/>
      <c r="J383" s="16"/>
      <c r="K383" s="9" t="s">
        <v>30</v>
      </c>
    </row>
    <row r="384" spans="1:11" ht="15" customHeight="1" x14ac:dyDescent="0.2">
      <c r="A384" s="10">
        <v>46249</v>
      </c>
      <c r="B384" s="11">
        <v>0.52083333333333304</v>
      </c>
      <c r="C384" s="11">
        <v>0.55655092592592603</v>
      </c>
      <c r="D384" s="16">
        <v>51</v>
      </c>
      <c r="G384" s="16"/>
      <c r="J384" s="16"/>
      <c r="K384" s="9" t="s">
        <v>30</v>
      </c>
    </row>
    <row r="385" spans="1:11" ht="15" customHeight="1" x14ac:dyDescent="0.2">
      <c r="A385" s="10">
        <v>46249</v>
      </c>
      <c r="B385" s="11">
        <v>0.62394675925925902</v>
      </c>
      <c r="C385" s="11">
        <v>0.67006944444444405</v>
      </c>
      <c r="D385" s="16">
        <v>66</v>
      </c>
      <c r="G385" s="16"/>
      <c r="J385" s="16"/>
      <c r="K385" s="9" t="s">
        <v>30</v>
      </c>
    </row>
    <row r="386" spans="1:11" ht="15" customHeight="1" x14ac:dyDescent="0.2">
      <c r="A386" s="10">
        <v>46249</v>
      </c>
      <c r="B386" s="11">
        <v>0.48123842592592603</v>
      </c>
      <c r="C386" s="11">
        <v>0.59027777777777801</v>
      </c>
      <c r="D386" s="18">
        <v>158</v>
      </c>
    </row>
    <row r="387" spans="1:11" ht="15" customHeight="1" x14ac:dyDescent="0.2">
      <c r="A387" s="10">
        <v>46249</v>
      </c>
      <c r="B387" s="11">
        <v>0.54811342592592605</v>
      </c>
      <c r="C387" s="11">
        <v>0.625</v>
      </c>
      <c r="D387" s="18">
        <v>111</v>
      </c>
    </row>
    <row r="388" spans="1:11" ht="15" customHeight="1" x14ac:dyDescent="0.2">
      <c r="A388" s="10">
        <v>46249</v>
      </c>
      <c r="B388" s="11">
        <v>0.63111111111111096</v>
      </c>
      <c r="C388" s="11">
        <v>0.67104166666666698</v>
      </c>
      <c r="D388" s="18">
        <v>58</v>
      </c>
    </row>
    <row r="389" spans="1:11" ht="15" customHeight="1" x14ac:dyDescent="0.2">
      <c r="A389" s="10">
        <v>46250</v>
      </c>
      <c r="B389" s="11">
        <v>0.42469907407407398</v>
      </c>
      <c r="C389" s="11">
        <v>0.50278935185185203</v>
      </c>
      <c r="D389" s="16">
        <v>113</v>
      </c>
      <c r="G389" s="16"/>
      <c r="J389" s="16"/>
      <c r="K389" s="9" t="s">
        <v>30</v>
      </c>
    </row>
    <row r="390" spans="1:11" ht="15" customHeight="1" x14ac:dyDescent="0.2">
      <c r="A390" s="10">
        <v>46250</v>
      </c>
      <c r="B390" s="11">
        <v>0.443275462962963</v>
      </c>
      <c r="C390" s="11">
        <v>0.48611111111111099</v>
      </c>
      <c r="D390" s="16">
        <v>62</v>
      </c>
      <c r="G390" s="16"/>
      <c r="J390" s="16"/>
      <c r="K390" s="9" t="s">
        <v>32</v>
      </c>
    </row>
    <row r="391" spans="1:11" ht="15" customHeight="1" x14ac:dyDescent="0.2">
      <c r="A391" s="10">
        <v>46250</v>
      </c>
      <c r="B391" s="11">
        <v>0.69892361111111101</v>
      </c>
      <c r="C391" s="11">
        <v>0.75902777777777797</v>
      </c>
      <c r="D391" s="16">
        <v>87</v>
      </c>
      <c r="G391" s="16"/>
      <c r="J391" s="16"/>
      <c r="K391" s="9" t="s">
        <v>30</v>
      </c>
    </row>
    <row r="392" spans="1:11" ht="15" customHeight="1" x14ac:dyDescent="0.2">
      <c r="A392" s="10">
        <v>46250</v>
      </c>
      <c r="B392" s="11">
        <v>0.59326388888888903</v>
      </c>
      <c r="C392" s="11">
        <v>0.62847222222222199</v>
      </c>
      <c r="D392" s="16">
        <v>51</v>
      </c>
      <c r="G392" s="16"/>
      <c r="J392" s="16"/>
      <c r="K392" s="9" t="s">
        <v>30</v>
      </c>
    </row>
    <row r="393" spans="1:11" ht="15" customHeight="1" x14ac:dyDescent="0.2">
      <c r="A393" s="10">
        <v>46250</v>
      </c>
      <c r="B393" s="11">
        <v>0.507349537037037</v>
      </c>
      <c r="C393" s="11">
        <v>0.56696759259259299</v>
      </c>
      <c r="D393" s="16">
        <v>86</v>
      </c>
      <c r="G393" s="16"/>
      <c r="J393" s="16"/>
      <c r="K393" s="9" t="s">
        <v>30</v>
      </c>
    </row>
    <row r="394" spans="1:11" ht="15" customHeight="1" x14ac:dyDescent="0.2">
      <c r="A394" s="10">
        <v>46250</v>
      </c>
      <c r="B394" s="11">
        <v>0.51371527777777803</v>
      </c>
      <c r="C394" s="11">
        <v>0.55694444444444402</v>
      </c>
      <c r="D394" s="16">
        <v>63</v>
      </c>
      <c r="G394" s="16"/>
      <c r="J394" s="16"/>
      <c r="K394" s="9" t="s">
        <v>30</v>
      </c>
    </row>
    <row r="395" spans="1:11" ht="15" customHeight="1" x14ac:dyDescent="0.2">
      <c r="A395" s="10">
        <v>46250</v>
      </c>
      <c r="B395" s="11">
        <v>0.46144675925925899</v>
      </c>
      <c r="C395" s="11">
        <v>0.49027777777777798</v>
      </c>
      <c r="D395" s="16">
        <v>42</v>
      </c>
      <c r="G395" s="16"/>
      <c r="J395" s="16"/>
      <c r="K395" s="9" t="s">
        <v>33</v>
      </c>
    </row>
    <row r="396" spans="1:11" ht="15" customHeight="1" x14ac:dyDescent="0.2">
      <c r="A396" s="10">
        <v>46250</v>
      </c>
      <c r="B396" s="11">
        <v>0.64518518518518497</v>
      </c>
      <c r="C396" s="11">
        <v>0.65891203703703705</v>
      </c>
      <c r="D396" s="16">
        <v>19</v>
      </c>
      <c r="G396" s="16"/>
      <c r="J396" s="16"/>
      <c r="K396" s="9" t="s">
        <v>30</v>
      </c>
    </row>
    <row r="397" spans="1:11" ht="15" customHeight="1" x14ac:dyDescent="0.2">
      <c r="A397" s="10">
        <v>46250</v>
      </c>
      <c r="B397" s="11">
        <v>6.6782407407407401E-2</v>
      </c>
      <c r="C397" s="11">
        <v>8.4027777777777798E-2</v>
      </c>
      <c r="D397" s="16">
        <v>25</v>
      </c>
      <c r="G397" s="16"/>
      <c r="H397" s="12">
        <v>8.4722222222222199E-2</v>
      </c>
      <c r="I397" s="12">
        <v>0.10347222222222199</v>
      </c>
      <c r="J397" s="16">
        <v>27</v>
      </c>
      <c r="K397" s="9" t="s">
        <v>28</v>
      </c>
    </row>
    <row r="398" spans="1:11" ht="15" customHeight="1" x14ac:dyDescent="0.2">
      <c r="A398" s="10">
        <v>46250</v>
      </c>
      <c r="B398" s="11">
        <v>0.48749999999999999</v>
      </c>
      <c r="C398" s="11">
        <v>0.51388888888888895</v>
      </c>
      <c r="D398" s="18">
        <v>38</v>
      </c>
    </row>
    <row r="399" spans="1:11" ht="15" customHeight="1" x14ac:dyDescent="0.2">
      <c r="A399" s="10">
        <v>46250</v>
      </c>
      <c r="B399" s="11">
        <v>0.54758101851851804</v>
      </c>
      <c r="C399" s="11">
        <v>0.58263888888888904</v>
      </c>
      <c r="D399" s="18">
        <v>51</v>
      </c>
    </row>
    <row r="400" spans="1:11" ht="15" customHeight="1" x14ac:dyDescent="0.2">
      <c r="A400" s="10">
        <v>46250</v>
      </c>
      <c r="B400" s="11">
        <v>0.80094907407407401</v>
      </c>
      <c r="C400" s="11">
        <v>0.82950231481481496</v>
      </c>
      <c r="D400" s="16">
        <v>41</v>
      </c>
      <c r="G400" s="16"/>
      <c r="J400" s="16"/>
      <c r="K400" s="9" t="s">
        <v>30</v>
      </c>
    </row>
    <row r="401" spans="1:11" ht="15" customHeight="1" x14ac:dyDescent="0.2">
      <c r="A401" s="10">
        <v>46251</v>
      </c>
      <c r="B401" s="11">
        <v>0.37583333333333302</v>
      </c>
      <c r="C401" s="11">
        <v>0.38611111111111102</v>
      </c>
      <c r="D401" s="16">
        <v>15</v>
      </c>
      <c r="E401" s="11">
        <v>0.38680555555555601</v>
      </c>
      <c r="F401" s="11">
        <v>0.41666666666666702</v>
      </c>
      <c r="G401" s="16">
        <v>43</v>
      </c>
      <c r="J401" s="16"/>
      <c r="K401" s="9" t="s">
        <v>39</v>
      </c>
    </row>
    <row r="402" spans="1:11" ht="15" customHeight="1" x14ac:dyDescent="0.2">
      <c r="A402" s="10">
        <v>46251</v>
      </c>
      <c r="B402" s="11">
        <v>0.43879629629629602</v>
      </c>
      <c r="C402" s="11">
        <v>0.47916666666666702</v>
      </c>
      <c r="D402" s="16">
        <v>59</v>
      </c>
      <c r="E402" s="11">
        <v>0.47986111111111102</v>
      </c>
      <c r="F402" s="11">
        <v>0.49252314814814802</v>
      </c>
      <c r="G402" s="16">
        <v>18</v>
      </c>
      <c r="J402" s="16"/>
      <c r="K402" s="9" t="s">
        <v>41</v>
      </c>
    </row>
    <row r="403" spans="1:11" ht="15" customHeight="1" x14ac:dyDescent="0.2">
      <c r="A403" s="10">
        <v>46251</v>
      </c>
      <c r="B403" s="11">
        <v>0.55263888888888901</v>
      </c>
      <c r="C403" s="11">
        <v>0.56874999999999998</v>
      </c>
      <c r="D403" s="16">
        <v>24</v>
      </c>
      <c r="E403" s="11">
        <v>0.56874999999999998</v>
      </c>
      <c r="F403" s="11">
        <v>0.63541666666666696</v>
      </c>
      <c r="G403" s="16">
        <v>96</v>
      </c>
      <c r="J403" s="16"/>
      <c r="K403" s="9" t="s">
        <v>41</v>
      </c>
    </row>
    <row r="404" spans="1:11" ht="15" customHeight="1" x14ac:dyDescent="0.2">
      <c r="A404" s="10">
        <v>46251</v>
      </c>
      <c r="B404" s="11">
        <v>0.452083333333333</v>
      </c>
      <c r="C404" s="11">
        <v>0.47986111111111102</v>
      </c>
      <c r="D404" s="16">
        <v>40</v>
      </c>
      <c r="E404" s="11">
        <v>0.47986111111111102</v>
      </c>
      <c r="F404" s="11">
        <v>0.49722222222222201</v>
      </c>
      <c r="G404" s="16">
        <v>25</v>
      </c>
      <c r="J404" s="16"/>
      <c r="K404" s="9" t="s">
        <v>39</v>
      </c>
    </row>
    <row r="405" spans="1:11" ht="15" customHeight="1" x14ac:dyDescent="0.2">
      <c r="A405" s="10">
        <v>46251</v>
      </c>
      <c r="B405" s="11">
        <v>0.55315972222222198</v>
      </c>
      <c r="C405" s="11">
        <v>0.57361111111111096</v>
      </c>
      <c r="D405" s="16">
        <v>30</v>
      </c>
      <c r="E405" s="11">
        <v>0.57430555555555596</v>
      </c>
      <c r="F405" s="11">
        <v>0.62152777777777801</v>
      </c>
      <c r="G405" s="16">
        <v>68</v>
      </c>
      <c r="J405" s="16"/>
      <c r="K405" s="9" t="s">
        <v>39</v>
      </c>
    </row>
    <row r="406" spans="1:11" ht="15" customHeight="1" x14ac:dyDescent="0.2">
      <c r="A406" s="10">
        <v>46251</v>
      </c>
      <c r="B406" s="11">
        <v>0.45972222222222198</v>
      </c>
      <c r="C406" s="11">
        <v>0.47518518518518499</v>
      </c>
      <c r="D406" s="16">
        <v>22</v>
      </c>
      <c r="G406" s="16"/>
      <c r="H406" s="12">
        <v>0.47499999999999998</v>
      </c>
      <c r="I406" s="12">
        <v>0.54722222222222205</v>
      </c>
      <c r="J406" s="16">
        <v>104</v>
      </c>
      <c r="K406" s="9" t="s">
        <v>33</v>
      </c>
    </row>
    <row r="407" spans="1:11" ht="15" customHeight="1" x14ac:dyDescent="0.2">
      <c r="A407" s="10">
        <v>46251</v>
      </c>
      <c r="B407" s="11">
        <v>0.69795138888888897</v>
      </c>
      <c r="C407" s="11">
        <v>0.72850694444444397</v>
      </c>
      <c r="D407" s="16">
        <v>44</v>
      </c>
      <c r="G407" s="16"/>
      <c r="H407" s="12">
        <v>0.72847222222222197</v>
      </c>
      <c r="I407" s="12">
        <v>0.76458333333333295</v>
      </c>
      <c r="J407" s="16">
        <v>52</v>
      </c>
      <c r="K407" s="9" t="s">
        <v>30</v>
      </c>
    </row>
    <row r="408" spans="1:11" ht="15" customHeight="1" x14ac:dyDescent="0.2">
      <c r="A408" s="10">
        <v>46251</v>
      </c>
      <c r="B408" s="11">
        <v>0.53263888888888899</v>
      </c>
      <c r="C408" s="11">
        <v>0.58038194444444402</v>
      </c>
      <c r="D408" s="16">
        <v>68</v>
      </c>
      <c r="E408" s="11">
        <v>0.58763888888888904</v>
      </c>
      <c r="F408" s="11">
        <v>0.76458333333333295</v>
      </c>
      <c r="G408" s="16">
        <v>255</v>
      </c>
      <c r="J408" s="16"/>
      <c r="K408" s="9" t="s">
        <v>30</v>
      </c>
    </row>
    <row r="409" spans="1:11" ht="15" customHeight="1" x14ac:dyDescent="0.2">
      <c r="A409" s="10">
        <v>46251</v>
      </c>
      <c r="B409" s="11">
        <v>0.64034722222222196</v>
      </c>
      <c r="C409" s="11">
        <v>0.69791666666666696</v>
      </c>
      <c r="D409" s="16">
        <v>83</v>
      </c>
      <c r="G409" s="16"/>
      <c r="H409" s="12">
        <v>0.69861111111111096</v>
      </c>
      <c r="I409" s="12">
        <v>0.74583333333333302</v>
      </c>
      <c r="J409" s="16">
        <v>68</v>
      </c>
      <c r="K409" s="9" t="s">
        <v>30</v>
      </c>
    </row>
    <row r="410" spans="1:11" ht="15" customHeight="1" x14ac:dyDescent="0.2">
      <c r="A410" s="10">
        <v>46251</v>
      </c>
      <c r="B410" s="11">
        <v>0.50859953703703698</v>
      </c>
      <c r="C410" s="11">
        <v>0.55277777777777803</v>
      </c>
      <c r="D410" s="16">
        <v>64</v>
      </c>
      <c r="E410" s="11">
        <v>0.55347222222222203</v>
      </c>
      <c r="F410" s="11">
        <v>0.60613425925925901</v>
      </c>
      <c r="G410" s="16">
        <v>75</v>
      </c>
      <c r="J410" s="16"/>
      <c r="K410" s="9" t="s">
        <v>33</v>
      </c>
    </row>
    <row r="411" spans="1:11" ht="15" customHeight="1" x14ac:dyDescent="0.2">
      <c r="A411" s="10">
        <v>46251</v>
      </c>
      <c r="B411" s="11">
        <v>0.45107638888888901</v>
      </c>
      <c r="C411" s="11">
        <v>0.47099537037036998</v>
      </c>
      <c r="D411" s="16">
        <v>29</v>
      </c>
      <c r="G411" s="16"/>
      <c r="H411" s="12">
        <v>0.47083333333333299</v>
      </c>
      <c r="I411" s="12">
        <v>0.50138888888888899</v>
      </c>
      <c r="J411" s="16">
        <v>44</v>
      </c>
      <c r="K411" s="9" t="s">
        <v>30</v>
      </c>
    </row>
    <row r="412" spans="1:11" ht="15" customHeight="1" x14ac:dyDescent="0.2">
      <c r="A412" s="10">
        <v>46251</v>
      </c>
      <c r="B412" s="11">
        <v>0.57083333333333297</v>
      </c>
      <c r="C412" s="11">
        <v>0.60180555555555604</v>
      </c>
      <c r="D412" s="16">
        <v>44</v>
      </c>
      <c r="G412" s="16"/>
      <c r="H412" s="12">
        <v>0.60138888888888897</v>
      </c>
      <c r="I412" s="12">
        <v>0.72916666666666696</v>
      </c>
      <c r="J412" s="16">
        <v>184</v>
      </c>
      <c r="K412" s="9" t="s">
        <v>33</v>
      </c>
    </row>
    <row r="413" spans="1:11" ht="15" customHeight="1" x14ac:dyDescent="0.2">
      <c r="A413" s="10">
        <v>46251</v>
      </c>
      <c r="B413" s="11">
        <v>0.41873842592592603</v>
      </c>
      <c r="C413" s="11">
        <v>0.43888888888888899</v>
      </c>
      <c r="D413" s="16">
        <v>30</v>
      </c>
      <c r="G413" s="16"/>
      <c r="H413" s="12">
        <v>0.43888888888888899</v>
      </c>
      <c r="I413" s="12">
        <v>0.51458333333333295</v>
      </c>
      <c r="J413" s="16">
        <v>109</v>
      </c>
      <c r="K413" s="9" t="s">
        <v>28</v>
      </c>
    </row>
    <row r="414" spans="1:11" ht="15" customHeight="1" x14ac:dyDescent="0.2">
      <c r="A414" s="10">
        <v>46251</v>
      </c>
      <c r="B414" s="11">
        <v>0.61250000000000004</v>
      </c>
      <c r="C414" s="11">
        <v>0.67569444444444404</v>
      </c>
      <c r="D414" s="16">
        <v>91</v>
      </c>
      <c r="G414" s="16"/>
      <c r="J414" s="16"/>
      <c r="K414" s="9" t="s">
        <v>28</v>
      </c>
    </row>
    <row r="415" spans="1:11" ht="15" customHeight="1" x14ac:dyDescent="0.2">
      <c r="A415" s="10">
        <v>46251</v>
      </c>
      <c r="B415" s="11">
        <v>0.353680555555556</v>
      </c>
      <c r="C415" s="11">
        <v>0.36805555555555602</v>
      </c>
      <c r="D415" s="16">
        <v>21</v>
      </c>
      <c r="E415" s="11">
        <v>0.36875000000000002</v>
      </c>
      <c r="F415" s="11">
        <v>0.40069444444444402</v>
      </c>
      <c r="G415" s="16">
        <v>46</v>
      </c>
      <c r="J415" s="16"/>
      <c r="K415" s="9" t="s">
        <v>45</v>
      </c>
    </row>
    <row r="416" spans="1:11" ht="15" customHeight="1" x14ac:dyDescent="0.2">
      <c r="A416" s="10">
        <v>46251</v>
      </c>
      <c r="B416" s="11">
        <v>0.50353009259259296</v>
      </c>
      <c r="C416" s="11">
        <v>0.52152777777777803</v>
      </c>
      <c r="D416" s="16">
        <v>26</v>
      </c>
      <c r="E416" s="11">
        <v>0.55208333333333304</v>
      </c>
      <c r="F416" s="11">
        <v>0.593055555555556</v>
      </c>
      <c r="G416" s="16">
        <v>59</v>
      </c>
      <c r="J416" s="16"/>
      <c r="K416" s="9" t="s">
        <v>28</v>
      </c>
    </row>
    <row r="417" spans="1:11" ht="15" customHeight="1" x14ac:dyDescent="0.2">
      <c r="A417" s="10">
        <v>46251</v>
      </c>
      <c r="B417" s="11">
        <v>0.53785879629629596</v>
      </c>
      <c r="C417" s="11">
        <v>0.57222222222222197</v>
      </c>
      <c r="D417" s="16">
        <v>50</v>
      </c>
      <c r="E417" s="11">
        <v>0.57291666666666696</v>
      </c>
      <c r="F417" s="11">
        <v>0.58837962962962997</v>
      </c>
      <c r="G417" s="16">
        <v>22</v>
      </c>
      <c r="J417" s="16"/>
      <c r="K417" s="9" t="s">
        <v>30</v>
      </c>
    </row>
    <row r="418" spans="1:11" ht="15" customHeight="1" x14ac:dyDescent="0.2">
      <c r="A418" s="10">
        <v>46251</v>
      </c>
      <c r="B418" s="11">
        <v>0.75521990740740697</v>
      </c>
      <c r="C418" s="11">
        <v>0.80208333333333304</v>
      </c>
      <c r="D418" s="16">
        <v>68</v>
      </c>
      <c r="G418" s="16"/>
      <c r="H418" s="12">
        <v>0.80277777777777803</v>
      </c>
      <c r="I418" s="12">
        <v>0.84166666666666701</v>
      </c>
      <c r="J418" s="16">
        <v>56</v>
      </c>
      <c r="K418" s="9" t="s">
        <v>30</v>
      </c>
    </row>
    <row r="419" spans="1:11" ht="15" customHeight="1" x14ac:dyDescent="0.2">
      <c r="A419" s="10">
        <v>46251</v>
      </c>
      <c r="B419" s="11">
        <v>0.58252314814814798</v>
      </c>
      <c r="C419" s="11">
        <v>0.62152777777777801</v>
      </c>
      <c r="D419" s="16">
        <v>57</v>
      </c>
      <c r="E419" s="11">
        <v>0.62152777777777801</v>
      </c>
      <c r="F419" s="11">
        <v>0.64652777777777803</v>
      </c>
      <c r="G419" s="16">
        <v>36</v>
      </c>
      <c r="J419" s="16"/>
      <c r="K419" s="9" t="s">
        <v>45</v>
      </c>
    </row>
    <row r="420" spans="1:11" ht="15" customHeight="1" x14ac:dyDescent="0.2">
      <c r="A420" s="10">
        <v>46251</v>
      </c>
      <c r="B420" s="11">
        <v>0.390972222222222</v>
      </c>
      <c r="C420" s="11">
        <v>0.41875000000000001</v>
      </c>
      <c r="D420" s="16">
        <v>40</v>
      </c>
      <c r="G420" s="16"/>
      <c r="J420" s="16"/>
      <c r="K420" s="9" t="s">
        <v>30</v>
      </c>
    </row>
    <row r="421" spans="1:11" ht="15" customHeight="1" x14ac:dyDescent="0.2">
      <c r="A421" s="10">
        <v>46251</v>
      </c>
      <c r="B421" s="11">
        <v>0.50320601851851898</v>
      </c>
      <c r="C421" s="11">
        <v>0.531944444444444</v>
      </c>
      <c r="D421" s="16">
        <v>42</v>
      </c>
      <c r="G421" s="16"/>
      <c r="H421" s="12">
        <v>0.531944444444444</v>
      </c>
      <c r="I421" s="12">
        <v>0.54583333333333295</v>
      </c>
      <c r="J421" s="16">
        <v>20</v>
      </c>
      <c r="K421" s="9" t="s">
        <v>28</v>
      </c>
    </row>
    <row r="422" spans="1:11" ht="15" customHeight="1" x14ac:dyDescent="0.2">
      <c r="A422" s="10">
        <v>46251</v>
      </c>
      <c r="B422" s="11">
        <v>0.65597222222222196</v>
      </c>
      <c r="C422" s="11">
        <v>0.69236111111111098</v>
      </c>
      <c r="D422" s="16">
        <v>53</v>
      </c>
      <c r="G422" s="16"/>
      <c r="J422" s="16"/>
      <c r="K422" s="9" t="s">
        <v>33</v>
      </c>
    </row>
    <row r="423" spans="1:11" ht="15" customHeight="1" x14ac:dyDescent="0.2">
      <c r="A423" s="10">
        <v>46251</v>
      </c>
      <c r="B423" s="11">
        <v>0.719444444444444</v>
      </c>
      <c r="C423" s="11">
        <v>0.87152777777777801</v>
      </c>
      <c r="D423" s="16">
        <v>219</v>
      </c>
      <c r="G423" s="16"/>
      <c r="J423" s="16"/>
      <c r="K423" s="9" t="s">
        <v>30</v>
      </c>
    </row>
    <row r="424" spans="1:11" ht="15" customHeight="1" x14ac:dyDescent="0.2">
      <c r="A424" s="10">
        <v>46251</v>
      </c>
      <c r="B424" s="11">
        <v>0.51059027777777799</v>
      </c>
      <c r="C424" s="11">
        <v>0.56736111111111098</v>
      </c>
      <c r="D424" s="16">
        <v>82</v>
      </c>
      <c r="G424" s="16"/>
      <c r="J424" s="16"/>
      <c r="K424" s="9" t="s">
        <v>30</v>
      </c>
    </row>
    <row r="425" spans="1:11" ht="15" customHeight="1" x14ac:dyDescent="0.2">
      <c r="A425" s="10">
        <v>46251</v>
      </c>
      <c r="B425" s="11">
        <v>0.68888888888888899</v>
      </c>
      <c r="C425" s="11">
        <v>0.83333333333333304</v>
      </c>
      <c r="D425" s="16">
        <v>208</v>
      </c>
      <c r="G425" s="16"/>
      <c r="H425" s="12">
        <v>0.83333333333333304</v>
      </c>
      <c r="I425" s="12">
        <v>0.88402777777777797</v>
      </c>
      <c r="J425" s="16">
        <v>73</v>
      </c>
      <c r="K425" s="9" t="s">
        <v>28</v>
      </c>
    </row>
    <row r="426" spans="1:11" ht="15" customHeight="1" x14ac:dyDescent="0.2">
      <c r="A426" s="10">
        <v>46251</v>
      </c>
      <c r="B426" s="11">
        <v>0.28853009259259299</v>
      </c>
      <c r="C426" s="11">
        <v>0.30208333333333298</v>
      </c>
      <c r="D426" s="16">
        <v>20</v>
      </c>
      <c r="E426" s="11">
        <v>0.30208333333333298</v>
      </c>
      <c r="F426" s="11">
        <v>0.36501157407407397</v>
      </c>
      <c r="G426" s="16">
        <v>90</v>
      </c>
      <c r="J426" s="16"/>
      <c r="K426" s="9" t="s">
        <v>33</v>
      </c>
    </row>
    <row r="427" spans="1:11" ht="15" customHeight="1" x14ac:dyDescent="0.2">
      <c r="A427" s="10">
        <v>46251</v>
      </c>
      <c r="E427" s="11">
        <v>0.39930555555555602</v>
      </c>
      <c r="F427" s="11">
        <v>0.44791666666666702</v>
      </c>
      <c r="G427" s="18">
        <v>70</v>
      </c>
    </row>
    <row r="428" spans="1:11" ht="15" customHeight="1" x14ac:dyDescent="0.2">
      <c r="A428" s="10">
        <v>46251</v>
      </c>
      <c r="E428" s="11">
        <v>0.56597222222222199</v>
      </c>
      <c r="F428" s="11">
        <v>0.66112268518518502</v>
      </c>
      <c r="G428" s="18">
        <v>137</v>
      </c>
    </row>
    <row r="429" spans="1:11" ht="15" customHeight="1" x14ac:dyDescent="0.2">
      <c r="A429" s="10">
        <v>46251</v>
      </c>
      <c r="B429" s="11">
        <v>0.82797453703703705</v>
      </c>
      <c r="C429" s="11">
        <v>0.87814814814814801</v>
      </c>
      <c r="D429" s="16">
        <v>72</v>
      </c>
      <c r="G429" s="16"/>
      <c r="J429" s="16"/>
      <c r="K429" s="9" t="s">
        <v>28</v>
      </c>
    </row>
    <row r="430" spans="1:11" ht="15" customHeight="1" x14ac:dyDescent="0.2">
      <c r="A430" s="10">
        <v>46251</v>
      </c>
      <c r="B430" s="11">
        <v>0.635393518518519</v>
      </c>
      <c r="C430" s="11">
        <v>0.68405092592592598</v>
      </c>
      <c r="D430" s="16">
        <v>71</v>
      </c>
      <c r="G430" s="16"/>
      <c r="H430" s="12">
        <v>0.68402777777777801</v>
      </c>
      <c r="I430" s="12">
        <v>0.75</v>
      </c>
      <c r="J430" s="16">
        <v>95</v>
      </c>
      <c r="K430" s="9" t="s">
        <v>37</v>
      </c>
    </row>
    <row r="431" spans="1:11" ht="15" customHeight="1" x14ac:dyDescent="0.2">
      <c r="A431" s="10">
        <v>46251</v>
      </c>
      <c r="B431" s="11">
        <v>0.40486111111111101</v>
      </c>
      <c r="C431" s="11">
        <v>0.43402777777777801</v>
      </c>
      <c r="D431" s="16">
        <v>42</v>
      </c>
      <c r="E431" s="11">
        <v>0.43402777777777801</v>
      </c>
      <c r="F431" s="11">
        <v>0.44305555555555598</v>
      </c>
      <c r="G431" s="16">
        <v>13</v>
      </c>
      <c r="J431" s="16"/>
      <c r="K431" s="9" t="s">
        <v>45</v>
      </c>
    </row>
    <row r="432" spans="1:11" ht="15" customHeight="1" x14ac:dyDescent="0.2">
      <c r="A432" s="10">
        <v>46251</v>
      </c>
      <c r="B432" s="11">
        <v>0.51736111111111105</v>
      </c>
      <c r="C432" s="11">
        <v>0.54722222222222205</v>
      </c>
      <c r="D432" s="16">
        <v>43</v>
      </c>
      <c r="G432" s="16"/>
      <c r="H432" s="12">
        <v>0.54791666666666705</v>
      </c>
      <c r="I432" s="12">
        <v>0.68125000000000002</v>
      </c>
      <c r="J432" s="16">
        <v>192</v>
      </c>
      <c r="K432" s="9" t="s">
        <v>30</v>
      </c>
    </row>
    <row r="433" spans="1:11" ht="15" customHeight="1" x14ac:dyDescent="0.2">
      <c r="A433" s="10">
        <v>46251</v>
      </c>
      <c r="B433" s="11">
        <v>0.43406250000000002</v>
      </c>
      <c r="C433" s="11">
        <v>0.47986111111111102</v>
      </c>
      <c r="D433" s="16">
        <v>66</v>
      </c>
      <c r="E433" s="11">
        <v>0.48055555555555601</v>
      </c>
      <c r="F433" s="11">
        <v>0.52430555555555602</v>
      </c>
      <c r="G433" s="16">
        <v>63</v>
      </c>
      <c r="J433" s="16"/>
      <c r="K433" s="9" t="s">
        <v>37</v>
      </c>
    </row>
    <row r="434" spans="1:11" ht="15" customHeight="1" x14ac:dyDescent="0.2">
      <c r="A434" s="10">
        <v>46252</v>
      </c>
      <c r="B434" s="11">
        <v>0.37777777777777799</v>
      </c>
      <c r="C434" s="11">
        <v>0.40208333333333302</v>
      </c>
      <c r="D434" s="16">
        <v>35</v>
      </c>
      <c r="E434" s="11">
        <v>0.40208333333333302</v>
      </c>
      <c r="F434" s="11">
        <v>0.45958333333333301</v>
      </c>
      <c r="G434" s="16">
        <v>82</v>
      </c>
      <c r="J434" s="16"/>
      <c r="K434" s="9" t="s">
        <v>45</v>
      </c>
    </row>
    <row r="435" spans="1:11" ht="15" customHeight="1" x14ac:dyDescent="0.2">
      <c r="A435" s="10">
        <v>46252</v>
      </c>
      <c r="B435" s="11">
        <v>0.62244212962962997</v>
      </c>
      <c r="C435" s="11">
        <v>0.64027777777777795</v>
      </c>
      <c r="D435" s="16">
        <v>26</v>
      </c>
      <c r="G435" s="16"/>
      <c r="H435" s="12">
        <v>0.66111111111111098</v>
      </c>
      <c r="I435" s="12">
        <v>0.67708333333333304</v>
      </c>
      <c r="J435" s="16">
        <v>23</v>
      </c>
      <c r="K435" s="9" t="s">
        <v>30</v>
      </c>
    </row>
    <row r="436" spans="1:11" ht="15" customHeight="1" x14ac:dyDescent="0.2">
      <c r="A436" s="10">
        <v>46252</v>
      </c>
      <c r="B436" s="11">
        <v>0.44645833333333301</v>
      </c>
      <c r="C436" s="11">
        <v>0.45833333333333298</v>
      </c>
      <c r="D436" s="16">
        <v>18</v>
      </c>
      <c r="E436" s="11">
        <v>0.45902777777777798</v>
      </c>
      <c r="F436" s="11">
        <v>0.47361111111111098</v>
      </c>
      <c r="G436" s="16">
        <v>21</v>
      </c>
      <c r="J436" s="16"/>
      <c r="K436" s="9" t="s">
        <v>45</v>
      </c>
    </row>
    <row r="437" spans="1:11" ht="15" customHeight="1" x14ac:dyDescent="0.2">
      <c r="A437" s="10">
        <v>46252</v>
      </c>
      <c r="B437" s="11">
        <v>0.53348379629629605</v>
      </c>
      <c r="C437" s="11">
        <v>0.56689814814814798</v>
      </c>
      <c r="D437" s="16">
        <v>48</v>
      </c>
      <c r="E437" s="11">
        <v>0.56666666666666698</v>
      </c>
      <c r="F437" s="11">
        <v>0.64067129629629604</v>
      </c>
      <c r="G437" s="16">
        <v>106</v>
      </c>
      <c r="J437" s="16"/>
      <c r="K437" s="9" t="s">
        <v>45</v>
      </c>
    </row>
    <row r="438" spans="1:11" ht="15" customHeight="1" x14ac:dyDescent="0.2">
      <c r="A438" s="10">
        <v>46252</v>
      </c>
      <c r="B438" s="11">
        <v>0.44653935185185201</v>
      </c>
      <c r="C438" s="11">
        <v>0.469444444444444</v>
      </c>
      <c r="D438" s="16">
        <v>33</v>
      </c>
      <c r="G438" s="16"/>
      <c r="H438" s="12">
        <v>0.47013888888888899</v>
      </c>
      <c r="I438" s="12">
        <v>0.5</v>
      </c>
      <c r="J438" s="16">
        <v>43</v>
      </c>
      <c r="K438" s="9" t="s">
        <v>28</v>
      </c>
    </row>
    <row r="439" spans="1:11" ht="15" customHeight="1" x14ac:dyDescent="0.2">
      <c r="A439" s="10">
        <v>46252</v>
      </c>
      <c r="B439" s="11">
        <v>0.46300925925925901</v>
      </c>
      <c r="C439" s="11">
        <v>0.53408564814814796</v>
      </c>
      <c r="D439" s="16">
        <v>103</v>
      </c>
      <c r="G439" s="16"/>
      <c r="J439" s="16"/>
      <c r="K439" s="9" t="s">
        <v>33</v>
      </c>
    </row>
    <row r="440" spans="1:11" ht="15" customHeight="1" x14ac:dyDescent="0.2">
      <c r="A440" s="10">
        <v>46252</v>
      </c>
      <c r="B440" s="11">
        <v>0.35277777777777802</v>
      </c>
      <c r="C440" s="11">
        <v>0.37456018518518502</v>
      </c>
      <c r="D440" s="16">
        <v>31</v>
      </c>
      <c r="E440" s="11">
        <v>0.37458333333333299</v>
      </c>
      <c r="F440" s="11">
        <v>0.40972222222222199</v>
      </c>
      <c r="G440" s="16">
        <v>51</v>
      </c>
      <c r="J440" s="16"/>
      <c r="K440" s="9" t="s">
        <v>45</v>
      </c>
    </row>
    <row r="441" spans="1:11" ht="15" customHeight="1" x14ac:dyDescent="0.2">
      <c r="A441" s="10">
        <v>46252</v>
      </c>
      <c r="B441" s="11">
        <v>0.75425925925925896</v>
      </c>
      <c r="C441" s="11">
        <v>0.79768518518518505</v>
      </c>
      <c r="D441" s="16">
        <v>62</v>
      </c>
      <c r="E441" s="11">
        <v>0.80957175925925895</v>
      </c>
      <c r="F441" s="11">
        <v>0.84027777777777801</v>
      </c>
      <c r="G441" s="16">
        <v>45</v>
      </c>
      <c r="J441" s="16"/>
      <c r="K441" s="9" t="s">
        <v>30</v>
      </c>
    </row>
    <row r="442" spans="1:11" ht="15" customHeight="1" x14ac:dyDescent="0.2">
      <c r="A442" s="10">
        <v>46252</v>
      </c>
      <c r="B442" s="11">
        <v>0.56686342592592598</v>
      </c>
      <c r="C442" s="11">
        <v>0.59375</v>
      </c>
      <c r="D442" s="16">
        <v>39</v>
      </c>
      <c r="E442" s="11">
        <v>0.594444444444444</v>
      </c>
      <c r="F442" s="11">
        <v>0.64097222222222205</v>
      </c>
      <c r="G442" s="16">
        <v>67</v>
      </c>
      <c r="J442" s="16"/>
      <c r="K442" s="9" t="s">
        <v>28</v>
      </c>
    </row>
    <row r="443" spans="1:11" ht="15" customHeight="1" x14ac:dyDescent="0.2">
      <c r="A443" s="10">
        <v>46252</v>
      </c>
      <c r="B443" s="11">
        <v>0.43690972222222202</v>
      </c>
      <c r="C443" s="11">
        <v>0.47569444444444398</v>
      </c>
      <c r="D443" s="16">
        <v>56</v>
      </c>
      <c r="E443" s="11">
        <v>0.47569444444444398</v>
      </c>
      <c r="F443" s="11">
        <v>0.52430555555555602</v>
      </c>
      <c r="G443" s="16">
        <v>70</v>
      </c>
      <c r="J443" s="16"/>
      <c r="K443" s="9" t="s">
        <v>45</v>
      </c>
    </row>
    <row r="444" spans="1:11" ht="15" customHeight="1" x14ac:dyDescent="0.2">
      <c r="A444" s="10">
        <v>46252</v>
      </c>
      <c r="B444" s="11">
        <v>0.50138888888888899</v>
      </c>
      <c r="C444" s="11">
        <v>0.51041666666666696</v>
      </c>
      <c r="D444" s="16">
        <v>13</v>
      </c>
      <c r="G444" s="16"/>
      <c r="H444" s="12">
        <v>0.53125</v>
      </c>
      <c r="I444" s="12">
        <v>0.54027777777777797</v>
      </c>
      <c r="J444" s="16">
        <v>13</v>
      </c>
      <c r="K444" s="9" t="s">
        <v>30</v>
      </c>
    </row>
    <row r="445" spans="1:11" ht="15" customHeight="1" x14ac:dyDescent="0.2">
      <c r="A445" s="10">
        <v>46252</v>
      </c>
      <c r="B445" s="11">
        <v>0.59355324074074101</v>
      </c>
      <c r="C445" s="11">
        <v>0.63472222222222197</v>
      </c>
      <c r="D445" s="16">
        <v>60</v>
      </c>
      <c r="G445" s="16"/>
      <c r="H445" s="12">
        <v>0.63472222222222197</v>
      </c>
      <c r="I445" s="12">
        <v>0.75416666666666698</v>
      </c>
      <c r="J445" s="16">
        <v>172</v>
      </c>
      <c r="K445" s="9" t="s">
        <v>33</v>
      </c>
    </row>
    <row r="446" spans="1:11" s="14" customFormat="1" ht="15" customHeight="1" x14ac:dyDescent="0.2">
      <c r="A446" s="13">
        <v>46252</v>
      </c>
      <c r="B446" s="15">
        <v>0.35039351851851902</v>
      </c>
      <c r="D446" s="16"/>
      <c r="E446" s="15">
        <v>0.38194444444444398</v>
      </c>
      <c r="F446" s="15">
        <v>0.39583333333333298</v>
      </c>
      <c r="G446" s="16">
        <v>20</v>
      </c>
      <c r="J446" s="16"/>
      <c r="K446" s="14" t="s">
        <v>30</v>
      </c>
    </row>
    <row r="447" spans="1:11" ht="15" customHeight="1" x14ac:dyDescent="0.2">
      <c r="A447" s="10">
        <v>46252</v>
      </c>
      <c r="B447" s="11">
        <v>0.40206018518518499</v>
      </c>
      <c r="C447" s="11">
        <v>0.421527777777778</v>
      </c>
      <c r="D447" s="16">
        <v>29</v>
      </c>
      <c r="G447" s="16"/>
      <c r="H447" s="12">
        <v>0.422222222222222</v>
      </c>
      <c r="I447" s="12">
        <v>0.46875</v>
      </c>
      <c r="J447" s="16">
        <v>67</v>
      </c>
      <c r="K447" s="9" t="s">
        <v>28</v>
      </c>
    </row>
    <row r="448" spans="1:11" ht="15" customHeight="1" x14ac:dyDescent="0.2">
      <c r="A448" s="10">
        <v>46252</v>
      </c>
      <c r="B448" s="11">
        <v>0.58908564814814801</v>
      </c>
      <c r="C448" s="11">
        <v>0.60902777777777795</v>
      </c>
      <c r="D448" s="16">
        <v>29</v>
      </c>
      <c r="G448" s="16"/>
      <c r="H448" s="12">
        <v>0.60972222222222205</v>
      </c>
      <c r="I448" s="12">
        <v>0.68194444444444402</v>
      </c>
      <c r="J448" s="16">
        <v>104</v>
      </c>
      <c r="K448" s="9" t="s">
        <v>28</v>
      </c>
    </row>
    <row r="449" spans="1:11" ht="15" customHeight="1" x14ac:dyDescent="0.2">
      <c r="A449" s="10">
        <v>46252</v>
      </c>
      <c r="B449" s="11">
        <v>0.489953703703704</v>
      </c>
      <c r="C449" s="11">
        <v>0.53402777777777799</v>
      </c>
      <c r="D449" s="16">
        <v>64</v>
      </c>
      <c r="G449" s="16"/>
      <c r="H449" s="12">
        <v>0.53472222222222199</v>
      </c>
      <c r="I449" s="12">
        <v>0.62847222222222199</v>
      </c>
      <c r="J449" s="16">
        <v>135</v>
      </c>
      <c r="K449" s="9" t="s">
        <v>28</v>
      </c>
    </row>
    <row r="450" spans="1:11" ht="15" customHeight="1" x14ac:dyDescent="0.2">
      <c r="A450" s="10">
        <v>46252</v>
      </c>
      <c r="B450" s="11">
        <v>0.86028935185185196</v>
      </c>
      <c r="C450" s="11">
        <v>0.911944444444444</v>
      </c>
      <c r="D450" s="16">
        <v>75</v>
      </c>
      <c r="G450" s="16"/>
      <c r="J450" s="16"/>
      <c r="K450" s="9" t="s">
        <v>39</v>
      </c>
    </row>
    <row r="451" spans="1:11" ht="15" customHeight="1" x14ac:dyDescent="0.2">
      <c r="A451" s="10">
        <v>46252</v>
      </c>
      <c r="B451" s="11">
        <v>0.77399305555555598</v>
      </c>
      <c r="C451" s="11">
        <v>0.78958333333333297</v>
      </c>
      <c r="D451" s="16">
        <v>23</v>
      </c>
      <c r="G451" s="16"/>
      <c r="H451" s="12">
        <v>0.81041666666666701</v>
      </c>
      <c r="I451" s="12">
        <v>0.81597222222222199</v>
      </c>
      <c r="J451" s="16">
        <v>8</v>
      </c>
      <c r="K451" s="9" t="s">
        <v>39</v>
      </c>
    </row>
    <row r="452" spans="1:11" ht="15" customHeight="1" x14ac:dyDescent="0.2">
      <c r="A452" s="10">
        <v>46252</v>
      </c>
      <c r="B452" s="11">
        <v>0.90517361111111105</v>
      </c>
      <c r="C452" s="11">
        <v>0.91736111111111096</v>
      </c>
      <c r="D452" s="16">
        <v>18</v>
      </c>
      <c r="G452" s="16"/>
      <c r="H452" s="12">
        <v>0.91805555555555596</v>
      </c>
      <c r="I452" s="12">
        <v>0.93263888888888902</v>
      </c>
      <c r="J452" s="16">
        <v>21</v>
      </c>
      <c r="K452" s="9" t="s">
        <v>39</v>
      </c>
    </row>
    <row r="453" spans="1:11" ht="15" customHeight="1" x14ac:dyDescent="0.2">
      <c r="A453" s="10">
        <v>46252</v>
      </c>
      <c r="B453" s="11">
        <v>0.54273148148148198</v>
      </c>
      <c r="C453" s="11">
        <v>0.57291666666666696</v>
      </c>
      <c r="D453" s="16">
        <v>44</v>
      </c>
      <c r="G453" s="16"/>
      <c r="J453" s="16"/>
      <c r="K453" s="9" t="s">
        <v>30</v>
      </c>
    </row>
    <row r="454" spans="1:11" ht="15" customHeight="1" x14ac:dyDescent="0.2">
      <c r="A454" s="10">
        <v>46252</v>
      </c>
      <c r="B454" s="11">
        <v>0.82043981481481498</v>
      </c>
      <c r="C454" s="11">
        <v>0.875694444444444</v>
      </c>
      <c r="D454" s="16">
        <v>80</v>
      </c>
      <c r="G454" s="16"/>
      <c r="H454" s="12">
        <v>0.87638888888888899</v>
      </c>
      <c r="I454" s="12">
        <v>0.88888888888888895</v>
      </c>
      <c r="J454" s="16">
        <v>18</v>
      </c>
      <c r="K454" s="9" t="s">
        <v>30</v>
      </c>
    </row>
    <row r="455" spans="1:11" ht="15" customHeight="1" x14ac:dyDescent="0.2">
      <c r="A455" s="10">
        <v>46252</v>
      </c>
      <c r="B455" s="11">
        <v>0.66364583333333305</v>
      </c>
      <c r="C455" s="11">
        <v>0.71160879629629603</v>
      </c>
      <c r="D455" s="16">
        <v>69</v>
      </c>
      <c r="G455" s="16"/>
      <c r="J455" s="16"/>
      <c r="K455" s="9" t="s">
        <v>30</v>
      </c>
    </row>
    <row r="456" spans="1:11" ht="15" customHeight="1" x14ac:dyDescent="0.2">
      <c r="A456" s="10">
        <v>46252</v>
      </c>
      <c r="E456" s="11">
        <v>0.40625</v>
      </c>
      <c r="F456" s="11">
        <v>0.54444444444444395</v>
      </c>
      <c r="G456" s="18">
        <v>199</v>
      </c>
    </row>
    <row r="457" spans="1:11" ht="15" customHeight="1" x14ac:dyDescent="0.2">
      <c r="A457" s="10">
        <v>46252</v>
      </c>
      <c r="E457" s="11">
        <v>0.41319444444444398</v>
      </c>
      <c r="F457" s="11">
        <v>0.46875</v>
      </c>
      <c r="G457" s="18">
        <v>80</v>
      </c>
    </row>
    <row r="458" spans="1:11" ht="15" customHeight="1" x14ac:dyDescent="0.2">
      <c r="A458" s="10">
        <v>46252</v>
      </c>
      <c r="E458" s="11">
        <v>0.49236111111111103</v>
      </c>
      <c r="F458" s="11">
        <v>0.65703703703703698</v>
      </c>
      <c r="G458" s="18">
        <v>237</v>
      </c>
    </row>
    <row r="459" spans="1:11" ht="15" customHeight="1" x14ac:dyDescent="0.2">
      <c r="A459" s="10">
        <v>46252</v>
      </c>
      <c r="B459" s="11">
        <v>0.64754629629629601</v>
      </c>
      <c r="C459" s="11">
        <v>0.69444444444444398</v>
      </c>
      <c r="D459" s="16">
        <v>68</v>
      </c>
      <c r="G459" s="16"/>
      <c r="J459" s="16"/>
      <c r="K459" s="9" t="s">
        <v>28</v>
      </c>
    </row>
    <row r="460" spans="1:11" ht="15" customHeight="1" x14ac:dyDescent="0.2">
      <c r="A460" s="10">
        <v>46252</v>
      </c>
      <c r="E460" s="11">
        <v>0.60069444444444398</v>
      </c>
      <c r="F460" s="11">
        <v>0.69791666666666696</v>
      </c>
      <c r="G460" s="18">
        <v>140</v>
      </c>
    </row>
    <row r="461" spans="1:11" ht="15" customHeight="1" x14ac:dyDescent="0.2">
      <c r="A461" s="10">
        <v>46252</v>
      </c>
      <c r="E461" s="11">
        <v>0.60416666666666696</v>
      </c>
      <c r="F461" s="11">
        <v>0.69652777777777797</v>
      </c>
      <c r="G461" s="18">
        <v>133</v>
      </c>
    </row>
    <row r="462" spans="1:11" ht="15" customHeight="1" x14ac:dyDescent="0.2">
      <c r="A462" s="10">
        <v>46252</v>
      </c>
      <c r="B462" s="11">
        <v>0.81944444444444398</v>
      </c>
      <c r="C462" s="11">
        <v>0.875</v>
      </c>
      <c r="D462" s="16">
        <v>80</v>
      </c>
      <c r="G462" s="16"/>
      <c r="J462" s="16"/>
      <c r="K462" s="9" t="s">
        <v>37</v>
      </c>
    </row>
    <row r="463" spans="1:11" ht="15" customHeight="1" x14ac:dyDescent="0.2">
      <c r="A463" s="10">
        <v>46252</v>
      </c>
      <c r="E463" s="11">
        <v>0.70069444444444395</v>
      </c>
      <c r="F463" s="11">
        <v>0.77777777777777801</v>
      </c>
      <c r="G463" s="18">
        <v>111</v>
      </c>
    </row>
    <row r="464" spans="1:11" ht="15" customHeight="1" x14ac:dyDescent="0.2">
      <c r="A464" s="10">
        <v>46252</v>
      </c>
      <c r="B464" s="11">
        <v>0.60171296296296295</v>
      </c>
      <c r="C464" s="11">
        <v>0.63476851851851901</v>
      </c>
      <c r="D464" s="16">
        <v>48</v>
      </c>
      <c r="E464" s="11">
        <v>0.63480324074074101</v>
      </c>
      <c r="F464" s="11">
        <v>0.67821759259259295</v>
      </c>
      <c r="G464" s="16">
        <v>62</v>
      </c>
      <c r="J464" s="16"/>
      <c r="K464" s="9" t="s">
        <v>45</v>
      </c>
    </row>
    <row r="465" spans="1:11" ht="15" customHeight="1" x14ac:dyDescent="0.2">
      <c r="A465" s="10">
        <v>46252</v>
      </c>
      <c r="B465" s="11">
        <v>0.50208333333333299</v>
      </c>
      <c r="C465" s="11">
        <v>0.63194444444444398</v>
      </c>
      <c r="D465" s="16">
        <v>187</v>
      </c>
      <c r="E465" s="11">
        <v>0.63402777777777797</v>
      </c>
      <c r="F465" s="11">
        <v>0.70208333333333295</v>
      </c>
      <c r="G465" s="16">
        <v>98</v>
      </c>
      <c r="J465" s="16"/>
      <c r="K465" s="9" t="s">
        <v>30</v>
      </c>
    </row>
    <row r="466" spans="1:11" ht="15" customHeight="1" x14ac:dyDescent="0.2">
      <c r="A466" s="10">
        <v>46253</v>
      </c>
      <c r="B466" s="11">
        <v>0.33775462962962999</v>
      </c>
      <c r="C466" s="11">
        <v>0.35037037037037</v>
      </c>
      <c r="D466" s="16">
        <v>18</v>
      </c>
      <c r="E466" s="11">
        <v>0.35039351851851902</v>
      </c>
      <c r="F466" s="11">
        <v>0.36738425925925899</v>
      </c>
      <c r="G466" s="16">
        <v>25</v>
      </c>
      <c r="J466" s="16"/>
      <c r="K466" s="9" t="s">
        <v>49</v>
      </c>
    </row>
    <row r="467" spans="1:11" ht="15" customHeight="1" x14ac:dyDescent="0.2">
      <c r="A467" s="10">
        <v>46253</v>
      </c>
      <c r="B467" s="11">
        <v>0.45694444444444399</v>
      </c>
      <c r="C467" s="11">
        <v>0.48055555555555601</v>
      </c>
      <c r="D467" s="16">
        <v>34</v>
      </c>
      <c r="G467" s="16"/>
      <c r="H467" s="12">
        <v>0.43958333333333299</v>
      </c>
      <c r="I467" s="12">
        <v>0.58680555555555602</v>
      </c>
      <c r="J467" s="16">
        <v>212</v>
      </c>
      <c r="K467" s="9" t="s">
        <v>28</v>
      </c>
    </row>
    <row r="468" spans="1:11" ht="15" customHeight="1" x14ac:dyDescent="0.2">
      <c r="A468" s="10">
        <v>46253</v>
      </c>
      <c r="B468" s="11">
        <v>0.42813657407407402</v>
      </c>
      <c r="C468" s="11">
        <v>0.46883101851851799</v>
      </c>
      <c r="D468" s="16">
        <v>59</v>
      </c>
      <c r="E468" s="11">
        <v>0.468865740740741</v>
      </c>
      <c r="F468" s="11">
        <v>0.50944444444444403</v>
      </c>
      <c r="G468" s="16">
        <v>58</v>
      </c>
      <c r="J468" s="16"/>
      <c r="K468" s="9" t="s">
        <v>49</v>
      </c>
    </row>
    <row r="469" spans="1:11" ht="15" customHeight="1" x14ac:dyDescent="0.2">
      <c r="A469" s="10">
        <v>46253</v>
      </c>
      <c r="B469" s="11">
        <v>0.51388888888888895</v>
      </c>
      <c r="C469" s="11">
        <v>0.54236111111111096</v>
      </c>
      <c r="D469" s="16">
        <v>41</v>
      </c>
      <c r="E469" s="11">
        <v>0.54305555555555596</v>
      </c>
      <c r="F469" s="11">
        <v>0.55672453703703695</v>
      </c>
      <c r="G469" s="16">
        <v>19</v>
      </c>
      <c r="J469" s="16"/>
      <c r="K469" s="9" t="s">
        <v>49</v>
      </c>
    </row>
    <row r="470" spans="1:11" ht="15" customHeight="1" x14ac:dyDescent="0.2">
      <c r="A470" s="10">
        <v>46253</v>
      </c>
      <c r="B470" s="11">
        <v>0.38240740740740697</v>
      </c>
      <c r="C470" s="11">
        <v>0.42708333333333298</v>
      </c>
      <c r="D470" s="16">
        <v>65</v>
      </c>
      <c r="E470" s="11">
        <v>0.42708333333333298</v>
      </c>
      <c r="F470" s="11">
        <v>0.44025462962963002</v>
      </c>
      <c r="G470" s="16">
        <v>18</v>
      </c>
      <c r="J470" s="16"/>
      <c r="K470" s="9" t="s">
        <v>28</v>
      </c>
    </row>
    <row r="471" spans="1:11" ht="15" customHeight="1" x14ac:dyDescent="0.2">
      <c r="A471" s="10">
        <v>46253</v>
      </c>
      <c r="B471" s="11">
        <v>0.44922453703703702</v>
      </c>
      <c r="C471" s="11">
        <v>0.484027777777778</v>
      </c>
      <c r="D471" s="16">
        <v>51</v>
      </c>
      <c r="E471" s="11">
        <v>0.484027777777778</v>
      </c>
      <c r="F471" s="11">
        <v>0.52500000000000002</v>
      </c>
      <c r="G471" s="16">
        <v>59</v>
      </c>
      <c r="J471" s="16"/>
      <c r="K471" s="9" t="s">
        <v>28</v>
      </c>
    </row>
    <row r="472" spans="1:11" ht="15" customHeight="1" x14ac:dyDescent="0.2">
      <c r="A472" s="10">
        <v>46253</v>
      </c>
      <c r="B472" s="11">
        <v>0.48997685185185202</v>
      </c>
      <c r="C472" s="11">
        <v>0.52083333333333304</v>
      </c>
      <c r="D472" s="16">
        <v>45</v>
      </c>
      <c r="E472" s="11">
        <v>0.52083333333333304</v>
      </c>
      <c r="F472" s="11">
        <v>0.54704861111111103</v>
      </c>
      <c r="G472" s="16">
        <v>37</v>
      </c>
      <c r="J472" s="16"/>
      <c r="K472" s="9" t="s">
        <v>28</v>
      </c>
    </row>
    <row r="473" spans="1:11" ht="15" customHeight="1" x14ac:dyDescent="0.2">
      <c r="A473" s="10">
        <v>46253</v>
      </c>
      <c r="B473" s="11">
        <v>0.34637731481481498</v>
      </c>
      <c r="C473" s="11">
        <v>0.36527777777777798</v>
      </c>
      <c r="D473" s="16">
        <v>28</v>
      </c>
      <c r="E473" s="11">
        <v>0.36597222222222198</v>
      </c>
      <c r="F473" s="11">
        <v>0.41736111111111102</v>
      </c>
      <c r="G473" s="16">
        <v>74</v>
      </c>
      <c r="J473" s="16"/>
      <c r="K473" s="9" t="s">
        <v>30</v>
      </c>
    </row>
    <row r="474" spans="1:11" ht="15" customHeight="1" x14ac:dyDescent="0.2">
      <c r="A474" s="10">
        <v>46253</v>
      </c>
      <c r="B474" s="11">
        <v>0.83045138888888903</v>
      </c>
      <c r="C474" s="11">
        <v>0.90931712962962996</v>
      </c>
      <c r="D474" s="16">
        <v>114</v>
      </c>
      <c r="G474" s="16"/>
      <c r="J474" s="16"/>
      <c r="K474" s="9" t="s">
        <v>30</v>
      </c>
    </row>
    <row r="475" spans="1:11" ht="15" customHeight="1" x14ac:dyDescent="0.2">
      <c r="A475" s="10">
        <v>46253</v>
      </c>
      <c r="B475" s="11">
        <v>0.38250000000000001</v>
      </c>
      <c r="C475" s="11">
        <v>0.40776620370370398</v>
      </c>
      <c r="D475" s="16">
        <v>37</v>
      </c>
      <c r="G475" s="16"/>
      <c r="H475" s="12">
        <v>0.40763888888888899</v>
      </c>
      <c r="I475" s="12">
        <v>0.56666666666666698</v>
      </c>
      <c r="J475" s="16">
        <v>229</v>
      </c>
      <c r="K475" s="9" t="s">
        <v>28</v>
      </c>
    </row>
    <row r="476" spans="1:11" ht="15" customHeight="1" x14ac:dyDescent="0.2">
      <c r="A476" s="10">
        <v>46253</v>
      </c>
      <c r="B476" s="11">
        <v>0.42708333333333298</v>
      </c>
      <c r="C476" s="11">
        <v>0.47222222222222199</v>
      </c>
      <c r="D476" s="16">
        <v>65</v>
      </c>
      <c r="E476" s="11">
        <v>0.47291666666666698</v>
      </c>
      <c r="F476" s="11">
        <v>0.53807870370370403</v>
      </c>
      <c r="G476" s="16">
        <v>93</v>
      </c>
      <c r="J476" s="16"/>
      <c r="K476" s="9" t="s">
        <v>30</v>
      </c>
    </row>
    <row r="477" spans="1:11" ht="15" customHeight="1" x14ac:dyDescent="0.2">
      <c r="A477" s="10">
        <v>46253</v>
      </c>
      <c r="B477" s="11">
        <v>0.357488425925926</v>
      </c>
      <c r="C477" s="11">
        <v>0.38118055555555602</v>
      </c>
      <c r="D477" s="16">
        <v>34</v>
      </c>
      <c r="E477" s="11">
        <v>0.38120370370370399</v>
      </c>
      <c r="F477" s="11">
        <v>0.41158564814814802</v>
      </c>
      <c r="G477" s="16">
        <v>44</v>
      </c>
      <c r="J477" s="16"/>
      <c r="K477" s="9" t="s">
        <v>49</v>
      </c>
    </row>
    <row r="478" spans="1:11" ht="15" customHeight="1" x14ac:dyDescent="0.2">
      <c r="A478" s="10">
        <v>46253</v>
      </c>
      <c r="B478" s="11">
        <v>0.56234953703703705</v>
      </c>
      <c r="C478" s="11">
        <v>0.58750000000000002</v>
      </c>
      <c r="D478" s="16">
        <v>37</v>
      </c>
      <c r="E478" s="11">
        <v>0.58750000000000002</v>
      </c>
      <c r="F478" s="11">
        <v>0.62083333333333302</v>
      </c>
      <c r="G478" s="16">
        <v>48</v>
      </c>
      <c r="J478" s="16"/>
      <c r="K478" s="9" t="s">
        <v>28</v>
      </c>
    </row>
    <row r="479" spans="1:11" ht="15" customHeight="1" x14ac:dyDescent="0.2">
      <c r="A479" s="10">
        <v>46253</v>
      </c>
      <c r="B479" s="11">
        <v>0.44601851851851898</v>
      </c>
      <c r="C479" s="11">
        <v>0.46527777777777801</v>
      </c>
      <c r="D479" s="16">
        <v>28</v>
      </c>
      <c r="G479" s="16"/>
      <c r="H479" s="12">
        <v>0.46597222222222201</v>
      </c>
      <c r="I479" s="12">
        <v>0.58194444444444404</v>
      </c>
      <c r="J479" s="16">
        <v>167</v>
      </c>
      <c r="K479" s="9" t="s">
        <v>30</v>
      </c>
    </row>
    <row r="480" spans="1:11" ht="15" customHeight="1" x14ac:dyDescent="0.2">
      <c r="A480" s="10">
        <v>46253</v>
      </c>
      <c r="B480" s="11">
        <v>0.69305555555555598</v>
      </c>
      <c r="C480" s="11">
        <v>0.750694444444444</v>
      </c>
      <c r="D480" s="16">
        <v>83</v>
      </c>
      <c r="G480" s="16"/>
      <c r="H480" s="12">
        <v>0.750694444444444</v>
      </c>
      <c r="I480" s="12">
        <v>0.77777777777777801</v>
      </c>
      <c r="J480" s="16">
        <v>39</v>
      </c>
      <c r="K480" s="9" t="s">
        <v>28</v>
      </c>
    </row>
    <row r="481" spans="1:11" ht="15" customHeight="1" x14ac:dyDescent="0.2">
      <c r="A481" s="10">
        <v>46253</v>
      </c>
      <c r="B481" s="11">
        <v>0.57987268518518498</v>
      </c>
      <c r="C481" s="11">
        <v>0.63940972222222203</v>
      </c>
      <c r="D481" s="16">
        <v>85</v>
      </c>
      <c r="G481" s="16"/>
      <c r="J481" s="16"/>
      <c r="K481" s="9" t="s">
        <v>49</v>
      </c>
    </row>
    <row r="482" spans="1:11" ht="15" customHeight="1" x14ac:dyDescent="0.2">
      <c r="A482" s="10">
        <v>46253</v>
      </c>
      <c r="B482" s="11">
        <v>0.43055555555555602</v>
      </c>
      <c r="C482" s="11">
        <v>0.47986111111111102</v>
      </c>
      <c r="D482" s="16">
        <v>71</v>
      </c>
      <c r="E482" s="11">
        <v>0.48055555555555601</v>
      </c>
      <c r="F482" s="11">
        <v>0.50555555555555598</v>
      </c>
      <c r="G482" s="16">
        <v>36</v>
      </c>
      <c r="J482" s="16"/>
      <c r="K482" s="9" t="s">
        <v>30</v>
      </c>
    </row>
    <row r="483" spans="1:11" ht="15" customHeight="1" x14ac:dyDescent="0.2">
      <c r="A483" s="10">
        <v>46253</v>
      </c>
      <c r="B483" s="11">
        <v>0.64413194444444399</v>
      </c>
      <c r="C483" s="11">
        <v>0.71076388888888897</v>
      </c>
      <c r="D483" s="16">
        <v>96</v>
      </c>
      <c r="G483" s="16"/>
      <c r="J483" s="16"/>
      <c r="K483" s="9" t="s">
        <v>28</v>
      </c>
    </row>
    <row r="484" spans="1:11" ht="15" customHeight="1" x14ac:dyDescent="0.2">
      <c r="A484" s="10">
        <v>46253</v>
      </c>
      <c r="B484" s="11">
        <v>0.875</v>
      </c>
      <c r="C484" s="11">
        <v>0.90347222222222201</v>
      </c>
      <c r="D484" s="16">
        <v>41</v>
      </c>
      <c r="G484" s="16"/>
      <c r="J484" s="16"/>
      <c r="K484" s="9" t="s">
        <v>37</v>
      </c>
    </row>
    <row r="485" spans="1:11" ht="15" customHeight="1" x14ac:dyDescent="0.2">
      <c r="A485" s="10">
        <v>46253</v>
      </c>
      <c r="B485" s="11">
        <v>0.50524305555555604</v>
      </c>
      <c r="C485" s="11">
        <v>0.54578703703703701</v>
      </c>
      <c r="D485" s="16">
        <v>58</v>
      </c>
      <c r="G485" s="16"/>
      <c r="J485" s="16"/>
      <c r="K485" s="9" t="s">
        <v>30</v>
      </c>
    </row>
    <row r="486" spans="1:11" ht="15" customHeight="1" x14ac:dyDescent="0.2">
      <c r="A486" s="10">
        <v>46253</v>
      </c>
      <c r="B486" s="11">
        <v>0.37013888888888902</v>
      </c>
      <c r="C486" s="11">
        <v>0.40347222222222201</v>
      </c>
      <c r="D486" s="16">
        <v>48</v>
      </c>
      <c r="G486" s="16"/>
      <c r="J486" s="16"/>
      <c r="K486" s="9" t="s">
        <v>30</v>
      </c>
    </row>
    <row r="487" spans="1:11" ht="15" customHeight="1" x14ac:dyDescent="0.2">
      <c r="A487" s="10">
        <v>46253</v>
      </c>
      <c r="B487" s="11">
        <v>0.68872685185185201</v>
      </c>
      <c r="C487" s="11">
        <v>0.74027777777777803</v>
      </c>
      <c r="D487" s="16">
        <v>75</v>
      </c>
      <c r="G487" s="16"/>
      <c r="H487" s="12">
        <v>0.74097222222222203</v>
      </c>
      <c r="I487" s="12">
        <v>0.76875000000000004</v>
      </c>
      <c r="J487" s="16">
        <v>40</v>
      </c>
      <c r="K487" s="9" t="s">
        <v>30</v>
      </c>
    </row>
    <row r="488" spans="1:11" ht="15" customHeight="1" x14ac:dyDescent="0.2">
      <c r="A488" s="10">
        <v>46253</v>
      </c>
      <c r="B488" s="11">
        <v>0.776747685185185</v>
      </c>
      <c r="C488" s="11">
        <v>0.84356481481481504</v>
      </c>
      <c r="D488" s="16">
        <v>96</v>
      </c>
      <c r="G488" s="16"/>
      <c r="J488" s="16"/>
      <c r="K488" s="9" t="s">
        <v>28</v>
      </c>
    </row>
    <row r="489" spans="1:11" ht="15" customHeight="1" x14ac:dyDescent="0.2">
      <c r="A489" s="10">
        <v>46253</v>
      </c>
      <c r="B489" s="11">
        <v>0.53259259259259295</v>
      </c>
      <c r="C489" s="11">
        <v>0.58703703703703702</v>
      </c>
      <c r="D489" s="18">
        <v>79</v>
      </c>
      <c r="E489" s="11">
        <v>0.58706018518518499</v>
      </c>
      <c r="F489" s="11">
        <v>0.63049768518518501</v>
      </c>
      <c r="G489" s="18">
        <v>62</v>
      </c>
    </row>
    <row r="490" spans="1:11" ht="15" customHeight="1" x14ac:dyDescent="0.2">
      <c r="A490" s="10">
        <v>46253</v>
      </c>
      <c r="B490" s="11">
        <v>0.60525462962962995</v>
      </c>
      <c r="C490" s="11">
        <v>0.62638888888888899</v>
      </c>
      <c r="D490" s="16">
        <v>31</v>
      </c>
      <c r="G490" s="16"/>
      <c r="H490" s="12">
        <v>0.62708333333333299</v>
      </c>
      <c r="I490" s="12">
        <v>0.63958333333333295</v>
      </c>
      <c r="J490" s="16">
        <v>18</v>
      </c>
      <c r="K490" s="9" t="s">
        <v>28</v>
      </c>
    </row>
    <row r="491" spans="1:11" ht="15" customHeight="1" x14ac:dyDescent="0.2">
      <c r="A491" s="10">
        <v>46253</v>
      </c>
      <c r="E491" s="11">
        <v>0.53888888888888897</v>
      </c>
      <c r="F491" s="11">
        <v>0.61180555555555605</v>
      </c>
      <c r="G491" s="18">
        <v>105</v>
      </c>
    </row>
    <row r="492" spans="1:11" ht="15" customHeight="1" x14ac:dyDescent="0.2">
      <c r="A492" s="10">
        <v>46253</v>
      </c>
      <c r="B492" s="11">
        <v>0.72966435185185197</v>
      </c>
      <c r="C492" s="11">
        <v>0.750694444444444</v>
      </c>
      <c r="D492" s="16">
        <v>31</v>
      </c>
      <c r="G492" s="16"/>
      <c r="J492" s="16"/>
      <c r="K492" s="9" t="s">
        <v>28</v>
      </c>
    </row>
    <row r="493" spans="1:11" ht="15" customHeight="1" x14ac:dyDescent="0.2">
      <c r="A493" s="10">
        <v>46253</v>
      </c>
      <c r="B493" s="11">
        <v>0.81087962962963001</v>
      </c>
      <c r="C493" s="11">
        <v>0.83263888888888904</v>
      </c>
      <c r="D493" s="16">
        <v>32</v>
      </c>
      <c r="G493" s="16"/>
      <c r="J493" s="16"/>
      <c r="K493" s="9" t="s">
        <v>28</v>
      </c>
    </row>
    <row r="494" spans="1:11" ht="15" customHeight="1" x14ac:dyDescent="0.2">
      <c r="A494" s="10">
        <v>46253</v>
      </c>
      <c r="B494" s="11">
        <v>0.63333333333333297</v>
      </c>
      <c r="C494" s="11">
        <v>0.749305555555556</v>
      </c>
      <c r="D494" s="16">
        <v>167</v>
      </c>
      <c r="G494" s="16"/>
      <c r="J494" s="16"/>
      <c r="K494" s="9" t="s">
        <v>28</v>
      </c>
    </row>
    <row r="495" spans="1:11" ht="15" customHeight="1" x14ac:dyDescent="0.2">
      <c r="A495" s="10">
        <v>46253</v>
      </c>
      <c r="B495" s="11">
        <v>0.80555555555555602</v>
      </c>
      <c r="C495" s="11">
        <v>0.83847222222222195</v>
      </c>
      <c r="D495" s="16">
        <v>47</v>
      </c>
      <c r="G495" s="16"/>
      <c r="J495" s="16"/>
      <c r="K495" s="9" t="s">
        <v>39</v>
      </c>
    </row>
    <row r="496" spans="1:11" ht="15" customHeight="1" x14ac:dyDescent="0.2">
      <c r="A496" s="10">
        <v>46254</v>
      </c>
      <c r="B496" s="11">
        <v>0.47678240740740702</v>
      </c>
      <c r="C496" s="11">
        <v>0.50567129629629604</v>
      </c>
      <c r="D496" s="16">
        <v>42</v>
      </c>
      <c r="G496" s="16"/>
      <c r="H496" s="12">
        <v>0.50575231481481497</v>
      </c>
      <c r="I496" s="12">
        <v>0.58403935185185196</v>
      </c>
      <c r="J496" s="16">
        <v>113</v>
      </c>
      <c r="K496" s="9" t="s">
        <v>33</v>
      </c>
    </row>
    <row r="497" spans="1:11" ht="15" customHeight="1" x14ac:dyDescent="0.2">
      <c r="A497" s="10">
        <v>46254</v>
      </c>
      <c r="B497" s="11">
        <v>0.57202546296296297</v>
      </c>
      <c r="C497" s="11">
        <v>0.625694444444444</v>
      </c>
      <c r="D497" s="16">
        <v>78</v>
      </c>
      <c r="E497" s="11">
        <v>0.62638888888888899</v>
      </c>
      <c r="F497" s="11">
        <v>0.68958333333333299</v>
      </c>
      <c r="G497" s="16">
        <v>91</v>
      </c>
      <c r="J497" s="16"/>
      <c r="K497" s="9" t="s">
        <v>33</v>
      </c>
    </row>
    <row r="498" spans="1:11" ht="15" customHeight="1" x14ac:dyDescent="0.2">
      <c r="A498" s="10">
        <v>46254</v>
      </c>
      <c r="B498" s="11">
        <v>0.60849537037037005</v>
      </c>
      <c r="C498" s="11">
        <v>0.63541666666666696</v>
      </c>
      <c r="D498" s="16">
        <v>39</v>
      </c>
      <c r="E498" s="11">
        <v>0.63611111111111096</v>
      </c>
      <c r="F498" s="11">
        <v>0.66736111111111096</v>
      </c>
      <c r="G498" s="16">
        <v>45</v>
      </c>
      <c r="J498" s="16"/>
      <c r="K498" s="9" t="s">
        <v>33</v>
      </c>
    </row>
    <row r="499" spans="1:11" ht="15" customHeight="1" x14ac:dyDescent="0.2">
      <c r="A499" s="10">
        <v>46254</v>
      </c>
      <c r="B499" s="11">
        <v>0.47097222222222201</v>
      </c>
      <c r="C499" s="11">
        <v>0.51043981481481504</v>
      </c>
      <c r="D499" s="16">
        <v>57</v>
      </c>
      <c r="G499" s="16"/>
      <c r="J499" s="16"/>
      <c r="K499" s="9" t="s">
        <v>49</v>
      </c>
    </row>
    <row r="500" spans="1:11" ht="15" customHeight="1" x14ac:dyDescent="0.2">
      <c r="A500" s="10">
        <v>46254</v>
      </c>
      <c r="B500" s="11">
        <v>0.64583333333333304</v>
      </c>
      <c r="C500" s="11">
        <v>0.66666666666666696</v>
      </c>
      <c r="D500" s="16">
        <v>30</v>
      </c>
      <c r="E500" s="11">
        <v>0.66666666666666696</v>
      </c>
      <c r="F500" s="11">
        <v>0.71188657407407396</v>
      </c>
      <c r="G500" s="16">
        <v>65</v>
      </c>
      <c r="J500" s="16"/>
      <c r="K500" s="9" t="s">
        <v>33</v>
      </c>
    </row>
    <row r="501" spans="1:11" ht="15" customHeight="1" x14ac:dyDescent="0.2">
      <c r="A501" s="10">
        <v>46254</v>
      </c>
      <c r="B501" s="11">
        <v>0.38888888888888901</v>
      </c>
      <c r="C501" s="11">
        <v>0.48958333333333298</v>
      </c>
      <c r="D501" s="16">
        <v>145</v>
      </c>
      <c r="E501" s="11">
        <v>0.48958333333333298</v>
      </c>
      <c r="F501" s="11">
        <v>0.51111111111111096</v>
      </c>
      <c r="G501" s="16">
        <v>31</v>
      </c>
      <c r="J501" s="16"/>
      <c r="K501" s="9" t="s">
        <v>45</v>
      </c>
    </row>
    <row r="502" spans="1:11" ht="15" customHeight="1" x14ac:dyDescent="0.2">
      <c r="A502" s="10">
        <v>46254</v>
      </c>
      <c r="B502" s="11">
        <v>0.58680555555555602</v>
      </c>
      <c r="C502" s="11">
        <v>0.625694444444444</v>
      </c>
      <c r="D502" s="16">
        <v>56</v>
      </c>
      <c r="E502" s="11">
        <v>0.625694444444444</v>
      </c>
      <c r="F502" s="11">
        <v>0.63564814814814796</v>
      </c>
      <c r="G502" s="16">
        <v>14</v>
      </c>
      <c r="J502" s="16"/>
      <c r="K502" s="9" t="s">
        <v>46</v>
      </c>
    </row>
    <row r="503" spans="1:11" ht="15" customHeight="1" x14ac:dyDescent="0.2">
      <c r="A503" s="10">
        <v>46254</v>
      </c>
      <c r="B503" s="11">
        <v>0.40069444444444402</v>
      </c>
      <c r="C503" s="11">
        <v>0.53749999999999998</v>
      </c>
      <c r="D503" s="16">
        <v>197</v>
      </c>
      <c r="E503" s="11">
        <v>0.53819444444444398</v>
      </c>
      <c r="F503" s="11">
        <v>0.57916666666666705</v>
      </c>
      <c r="G503" s="16">
        <v>59</v>
      </c>
      <c r="J503" s="16"/>
      <c r="K503" s="9" t="s">
        <v>33</v>
      </c>
    </row>
    <row r="504" spans="1:11" ht="15" customHeight="1" x14ac:dyDescent="0.2">
      <c r="A504" s="10">
        <v>46254</v>
      </c>
      <c r="B504" s="11">
        <v>0.44444444444444398</v>
      </c>
      <c r="C504" s="11">
        <v>0.500694444444444</v>
      </c>
      <c r="D504" s="16">
        <v>81</v>
      </c>
      <c r="E504" s="11">
        <v>0.500694444444444</v>
      </c>
      <c r="F504" s="11">
        <v>0.53125</v>
      </c>
      <c r="G504" s="16">
        <v>44</v>
      </c>
      <c r="J504" s="16"/>
      <c r="K504" s="9" t="s">
        <v>33</v>
      </c>
    </row>
    <row r="505" spans="1:11" ht="15" customHeight="1" x14ac:dyDescent="0.2">
      <c r="A505" s="10">
        <v>46254</v>
      </c>
      <c r="B505" s="11">
        <v>0.50706018518518503</v>
      </c>
      <c r="C505" s="11">
        <v>0.531944444444444</v>
      </c>
      <c r="D505" s="16">
        <v>36</v>
      </c>
      <c r="E505" s="11">
        <v>0.531944444444444</v>
      </c>
      <c r="F505" s="11">
        <v>0.56290509259259303</v>
      </c>
      <c r="G505" s="16">
        <v>44</v>
      </c>
      <c r="J505" s="16"/>
      <c r="K505" s="9" t="s">
        <v>33</v>
      </c>
    </row>
    <row r="506" spans="1:11" ht="15" customHeight="1" x14ac:dyDescent="0.2">
      <c r="A506" s="10">
        <v>46254</v>
      </c>
      <c r="B506" s="11">
        <v>0.56388888888888899</v>
      </c>
      <c r="C506" s="11">
        <v>0.59375</v>
      </c>
      <c r="D506" s="16">
        <v>43</v>
      </c>
      <c r="G506" s="16"/>
      <c r="J506" s="16"/>
      <c r="K506" s="9" t="s">
        <v>33</v>
      </c>
    </row>
    <row r="507" spans="1:11" ht="15" customHeight="1" x14ac:dyDescent="0.2">
      <c r="A507" s="10">
        <v>46254</v>
      </c>
      <c r="B507" s="11">
        <v>0.40277777777777801</v>
      </c>
      <c r="C507" s="11">
        <v>0.45902777777777798</v>
      </c>
      <c r="D507" s="16">
        <v>81</v>
      </c>
      <c r="E507" s="11">
        <v>0.45972222222222198</v>
      </c>
      <c r="F507" s="11">
        <v>0.50347222222222199</v>
      </c>
      <c r="G507" s="16">
        <v>63</v>
      </c>
      <c r="J507" s="16"/>
      <c r="K507" s="9" t="s">
        <v>30</v>
      </c>
    </row>
    <row r="508" spans="1:11" ht="15" customHeight="1" x14ac:dyDescent="0.2">
      <c r="A508" s="10">
        <v>46254</v>
      </c>
      <c r="B508" s="11">
        <v>0.630462962962963</v>
      </c>
      <c r="C508" s="11">
        <v>0.64652777777777803</v>
      </c>
      <c r="D508" s="16">
        <v>24</v>
      </c>
      <c r="E508" s="11">
        <v>0.64722222222222203</v>
      </c>
      <c r="F508" s="11">
        <v>0.686805555555556</v>
      </c>
      <c r="G508" s="16">
        <v>57</v>
      </c>
      <c r="J508" s="16"/>
      <c r="K508" s="9" t="s">
        <v>33</v>
      </c>
    </row>
    <row r="509" spans="1:11" ht="15" customHeight="1" x14ac:dyDescent="0.2">
      <c r="A509" s="10">
        <v>46254</v>
      </c>
      <c r="B509" s="11">
        <v>0.56876157407407402</v>
      </c>
      <c r="C509" s="11">
        <v>0.63611111111111096</v>
      </c>
      <c r="D509" s="16">
        <v>97</v>
      </c>
      <c r="E509" s="11">
        <v>0.63611111111111096</v>
      </c>
      <c r="F509" s="11">
        <v>0.67777777777777803</v>
      </c>
      <c r="G509" s="16">
        <v>60</v>
      </c>
      <c r="J509" s="16"/>
      <c r="K509" s="9" t="s">
        <v>45</v>
      </c>
    </row>
    <row r="510" spans="1:11" ht="15" customHeight="1" x14ac:dyDescent="0.2">
      <c r="A510" s="10">
        <v>46254</v>
      </c>
      <c r="B510" s="11">
        <v>0.40337962962962998</v>
      </c>
      <c r="C510" s="11">
        <v>0.45694444444444399</v>
      </c>
      <c r="D510" s="16">
        <v>78</v>
      </c>
      <c r="E510" s="11">
        <v>0.45694444444444399</v>
      </c>
      <c r="F510" s="11">
        <v>0.50060185185185202</v>
      </c>
      <c r="G510" s="16">
        <v>62</v>
      </c>
      <c r="J510" s="16"/>
      <c r="K510" s="9" t="s">
        <v>28</v>
      </c>
    </row>
    <row r="511" spans="1:11" ht="15" customHeight="1" x14ac:dyDescent="0.2">
      <c r="A511" s="10">
        <v>46254</v>
      </c>
      <c r="B511" s="11">
        <v>0.50741898148148101</v>
      </c>
      <c r="C511" s="11">
        <v>0.54583333333333295</v>
      </c>
      <c r="D511" s="16">
        <v>56</v>
      </c>
      <c r="G511" s="16"/>
      <c r="H511" s="12">
        <v>0.54652777777777795</v>
      </c>
      <c r="I511" s="12">
        <v>0.60902777777777795</v>
      </c>
      <c r="J511" s="16">
        <v>90</v>
      </c>
      <c r="K511" s="9" t="s">
        <v>30</v>
      </c>
    </row>
    <row r="512" spans="1:11" ht="15" customHeight="1" x14ac:dyDescent="0.2">
      <c r="A512" s="10">
        <v>46254</v>
      </c>
      <c r="B512" s="11">
        <v>0.35069444444444398</v>
      </c>
      <c r="C512" s="11">
        <v>0.38611111111111102</v>
      </c>
      <c r="D512" s="16">
        <v>51</v>
      </c>
      <c r="E512" s="11">
        <v>0.38680555555555601</v>
      </c>
      <c r="F512" s="11">
        <v>0.44444444444444398</v>
      </c>
      <c r="G512" s="16">
        <v>83</v>
      </c>
      <c r="J512" s="16"/>
      <c r="K512" s="9" t="s">
        <v>33</v>
      </c>
    </row>
    <row r="513" spans="1:11" ht="15" customHeight="1" x14ac:dyDescent="0.2">
      <c r="A513" s="10">
        <v>46254</v>
      </c>
      <c r="B513" s="11">
        <v>0.39758101851851901</v>
      </c>
      <c r="C513" s="11">
        <v>0.45902777777777798</v>
      </c>
      <c r="D513" s="16">
        <v>89</v>
      </c>
      <c r="E513" s="11">
        <v>0.45972222222222198</v>
      </c>
      <c r="F513" s="11">
        <v>0.50277777777777799</v>
      </c>
      <c r="G513" s="16">
        <v>62</v>
      </c>
      <c r="J513" s="16"/>
      <c r="K513" s="9" t="s">
        <v>28</v>
      </c>
    </row>
    <row r="514" spans="1:11" ht="15" customHeight="1" x14ac:dyDescent="0.2">
      <c r="A514" s="10">
        <v>46254</v>
      </c>
      <c r="B514" s="11">
        <v>0.52430555555555602</v>
      </c>
      <c r="C514" s="11">
        <v>0.60416666666666696</v>
      </c>
      <c r="D514" s="16">
        <v>115</v>
      </c>
      <c r="E514" s="11">
        <v>0.60416666666666696</v>
      </c>
      <c r="F514" s="11">
        <v>0.63749999999999996</v>
      </c>
      <c r="G514" s="16">
        <v>48</v>
      </c>
      <c r="J514" s="16"/>
      <c r="K514" s="9" t="s">
        <v>33</v>
      </c>
    </row>
    <row r="515" spans="1:11" ht="15" customHeight="1" x14ac:dyDescent="0.2">
      <c r="A515" s="10">
        <v>46254</v>
      </c>
      <c r="B515" s="11">
        <v>0.48659722222222201</v>
      </c>
      <c r="C515" s="11">
        <v>0.54166666666666696</v>
      </c>
      <c r="D515" s="16">
        <v>80</v>
      </c>
      <c r="E515" s="11">
        <v>0.54236111111111096</v>
      </c>
      <c r="F515" s="11">
        <v>0.57569444444444395</v>
      </c>
      <c r="G515" s="16">
        <v>48</v>
      </c>
      <c r="J515" s="16"/>
      <c r="K515" s="9" t="s">
        <v>33</v>
      </c>
    </row>
    <row r="516" spans="1:11" ht="15" customHeight="1" x14ac:dyDescent="0.2">
      <c r="A516" s="10">
        <v>46254</v>
      </c>
      <c r="B516" s="11">
        <v>0.64979166666666699</v>
      </c>
      <c r="C516" s="11">
        <v>0.66276620370370398</v>
      </c>
      <c r="D516" s="16">
        <v>19</v>
      </c>
      <c r="G516" s="16"/>
      <c r="H516" s="12">
        <v>0.66295138888888905</v>
      </c>
      <c r="I516" s="12">
        <v>0.69643518518518499</v>
      </c>
      <c r="J516" s="16">
        <v>48</v>
      </c>
      <c r="K516" s="9" t="s">
        <v>30</v>
      </c>
    </row>
    <row r="517" spans="1:11" ht="15" customHeight="1" x14ac:dyDescent="0.2">
      <c r="A517" s="10">
        <v>46254</v>
      </c>
      <c r="B517" s="11">
        <v>0.52730324074074097</v>
      </c>
      <c r="C517" s="11">
        <v>0.55486111111111103</v>
      </c>
      <c r="D517" s="16">
        <v>40</v>
      </c>
      <c r="G517" s="16"/>
      <c r="H517" s="12">
        <v>0.55486111111111103</v>
      </c>
      <c r="I517" s="12">
        <v>0.58958333333333302</v>
      </c>
      <c r="J517" s="16">
        <v>50</v>
      </c>
      <c r="K517" s="9" t="s">
        <v>28</v>
      </c>
    </row>
    <row r="518" spans="1:11" ht="15" customHeight="1" x14ac:dyDescent="0.2">
      <c r="A518" s="10">
        <v>46254</v>
      </c>
      <c r="B518" s="11">
        <v>0.63225694444444402</v>
      </c>
      <c r="C518" s="11">
        <v>0.66736111111111096</v>
      </c>
      <c r="D518" s="16">
        <v>51</v>
      </c>
      <c r="E518" s="11">
        <v>0.66805555555555596</v>
      </c>
      <c r="F518" s="11">
        <v>0.686805555555556</v>
      </c>
      <c r="G518" s="16">
        <v>27</v>
      </c>
      <c r="J518" s="16"/>
      <c r="K518" s="9" t="s">
        <v>45</v>
      </c>
    </row>
    <row r="519" spans="1:11" ht="15" customHeight="1" x14ac:dyDescent="0.2">
      <c r="A519" s="10">
        <v>46254</v>
      </c>
      <c r="B519" s="11">
        <v>0.4</v>
      </c>
      <c r="C519" s="11">
        <v>0.42430555555555599</v>
      </c>
      <c r="D519" s="16">
        <v>35</v>
      </c>
      <c r="G519" s="16"/>
      <c r="H519" s="12">
        <v>0.42499999999999999</v>
      </c>
      <c r="I519" s="12">
        <v>0.44236111111111098</v>
      </c>
      <c r="J519" s="16">
        <v>25</v>
      </c>
      <c r="K519" s="9" t="s">
        <v>49</v>
      </c>
    </row>
    <row r="520" spans="1:11" ht="15" customHeight="1" x14ac:dyDescent="0.2">
      <c r="A520" s="10">
        <v>46254</v>
      </c>
      <c r="B520" s="11">
        <v>0.52488425925925897</v>
      </c>
      <c r="C520" s="11">
        <v>0.563194444444444</v>
      </c>
      <c r="D520" s="16">
        <v>56</v>
      </c>
      <c r="E520" s="11">
        <v>0.56388888888888899</v>
      </c>
      <c r="F520" s="11">
        <v>0.60694444444444395</v>
      </c>
      <c r="G520" s="16">
        <v>62</v>
      </c>
      <c r="J520" s="16"/>
      <c r="K520" s="9" t="s">
        <v>28</v>
      </c>
    </row>
    <row r="521" spans="1:11" ht="15" customHeight="1" x14ac:dyDescent="0.2">
      <c r="A521" s="10">
        <v>46254</v>
      </c>
      <c r="B521" s="11">
        <v>0.40277777777777801</v>
      </c>
      <c r="C521" s="11">
        <v>0.438194444444444</v>
      </c>
      <c r="D521" s="16">
        <v>51</v>
      </c>
      <c r="G521" s="16"/>
      <c r="J521" s="16"/>
      <c r="K521" s="9" t="s">
        <v>30</v>
      </c>
    </row>
    <row r="522" spans="1:11" ht="15" customHeight="1" x14ac:dyDescent="0.2">
      <c r="A522" s="10">
        <v>46254</v>
      </c>
      <c r="B522" s="11">
        <v>0.79513888888888895</v>
      </c>
      <c r="C522" s="11">
        <v>0.86190972222222195</v>
      </c>
      <c r="D522" s="16">
        <v>96</v>
      </c>
      <c r="G522" s="16"/>
      <c r="J522" s="16"/>
      <c r="K522" s="9" t="s">
        <v>37</v>
      </c>
    </row>
    <row r="523" spans="1:11" ht="15" customHeight="1" x14ac:dyDescent="0.2">
      <c r="A523" s="10">
        <v>46254</v>
      </c>
      <c r="B523" s="11">
        <v>0.87986111111111098</v>
      </c>
      <c r="C523" s="11">
        <v>0.91209490740740695</v>
      </c>
      <c r="D523" s="16">
        <v>46</v>
      </c>
      <c r="G523" s="16"/>
      <c r="J523" s="16"/>
      <c r="K523" s="9" t="s">
        <v>37</v>
      </c>
    </row>
    <row r="524" spans="1:11" ht="15" customHeight="1" x14ac:dyDescent="0.2">
      <c r="A524" s="10">
        <v>46254</v>
      </c>
      <c r="B524" s="11">
        <v>0.76599537037037002</v>
      </c>
      <c r="C524" s="11">
        <v>0.82638888888888895</v>
      </c>
      <c r="D524" s="16">
        <v>87</v>
      </c>
      <c r="G524" s="16"/>
      <c r="J524" s="16"/>
      <c r="K524" s="9" t="s">
        <v>39</v>
      </c>
    </row>
    <row r="525" spans="1:11" ht="15" customHeight="1" x14ac:dyDescent="0.2">
      <c r="A525" s="10">
        <v>46254</v>
      </c>
      <c r="B525" s="11">
        <v>0.50819444444444395</v>
      </c>
      <c r="C525" s="11">
        <v>0.530752314814815</v>
      </c>
      <c r="D525" s="16">
        <v>33</v>
      </c>
      <c r="G525" s="16"/>
      <c r="J525" s="16"/>
      <c r="K525" s="9" t="s">
        <v>30</v>
      </c>
    </row>
    <row r="526" spans="1:11" ht="15" customHeight="1" x14ac:dyDescent="0.2">
      <c r="A526" s="10">
        <v>46254</v>
      </c>
      <c r="B526" s="11">
        <v>0.111261574074074</v>
      </c>
      <c r="C526" s="11">
        <v>0.17417824074074101</v>
      </c>
      <c r="D526" s="16">
        <v>90</v>
      </c>
      <c r="G526" s="16"/>
      <c r="J526" s="16"/>
      <c r="K526" s="9" t="s">
        <v>28</v>
      </c>
    </row>
    <row r="527" spans="1:11" ht="15" customHeight="1" x14ac:dyDescent="0.2">
      <c r="A527" s="10">
        <v>46254</v>
      </c>
      <c r="B527" s="11">
        <v>0.77302083333333305</v>
      </c>
      <c r="C527" s="11">
        <v>0.82783564814814803</v>
      </c>
      <c r="D527" s="16">
        <v>79</v>
      </c>
      <c r="G527" s="16"/>
      <c r="J527" s="16"/>
      <c r="K527" s="9" t="s">
        <v>33</v>
      </c>
    </row>
    <row r="528" spans="1:11" ht="15" customHeight="1" x14ac:dyDescent="0.2">
      <c r="A528" s="10">
        <v>46254</v>
      </c>
      <c r="B528" s="11">
        <v>0.71586805555555599</v>
      </c>
      <c r="C528" s="11">
        <v>0.77700231481481496</v>
      </c>
      <c r="D528" s="16">
        <v>88</v>
      </c>
      <c r="G528" s="16"/>
      <c r="J528" s="16"/>
      <c r="K528" s="9" t="s">
        <v>37</v>
      </c>
    </row>
    <row r="529" spans="1:11" ht="15" customHeight="1" x14ac:dyDescent="0.2">
      <c r="A529" s="10">
        <v>46254</v>
      </c>
      <c r="B529" s="11">
        <v>0.70212962962962999</v>
      </c>
      <c r="C529" s="11">
        <v>0.74027777777777803</v>
      </c>
      <c r="D529" s="16">
        <v>55</v>
      </c>
      <c r="E529" s="11">
        <v>0.74097222222222203</v>
      </c>
      <c r="F529" s="11">
        <v>0.76249999999999996</v>
      </c>
      <c r="G529" s="16">
        <v>31</v>
      </c>
      <c r="J529" s="16"/>
      <c r="K529" s="9" t="s">
        <v>33</v>
      </c>
    </row>
    <row r="530" spans="1:11" ht="15" customHeight="1" x14ac:dyDescent="0.2">
      <c r="A530" s="10">
        <v>46254</v>
      </c>
      <c r="B530" s="11">
        <v>0.68784722222222205</v>
      </c>
      <c r="C530" s="11">
        <v>0.70902777777777803</v>
      </c>
      <c r="D530" s="16">
        <v>31</v>
      </c>
      <c r="G530" s="16"/>
      <c r="H530" s="12">
        <v>0.70972222222222203</v>
      </c>
      <c r="I530" s="12">
        <v>0.72222222222222199</v>
      </c>
      <c r="J530" s="16">
        <v>18</v>
      </c>
      <c r="K530" s="9" t="s">
        <v>30</v>
      </c>
    </row>
    <row r="531" spans="1:11" ht="15" customHeight="1" x14ac:dyDescent="0.2">
      <c r="A531" s="10">
        <v>46254</v>
      </c>
      <c r="B531" s="11">
        <v>0.98611111111111105</v>
      </c>
      <c r="C531" s="11">
        <v>3.05555555555556E-2</v>
      </c>
      <c r="D531" s="16">
        <v>64</v>
      </c>
      <c r="G531" s="16"/>
      <c r="J531" s="16"/>
      <c r="K531" s="9" t="s">
        <v>45</v>
      </c>
    </row>
    <row r="532" spans="1:11" ht="15" customHeight="1" x14ac:dyDescent="0.2">
      <c r="A532" s="10">
        <v>46255</v>
      </c>
      <c r="B532" s="11">
        <v>0.60122685185185198</v>
      </c>
      <c r="C532" s="11">
        <v>0.61875000000000002</v>
      </c>
      <c r="D532" s="16">
        <v>26</v>
      </c>
      <c r="E532" s="11">
        <v>0.61875000000000002</v>
      </c>
      <c r="F532" s="11">
        <v>0.66666666666666696</v>
      </c>
      <c r="G532" s="16">
        <v>69</v>
      </c>
      <c r="J532" s="16"/>
      <c r="K532" s="9" t="s">
        <v>28</v>
      </c>
    </row>
    <row r="533" spans="1:11" ht="15" customHeight="1" x14ac:dyDescent="0.2">
      <c r="A533" s="10">
        <v>46255</v>
      </c>
      <c r="B533" s="11">
        <v>0.66578703703703701</v>
      </c>
      <c r="C533" s="11">
        <v>0.83402777777777803</v>
      </c>
      <c r="D533" s="16">
        <v>243</v>
      </c>
      <c r="E533" s="11">
        <v>0.83402777777777803</v>
      </c>
      <c r="F533" s="11">
        <v>0.85416666666666696</v>
      </c>
      <c r="G533" s="16">
        <v>29</v>
      </c>
      <c r="J533" s="16"/>
      <c r="K533" s="9" t="s">
        <v>28</v>
      </c>
    </row>
    <row r="534" spans="1:11" ht="15" customHeight="1" x14ac:dyDescent="0.2">
      <c r="A534" s="10">
        <v>46255</v>
      </c>
      <c r="B534" s="11">
        <v>0.424340277777778</v>
      </c>
      <c r="C534" s="11">
        <v>0.51041666666666696</v>
      </c>
      <c r="D534" s="16">
        <v>124</v>
      </c>
      <c r="G534" s="16"/>
      <c r="H534" s="12">
        <v>0.51111111111111096</v>
      </c>
      <c r="I534" s="12">
        <v>0.82847222222222205</v>
      </c>
      <c r="J534" s="16">
        <v>457</v>
      </c>
      <c r="K534" s="9" t="s">
        <v>33</v>
      </c>
    </row>
    <row r="535" spans="1:11" ht="15" customHeight="1" x14ac:dyDescent="0.2">
      <c r="A535" s="10">
        <v>46255</v>
      </c>
      <c r="B535" s="11">
        <v>0.58909722222222205</v>
      </c>
      <c r="C535" s="11">
        <v>0.61180555555555605</v>
      </c>
      <c r="D535" s="16">
        <v>33</v>
      </c>
      <c r="G535" s="16"/>
      <c r="H535" s="12">
        <v>0.61180555555555605</v>
      </c>
      <c r="I535" s="12">
        <v>0.64236111111111105</v>
      </c>
      <c r="J535" s="16">
        <v>44</v>
      </c>
      <c r="K535" s="9" t="s">
        <v>33</v>
      </c>
    </row>
    <row r="536" spans="1:11" ht="15" customHeight="1" x14ac:dyDescent="0.2">
      <c r="A536" s="10">
        <v>46255</v>
      </c>
      <c r="B536" s="11">
        <v>0.42226851851851899</v>
      </c>
      <c r="C536" s="11">
        <v>0.44791666666666702</v>
      </c>
      <c r="D536" s="16">
        <v>37</v>
      </c>
      <c r="G536" s="16"/>
      <c r="H536" s="12">
        <v>0.44861111111111102</v>
      </c>
      <c r="I536" s="12">
        <v>0.47916666666666702</v>
      </c>
      <c r="J536" s="16">
        <v>44</v>
      </c>
      <c r="K536" s="9" t="s">
        <v>33</v>
      </c>
    </row>
    <row r="537" spans="1:11" ht="15" customHeight="1" x14ac:dyDescent="0.2">
      <c r="A537" s="10">
        <v>46255</v>
      </c>
      <c r="B537" s="11">
        <v>0.46071759259259298</v>
      </c>
      <c r="C537" s="11">
        <v>0.47986111111111102</v>
      </c>
      <c r="D537" s="16">
        <v>28</v>
      </c>
      <c r="G537" s="16"/>
      <c r="H537" s="12">
        <v>0.48055555555555601</v>
      </c>
      <c r="I537" s="12">
        <v>0.50624999999999998</v>
      </c>
      <c r="J537" s="16">
        <v>37</v>
      </c>
      <c r="K537" s="9" t="s">
        <v>30</v>
      </c>
    </row>
    <row r="538" spans="1:11" ht="15" customHeight="1" x14ac:dyDescent="0.2">
      <c r="A538" s="10">
        <v>46255</v>
      </c>
      <c r="B538" s="11">
        <v>0.55208333333333304</v>
      </c>
      <c r="C538" s="11">
        <v>0.57638888888888895</v>
      </c>
      <c r="D538" s="16">
        <v>35</v>
      </c>
      <c r="E538" s="11">
        <v>0.57708333333333295</v>
      </c>
      <c r="F538" s="11">
        <v>0.62013888888888902</v>
      </c>
      <c r="G538" s="16">
        <v>62</v>
      </c>
      <c r="J538" s="16"/>
      <c r="K538" s="9" t="s">
        <v>30</v>
      </c>
    </row>
    <row r="539" spans="1:11" ht="15" customHeight="1" x14ac:dyDescent="0.2">
      <c r="A539" s="10">
        <v>46255</v>
      </c>
      <c r="B539" s="11">
        <v>0.47689814814814802</v>
      </c>
      <c r="C539" s="11">
        <v>0.51111111111111096</v>
      </c>
      <c r="D539" s="16">
        <v>50</v>
      </c>
      <c r="E539" s="11">
        <v>0.51180555555555596</v>
      </c>
      <c r="F539" s="11">
        <v>0.53333333333333299</v>
      </c>
      <c r="G539" s="16">
        <v>31</v>
      </c>
      <c r="J539" s="16"/>
      <c r="K539" s="9" t="s">
        <v>33</v>
      </c>
    </row>
    <row r="540" spans="1:11" ht="15" customHeight="1" x14ac:dyDescent="0.2">
      <c r="A540" s="10">
        <v>46255</v>
      </c>
      <c r="B540" s="11">
        <v>0.52872685185185198</v>
      </c>
      <c r="C540" s="11">
        <v>0.55138888888888904</v>
      </c>
      <c r="D540" s="16">
        <v>33</v>
      </c>
      <c r="E540" s="11">
        <v>0.55208333333333304</v>
      </c>
      <c r="F540" s="11">
        <v>0.59375</v>
      </c>
      <c r="G540" s="16">
        <v>60</v>
      </c>
      <c r="J540" s="16"/>
      <c r="K540" s="9" t="s">
        <v>33</v>
      </c>
    </row>
    <row r="541" spans="1:11" ht="15" customHeight="1" x14ac:dyDescent="0.2">
      <c r="A541" s="10">
        <v>46255</v>
      </c>
      <c r="B541" s="11">
        <v>0.45543981481481499</v>
      </c>
      <c r="C541" s="11">
        <v>0.47847222222222202</v>
      </c>
      <c r="D541" s="16">
        <v>34</v>
      </c>
      <c r="E541" s="11">
        <v>0.47916666666666702</v>
      </c>
      <c r="F541" s="11">
        <v>0.51319444444444395</v>
      </c>
      <c r="G541" s="16">
        <v>49</v>
      </c>
      <c r="J541" s="16"/>
      <c r="K541" s="9" t="s">
        <v>33</v>
      </c>
    </row>
    <row r="542" spans="1:11" ht="15" customHeight="1" x14ac:dyDescent="0.2">
      <c r="A542" s="10">
        <v>46255</v>
      </c>
      <c r="B542" s="11">
        <v>0.53472222222222199</v>
      </c>
      <c r="C542" s="11">
        <v>0.563194444444444</v>
      </c>
      <c r="D542" s="16">
        <v>41</v>
      </c>
      <c r="E542" s="11">
        <v>0.563194444444444</v>
      </c>
      <c r="F542" s="11">
        <v>0.58333333333333304</v>
      </c>
      <c r="G542" s="16">
        <v>29</v>
      </c>
      <c r="J542" s="16"/>
      <c r="K542" s="9" t="s">
        <v>33</v>
      </c>
    </row>
    <row r="543" spans="1:11" ht="15" customHeight="1" x14ac:dyDescent="0.2">
      <c r="A543" s="10">
        <v>46255</v>
      </c>
      <c r="B543" s="11">
        <v>0.67361111111111105</v>
      </c>
      <c r="C543" s="11">
        <v>0.69166666666666698</v>
      </c>
      <c r="D543" s="16">
        <v>26</v>
      </c>
      <c r="G543" s="16"/>
      <c r="H543" s="12">
        <v>0.69166666666666698</v>
      </c>
      <c r="I543" s="12">
        <v>0.79166666666666696</v>
      </c>
      <c r="J543" s="16">
        <v>144</v>
      </c>
      <c r="K543" s="9" t="s">
        <v>33</v>
      </c>
    </row>
    <row r="544" spans="1:11" ht="15" customHeight="1" x14ac:dyDescent="0.2">
      <c r="A544" s="10">
        <v>46255</v>
      </c>
      <c r="B544" s="11">
        <v>0.588518518518519</v>
      </c>
      <c r="C544" s="11">
        <v>0.67708333333333304</v>
      </c>
      <c r="D544" s="16">
        <v>128</v>
      </c>
      <c r="E544" s="11">
        <v>0.67847222222222203</v>
      </c>
      <c r="G544" s="16"/>
      <c r="J544" s="16"/>
      <c r="K544" s="9" t="s">
        <v>33</v>
      </c>
    </row>
    <row r="545" spans="1:11" ht="15" customHeight="1" x14ac:dyDescent="0.2">
      <c r="A545" s="10">
        <v>46255</v>
      </c>
      <c r="B545" s="11">
        <v>0.46527777777777801</v>
      </c>
      <c r="C545" s="11">
        <v>0.500694444444444</v>
      </c>
      <c r="D545" s="16">
        <v>51</v>
      </c>
      <c r="G545" s="16"/>
      <c r="H545" s="12">
        <v>0.500694444444444</v>
      </c>
      <c r="I545" s="12">
        <v>0.52083333333333304</v>
      </c>
      <c r="J545" s="16">
        <v>29</v>
      </c>
      <c r="K545" s="9" t="s">
        <v>28</v>
      </c>
    </row>
    <row r="546" spans="1:11" ht="15" customHeight="1" x14ac:dyDescent="0.2">
      <c r="A546" s="10">
        <v>46255</v>
      </c>
      <c r="B546" s="11">
        <v>0.61458333333333304</v>
      </c>
      <c r="C546" s="11">
        <v>0.67777777777777803</v>
      </c>
      <c r="D546" s="16">
        <v>91</v>
      </c>
      <c r="E546" s="11">
        <v>0.67847222222222203</v>
      </c>
      <c r="F546" s="11">
        <v>0.71527777777777801</v>
      </c>
      <c r="G546" s="16">
        <v>53</v>
      </c>
      <c r="J546" s="16"/>
      <c r="K546" s="9" t="s">
        <v>28</v>
      </c>
    </row>
    <row r="547" spans="1:11" ht="15" customHeight="1" x14ac:dyDescent="0.2">
      <c r="A547" s="10">
        <v>46255</v>
      </c>
      <c r="B547" s="11">
        <v>0.5625</v>
      </c>
      <c r="C547" s="11">
        <v>0.62847222222222199</v>
      </c>
      <c r="D547" s="16">
        <v>95</v>
      </c>
      <c r="E547" s="11">
        <v>0.62847222222222199</v>
      </c>
      <c r="F547" s="11">
        <v>0.72083333333333299</v>
      </c>
      <c r="G547" s="16">
        <v>133</v>
      </c>
      <c r="J547" s="16"/>
      <c r="K547" s="9" t="s">
        <v>28</v>
      </c>
    </row>
    <row r="548" spans="1:11" ht="15" customHeight="1" x14ac:dyDescent="0.2">
      <c r="A548" s="10">
        <v>46255</v>
      </c>
      <c r="B548" s="11">
        <v>0.420833333333333</v>
      </c>
      <c r="C548" s="11">
        <v>0.45555555555555599</v>
      </c>
      <c r="D548" s="16">
        <v>50</v>
      </c>
      <c r="G548" s="16"/>
      <c r="H548" s="12">
        <v>0.45624999999999999</v>
      </c>
      <c r="I548" s="12">
        <v>0.499305555555556</v>
      </c>
      <c r="J548" s="16">
        <v>62</v>
      </c>
      <c r="K548" s="9" t="s">
        <v>28</v>
      </c>
    </row>
    <row r="549" spans="1:11" ht="15" customHeight="1" x14ac:dyDescent="0.2">
      <c r="A549" s="10">
        <v>46255</v>
      </c>
      <c r="B549" s="11">
        <v>0.52571759259259299</v>
      </c>
      <c r="C549" s="11">
        <v>0.5625</v>
      </c>
      <c r="D549" s="16">
        <v>53</v>
      </c>
      <c r="E549" s="11">
        <v>0.563194444444444</v>
      </c>
      <c r="F549" s="11">
        <v>0.61805555555555602</v>
      </c>
      <c r="G549" s="16">
        <v>79</v>
      </c>
      <c r="J549" s="16"/>
      <c r="K549" s="9" t="s">
        <v>28</v>
      </c>
    </row>
    <row r="550" spans="1:11" ht="15" customHeight="1" x14ac:dyDescent="0.2">
      <c r="A550" s="10">
        <v>46255</v>
      </c>
      <c r="B550" s="11">
        <v>0.41408564814814802</v>
      </c>
      <c r="C550" s="11">
        <v>0.44444444444444398</v>
      </c>
      <c r="D550" s="16">
        <v>44</v>
      </c>
      <c r="G550" s="16"/>
      <c r="H550" s="12">
        <v>0.44444444444444398</v>
      </c>
      <c r="I550" s="12">
        <v>0.46114583333333298</v>
      </c>
      <c r="J550" s="16">
        <v>24</v>
      </c>
      <c r="K550" s="9" t="s">
        <v>30</v>
      </c>
    </row>
    <row r="551" spans="1:11" ht="15" customHeight="1" x14ac:dyDescent="0.2">
      <c r="A551" s="10">
        <v>46255</v>
      </c>
      <c r="B551" s="11">
        <v>0.52569444444444402</v>
      </c>
      <c r="C551" s="11">
        <v>0.63888888888888895</v>
      </c>
      <c r="D551" s="16">
        <v>163</v>
      </c>
      <c r="E551" s="11">
        <v>0.63888888888888895</v>
      </c>
      <c r="F551" s="11">
        <v>0.68402777777777801</v>
      </c>
      <c r="G551" s="16">
        <v>65</v>
      </c>
      <c r="J551" s="16"/>
      <c r="K551" s="9" t="s">
        <v>28</v>
      </c>
    </row>
    <row r="552" spans="1:11" s="14" customFormat="1" ht="15" customHeight="1" x14ac:dyDescent="0.2">
      <c r="A552" s="13">
        <v>46255</v>
      </c>
      <c r="B552" s="15">
        <v>0.75113425925925903</v>
      </c>
      <c r="D552" s="16"/>
      <c r="E552" s="15">
        <v>0.79305555555555596</v>
      </c>
      <c r="F552" s="15">
        <v>0.86805555555555602</v>
      </c>
      <c r="G552" s="16">
        <v>108</v>
      </c>
      <c r="J552" s="16"/>
      <c r="K552" s="14" t="s">
        <v>28</v>
      </c>
    </row>
    <row r="553" spans="1:11" ht="15" customHeight="1" x14ac:dyDescent="0.2">
      <c r="A553" s="10">
        <v>46255</v>
      </c>
      <c r="B553" s="11">
        <v>0.57083333333333297</v>
      </c>
      <c r="C553" s="11">
        <v>0.61388888888888904</v>
      </c>
      <c r="D553" s="16">
        <v>62</v>
      </c>
      <c r="E553" s="11">
        <v>0.61458333333333304</v>
      </c>
      <c r="F553" s="11">
        <v>0.64166666666666705</v>
      </c>
      <c r="G553" s="16">
        <v>39</v>
      </c>
      <c r="J553" s="16"/>
      <c r="K553" s="9" t="s">
        <v>33</v>
      </c>
    </row>
    <row r="554" spans="1:11" ht="15" customHeight="1" x14ac:dyDescent="0.2">
      <c r="A554" s="10">
        <v>46255</v>
      </c>
      <c r="B554" s="11">
        <v>0.64375000000000004</v>
      </c>
      <c r="C554" s="11">
        <v>0.72222222222222199</v>
      </c>
      <c r="D554" s="16">
        <v>113</v>
      </c>
      <c r="E554" s="11">
        <v>0.72222222222222199</v>
      </c>
      <c r="F554" s="11">
        <v>0.77777777777777801</v>
      </c>
      <c r="G554" s="16">
        <v>80</v>
      </c>
      <c r="J554" s="16"/>
      <c r="K554" s="9" t="s">
        <v>33</v>
      </c>
    </row>
    <row r="555" spans="1:11" ht="15" customHeight="1" x14ac:dyDescent="0.2">
      <c r="A555" s="10">
        <v>46255</v>
      </c>
      <c r="B555" s="11">
        <v>0.73958333333333304</v>
      </c>
      <c r="C555" s="11">
        <v>0.76398148148148104</v>
      </c>
      <c r="D555" s="16">
        <v>35</v>
      </c>
      <c r="E555" s="11">
        <v>0.76400462962963001</v>
      </c>
      <c r="F555" s="11">
        <v>0.80555555555555602</v>
      </c>
      <c r="G555" s="16">
        <v>60</v>
      </c>
      <c r="J555" s="16"/>
      <c r="K555" s="9" t="s">
        <v>33</v>
      </c>
    </row>
    <row r="556" spans="1:11" ht="15" customHeight="1" x14ac:dyDescent="0.2">
      <c r="A556" s="10">
        <v>46255</v>
      </c>
      <c r="B556" s="11">
        <v>0.62916666666666698</v>
      </c>
      <c r="C556" s="11">
        <v>0.71875</v>
      </c>
      <c r="D556" s="16">
        <v>129</v>
      </c>
      <c r="G556" s="16"/>
      <c r="J556" s="16"/>
      <c r="K556" s="9" t="s">
        <v>28</v>
      </c>
    </row>
    <row r="557" spans="1:11" ht="15" customHeight="1" x14ac:dyDescent="0.2">
      <c r="A557" s="10">
        <v>46255</v>
      </c>
      <c r="B557" s="11">
        <v>0.72916666666666696</v>
      </c>
      <c r="C557" s="11">
        <v>0.76666666666666705</v>
      </c>
      <c r="D557" s="16">
        <v>54</v>
      </c>
      <c r="G557" s="16"/>
      <c r="H557" s="12">
        <v>0.76736111111111105</v>
      </c>
      <c r="I557" s="12">
        <v>0.76944444444444404</v>
      </c>
      <c r="J557" s="16">
        <v>3</v>
      </c>
      <c r="K557" s="9" t="s">
        <v>28</v>
      </c>
    </row>
    <row r="558" spans="1:11" ht="15" customHeight="1" x14ac:dyDescent="0.2">
      <c r="A558" s="10">
        <v>46255</v>
      </c>
      <c r="B558" s="11">
        <v>0.48819444444444399</v>
      </c>
      <c r="C558" s="11">
        <v>0.52083333333333304</v>
      </c>
      <c r="D558" s="16">
        <v>47</v>
      </c>
      <c r="G558" s="16"/>
      <c r="J558" s="16"/>
      <c r="K558" s="9" t="s">
        <v>47</v>
      </c>
    </row>
    <row r="559" spans="1:11" ht="15" customHeight="1" x14ac:dyDescent="0.2">
      <c r="A559" s="10">
        <v>46255</v>
      </c>
      <c r="B559" s="11">
        <v>0.43958333333333299</v>
      </c>
      <c r="C559" s="11">
        <v>0.49305555555555602</v>
      </c>
      <c r="D559" s="16">
        <v>77</v>
      </c>
      <c r="E559" s="11">
        <v>0.49305555555555602</v>
      </c>
      <c r="F559" s="11">
        <v>0.53125</v>
      </c>
      <c r="G559" s="16">
        <v>55</v>
      </c>
      <c r="J559" s="16"/>
      <c r="K559" s="9" t="s">
        <v>28</v>
      </c>
    </row>
    <row r="560" spans="1:11" ht="15" customHeight="1" x14ac:dyDescent="0.2">
      <c r="A560" s="10">
        <v>46255</v>
      </c>
      <c r="B560" s="11">
        <v>0.73611111111111105</v>
      </c>
      <c r="C560" s="11">
        <v>0.76319444444444395</v>
      </c>
      <c r="D560" s="16">
        <v>39</v>
      </c>
      <c r="G560" s="16"/>
      <c r="J560" s="16"/>
      <c r="K560" s="9" t="s">
        <v>28</v>
      </c>
    </row>
    <row r="561" spans="1:11" ht="15" customHeight="1" x14ac:dyDescent="0.2">
      <c r="A561" s="10">
        <v>46255</v>
      </c>
      <c r="B561" s="11">
        <v>0.466284722222222</v>
      </c>
      <c r="C561" s="11">
        <v>0.507314814814815</v>
      </c>
      <c r="D561" s="16">
        <v>59</v>
      </c>
      <c r="G561" s="16"/>
      <c r="J561" s="16"/>
      <c r="K561" s="9" t="s">
        <v>52</v>
      </c>
    </row>
    <row r="562" spans="1:11" ht="15" customHeight="1" x14ac:dyDescent="0.2">
      <c r="A562" s="10">
        <v>46255</v>
      </c>
      <c r="B562" s="11">
        <v>0.64138888888888901</v>
      </c>
      <c r="C562" s="11">
        <v>0.70902777777777803</v>
      </c>
      <c r="D562" s="16">
        <v>98</v>
      </c>
      <c r="G562" s="16"/>
      <c r="J562" s="16"/>
      <c r="K562" s="9" t="s">
        <v>30</v>
      </c>
    </row>
    <row r="563" spans="1:11" ht="15" customHeight="1" x14ac:dyDescent="0.2">
      <c r="A563" s="10">
        <v>46255</v>
      </c>
      <c r="B563" s="11">
        <v>0.72597222222222202</v>
      </c>
      <c r="C563" s="11">
        <v>0.781944444444444</v>
      </c>
      <c r="D563" s="16">
        <v>81</v>
      </c>
      <c r="G563" s="16"/>
      <c r="H563" s="12">
        <v>0.781944444444444</v>
      </c>
      <c r="I563" s="12">
        <v>0.81874999999999998</v>
      </c>
      <c r="J563" s="16">
        <v>53</v>
      </c>
      <c r="K563" s="9" t="s">
        <v>30</v>
      </c>
    </row>
    <row r="564" spans="1:11" ht="15" customHeight="1" x14ac:dyDescent="0.2">
      <c r="A564" s="10">
        <v>46255</v>
      </c>
      <c r="B564" s="11">
        <v>0.76041666666666696</v>
      </c>
      <c r="C564" s="11">
        <v>0.78125</v>
      </c>
      <c r="D564" s="16">
        <v>30</v>
      </c>
      <c r="G564" s="16"/>
      <c r="J564" s="16"/>
      <c r="K564" s="9" t="s">
        <v>30</v>
      </c>
    </row>
    <row r="565" spans="1:11" ht="15" customHeight="1" x14ac:dyDescent="0.2">
      <c r="A565" s="10">
        <v>46255</v>
      </c>
      <c r="B565" s="11">
        <v>0.53870370370370402</v>
      </c>
      <c r="C565" s="11">
        <v>0.563194444444444</v>
      </c>
      <c r="D565" s="16">
        <v>36</v>
      </c>
      <c r="G565" s="16"/>
      <c r="H565" s="12">
        <v>0.56388888888888899</v>
      </c>
      <c r="I565" s="12">
        <v>0.58680555555555602</v>
      </c>
      <c r="J565" s="16">
        <v>33</v>
      </c>
      <c r="K565" s="9" t="s">
        <v>28</v>
      </c>
    </row>
    <row r="566" spans="1:11" ht="15" customHeight="1" x14ac:dyDescent="0.2">
      <c r="A566" s="10">
        <v>46255</v>
      </c>
      <c r="B566" s="11">
        <v>0.85024305555555602</v>
      </c>
      <c r="C566" s="11">
        <v>0.875694444444444</v>
      </c>
      <c r="D566" s="16">
        <v>37</v>
      </c>
      <c r="G566" s="16"/>
      <c r="H566" s="12">
        <v>0.87638888888888899</v>
      </c>
      <c r="I566" s="12">
        <v>0.89513888888888904</v>
      </c>
      <c r="J566" s="16">
        <v>27</v>
      </c>
      <c r="K566" s="9" t="s">
        <v>51</v>
      </c>
    </row>
    <row r="567" spans="1:11" ht="15" customHeight="1" x14ac:dyDescent="0.2">
      <c r="A567" s="10">
        <v>46255</v>
      </c>
      <c r="B567" s="11">
        <v>0.672835648148148</v>
      </c>
      <c r="C567" s="11">
        <v>0.70833333333333304</v>
      </c>
      <c r="D567" s="16">
        <v>52</v>
      </c>
      <c r="G567" s="16"/>
      <c r="J567" s="16"/>
      <c r="K567" s="9" t="s">
        <v>28</v>
      </c>
    </row>
    <row r="568" spans="1:11" ht="15" customHeight="1" x14ac:dyDescent="0.2">
      <c r="A568" s="10">
        <v>46255</v>
      </c>
      <c r="B568" s="11">
        <v>0.68736111111111098</v>
      </c>
      <c r="C568" s="11">
        <v>0.71597222222222201</v>
      </c>
      <c r="D568" s="16">
        <v>42</v>
      </c>
      <c r="G568" s="16"/>
      <c r="H568" s="12">
        <v>0.71666666666666701</v>
      </c>
      <c r="I568" s="12">
        <v>0.78472222222222199</v>
      </c>
      <c r="J568" s="16">
        <v>98</v>
      </c>
      <c r="K568" s="9" t="s">
        <v>39</v>
      </c>
    </row>
    <row r="569" spans="1:11" ht="15" customHeight="1" x14ac:dyDescent="0.2">
      <c r="A569" s="10">
        <v>46255</v>
      </c>
      <c r="B569" s="11">
        <v>0.71280092592592603</v>
      </c>
      <c r="C569" s="11">
        <v>0.71250000000000002</v>
      </c>
      <c r="D569" s="18">
        <v>0</v>
      </c>
      <c r="E569" s="11">
        <v>0.71250000000000002</v>
      </c>
      <c r="F569" s="11">
        <v>0.73541666666666705</v>
      </c>
      <c r="G569" s="18">
        <v>33</v>
      </c>
    </row>
    <row r="570" spans="1:11" ht="15" customHeight="1" x14ac:dyDescent="0.2">
      <c r="A570" s="10">
        <v>46255</v>
      </c>
      <c r="B570" s="11">
        <v>0.77430555555555602</v>
      </c>
      <c r="C570" s="11">
        <v>0.90972222222222199</v>
      </c>
      <c r="D570" s="16">
        <v>195</v>
      </c>
      <c r="G570" s="16"/>
      <c r="J570" s="16"/>
      <c r="K570" s="9" t="s">
        <v>28</v>
      </c>
    </row>
    <row r="571" spans="1:11" ht="15" customHeight="1" x14ac:dyDescent="0.2">
      <c r="A571" s="10">
        <v>46255</v>
      </c>
      <c r="B571" s="11">
        <v>0.36111111111111099</v>
      </c>
      <c r="C571" s="11">
        <v>0.38611111111111102</v>
      </c>
      <c r="D571" s="16">
        <v>36</v>
      </c>
      <c r="E571" s="11">
        <v>0.38611111111111102</v>
      </c>
      <c r="F571" s="11">
        <v>0.40277777777777801</v>
      </c>
      <c r="G571" s="16">
        <v>24</v>
      </c>
      <c r="J571" s="16"/>
      <c r="K571" s="9" t="s">
        <v>33</v>
      </c>
    </row>
    <row r="572" spans="1:11" ht="15" customHeight="1" x14ac:dyDescent="0.2">
      <c r="A572" s="10">
        <v>46256</v>
      </c>
      <c r="B572" s="11">
        <v>0.40765046296296298</v>
      </c>
      <c r="C572" s="11">
        <v>0.46597222222222201</v>
      </c>
      <c r="D572" s="16">
        <v>84</v>
      </c>
      <c r="G572" s="16"/>
      <c r="J572" s="16"/>
      <c r="K572" s="9" t="s">
        <v>30</v>
      </c>
    </row>
    <row r="573" spans="1:11" ht="15" customHeight="1" x14ac:dyDescent="0.2">
      <c r="A573" s="10">
        <v>46256</v>
      </c>
      <c r="B573" s="11">
        <v>0.44930555555555601</v>
      </c>
      <c r="C573" s="11">
        <v>0.469444444444444</v>
      </c>
      <c r="D573" s="16">
        <v>29</v>
      </c>
      <c r="G573" s="16"/>
      <c r="H573" s="12">
        <v>0.47013888888888899</v>
      </c>
      <c r="I573" s="12">
        <v>0.50555555555555598</v>
      </c>
      <c r="J573" s="16">
        <v>51</v>
      </c>
      <c r="K573" s="9" t="s">
        <v>30</v>
      </c>
    </row>
    <row r="574" spans="1:11" ht="15" customHeight="1" x14ac:dyDescent="0.2">
      <c r="A574" s="10">
        <v>46256</v>
      </c>
      <c r="B574" s="11">
        <v>0.69282407407407398</v>
      </c>
      <c r="C574" s="11">
        <v>0.72291666666666698</v>
      </c>
      <c r="D574" s="16">
        <v>44</v>
      </c>
      <c r="G574" s="16"/>
      <c r="J574" s="16"/>
      <c r="K574" s="9" t="s">
        <v>37</v>
      </c>
    </row>
    <row r="575" spans="1:11" ht="15" customHeight="1" x14ac:dyDescent="0.2">
      <c r="A575" s="10">
        <v>46256</v>
      </c>
      <c r="B575" s="11">
        <v>0.52137731481481497</v>
      </c>
      <c r="C575" s="11">
        <v>0.54583333333333295</v>
      </c>
      <c r="D575" s="16">
        <v>36</v>
      </c>
      <c r="G575" s="16"/>
      <c r="J575" s="16"/>
      <c r="K575" s="9" t="s">
        <v>30</v>
      </c>
    </row>
    <row r="576" spans="1:11" ht="15" customHeight="1" x14ac:dyDescent="0.2">
      <c r="A576" s="10">
        <v>46256</v>
      </c>
      <c r="B576" s="11">
        <v>0.59572916666666698</v>
      </c>
      <c r="C576" s="11">
        <v>0.63611111111111096</v>
      </c>
      <c r="D576" s="16">
        <v>59</v>
      </c>
      <c r="G576" s="16"/>
      <c r="J576" s="16"/>
      <c r="K576" s="9" t="s">
        <v>30</v>
      </c>
    </row>
    <row r="577" spans="1:11" ht="15" customHeight="1" x14ac:dyDescent="0.2">
      <c r="A577" s="10">
        <v>46256</v>
      </c>
      <c r="B577" s="11">
        <v>0.51875000000000004</v>
      </c>
      <c r="C577" s="11">
        <v>0.53958333333333297</v>
      </c>
      <c r="D577" s="16">
        <v>30</v>
      </c>
      <c r="G577" s="16"/>
      <c r="H577" s="12">
        <v>0.54027777777777797</v>
      </c>
      <c r="I577" s="12">
        <v>0.56388888888888899</v>
      </c>
      <c r="J577" s="16">
        <v>34</v>
      </c>
      <c r="K577" s="9" t="s">
        <v>33</v>
      </c>
    </row>
    <row r="578" spans="1:11" ht="15" customHeight="1" x14ac:dyDescent="0.2">
      <c r="A578" s="10">
        <v>46256</v>
      </c>
      <c r="B578" s="11">
        <v>0.65048611111111099</v>
      </c>
      <c r="C578" s="11">
        <v>0.68958333333333299</v>
      </c>
      <c r="D578" s="16">
        <v>57</v>
      </c>
      <c r="G578" s="16"/>
      <c r="H578" s="12">
        <v>0.69027777777777799</v>
      </c>
      <c r="I578" s="12">
        <v>0.70069444444444395</v>
      </c>
      <c r="J578" s="16">
        <v>15</v>
      </c>
      <c r="K578" s="9" t="s">
        <v>37</v>
      </c>
    </row>
    <row r="579" spans="1:11" ht="15" customHeight="1" x14ac:dyDescent="0.2">
      <c r="A579" s="10">
        <v>46256</v>
      </c>
      <c r="B579" s="11">
        <v>0.80151620370370402</v>
      </c>
      <c r="C579" s="11">
        <v>0.82851851851851899</v>
      </c>
      <c r="D579" s="16">
        <v>39</v>
      </c>
      <c r="G579" s="16"/>
      <c r="H579" s="12">
        <v>0.828622685185185</v>
      </c>
      <c r="I579" s="12">
        <v>0.86388888888888904</v>
      </c>
      <c r="J579" s="16">
        <v>51</v>
      </c>
      <c r="K579" s="9" t="s">
        <v>28</v>
      </c>
    </row>
    <row r="580" spans="1:11" ht="15" customHeight="1" x14ac:dyDescent="0.2">
      <c r="A580" s="10">
        <v>46257</v>
      </c>
      <c r="B580" s="11">
        <v>0.51668981481481502</v>
      </c>
      <c r="C580" s="11">
        <v>0.55858796296296298</v>
      </c>
      <c r="D580" s="16">
        <v>60</v>
      </c>
      <c r="G580" s="16"/>
      <c r="J580" s="16"/>
      <c r="K580" s="9" t="s">
        <v>52</v>
      </c>
    </row>
    <row r="581" spans="1:11" ht="15" customHeight="1" x14ac:dyDescent="0.2">
      <c r="A581" s="10">
        <v>46257</v>
      </c>
      <c r="B581" s="11">
        <v>0.40277777777777801</v>
      </c>
      <c r="C581" s="11">
        <v>0.43337962962963</v>
      </c>
      <c r="D581" s="16">
        <v>44</v>
      </c>
      <c r="G581" s="16"/>
      <c r="J581" s="16"/>
      <c r="K581" s="9" t="s">
        <v>33</v>
      </c>
    </row>
    <row r="582" spans="1:11" ht="15" customHeight="1" x14ac:dyDescent="0.2">
      <c r="A582" s="10">
        <v>46257</v>
      </c>
      <c r="B582" s="11">
        <v>0.64564814814814797</v>
      </c>
      <c r="C582" s="11">
        <v>0.691539351851852</v>
      </c>
      <c r="D582" s="16">
        <v>66</v>
      </c>
      <c r="G582" s="16"/>
      <c r="J582" s="16"/>
      <c r="K582" s="9" t="s">
        <v>30</v>
      </c>
    </row>
    <row r="583" spans="1:11" ht="15" customHeight="1" x14ac:dyDescent="0.2">
      <c r="A583" s="10">
        <v>46257</v>
      </c>
      <c r="B583" s="11">
        <v>0.65615740740740702</v>
      </c>
      <c r="C583" s="11">
        <v>0.70484953703703701</v>
      </c>
      <c r="D583" s="16">
        <v>70</v>
      </c>
      <c r="G583" s="16"/>
      <c r="J583" s="16"/>
      <c r="K583" s="9" t="s">
        <v>28</v>
      </c>
    </row>
    <row r="584" spans="1:11" ht="15" customHeight="1" x14ac:dyDescent="0.2">
      <c r="A584" s="10">
        <v>46257</v>
      </c>
      <c r="B584" s="11">
        <v>0.58229166666666698</v>
      </c>
      <c r="C584" s="11">
        <v>0.61944444444444402</v>
      </c>
      <c r="D584" s="16">
        <v>54</v>
      </c>
      <c r="G584" s="16"/>
      <c r="J584" s="16"/>
      <c r="K584" s="9" t="s">
        <v>28</v>
      </c>
    </row>
    <row r="585" spans="1:11" ht="15" customHeight="1" x14ac:dyDescent="0.2">
      <c r="A585" s="10">
        <v>46257</v>
      </c>
      <c r="B585" s="11">
        <v>0.72986111111111096</v>
      </c>
      <c r="C585" s="11">
        <v>0.775358796296296</v>
      </c>
      <c r="D585" s="16">
        <v>65</v>
      </c>
      <c r="G585" s="16"/>
      <c r="J585" s="16"/>
      <c r="K585" s="9" t="s">
        <v>30</v>
      </c>
    </row>
    <row r="586" spans="1:11" ht="15" customHeight="1" x14ac:dyDescent="0.2">
      <c r="A586" s="10">
        <v>46258</v>
      </c>
      <c r="B586" s="11">
        <v>0.50763888888888897</v>
      </c>
      <c r="C586" s="11">
        <v>0.531944444444444</v>
      </c>
      <c r="D586" s="16">
        <v>35</v>
      </c>
      <c r="G586" s="16"/>
      <c r="H586" s="12">
        <v>0.531944444444444</v>
      </c>
      <c r="I586" s="12">
        <v>0.58333333333333304</v>
      </c>
      <c r="J586" s="16">
        <v>74</v>
      </c>
      <c r="K586" s="9" t="s">
        <v>37</v>
      </c>
    </row>
    <row r="587" spans="1:11" ht="15" customHeight="1" x14ac:dyDescent="0.2">
      <c r="A587" s="10">
        <v>46258</v>
      </c>
      <c r="B587" s="11">
        <v>0.423877314814815</v>
      </c>
      <c r="C587" s="11">
        <v>0.453819444444444</v>
      </c>
      <c r="D587" s="16">
        <v>43</v>
      </c>
      <c r="E587" s="11">
        <v>0.45383101851851898</v>
      </c>
      <c r="F587" s="11">
        <v>0.46149305555555598</v>
      </c>
      <c r="G587" s="16">
        <v>11</v>
      </c>
      <c r="J587" s="16"/>
      <c r="K587" s="9" t="s">
        <v>45</v>
      </c>
    </row>
    <row r="588" spans="1:11" ht="15" customHeight="1" x14ac:dyDescent="0.2">
      <c r="A588" s="10">
        <v>46258</v>
      </c>
      <c r="B588" s="11">
        <v>0.444270833333333</v>
      </c>
      <c r="C588" s="11">
        <v>0.57361111111111096</v>
      </c>
      <c r="D588" s="16">
        <v>187</v>
      </c>
      <c r="E588" s="11">
        <v>0.59200231481481502</v>
      </c>
      <c r="F588" s="11">
        <v>0.60694444444444395</v>
      </c>
      <c r="G588" s="16">
        <v>22</v>
      </c>
      <c r="J588" s="16"/>
      <c r="K588" s="9" t="s">
        <v>30</v>
      </c>
    </row>
    <row r="589" spans="1:11" ht="15" customHeight="1" x14ac:dyDescent="0.2">
      <c r="A589" s="10">
        <v>46258</v>
      </c>
      <c r="B589" s="11">
        <v>0.53769675925925897</v>
      </c>
      <c r="C589" s="11">
        <v>0.60332175925925902</v>
      </c>
      <c r="D589" s="16">
        <v>94</v>
      </c>
      <c r="E589" s="11">
        <v>0.60334490740740698</v>
      </c>
      <c r="F589" s="11">
        <v>0.60998842592592595</v>
      </c>
      <c r="G589" s="16">
        <v>10</v>
      </c>
      <c r="J589" s="16"/>
      <c r="K589" s="9" t="s">
        <v>30</v>
      </c>
    </row>
    <row r="590" spans="1:11" ht="15" customHeight="1" x14ac:dyDescent="0.2">
      <c r="A590" s="10">
        <v>46258</v>
      </c>
      <c r="B590" s="11">
        <v>0.65677083333333297</v>
      </c>
      <c r="C590" s="11">
        <v>0.67361111111111105</v>
      </c>
      <c r="D590" s="16">
        <v>25</v>
      </c>
      <c r="E590" s="11">
        <v>0.67430555555555605</v>
      </c>
      <c r="F590" s="11">
        <v>0.6875</v>
      </c>
      <c r="G590" s="16">
        <v>19</v>
      </c>
      <c r="J590" s="16"/>
      <c r="K590" s="9" t="s">
        <v>46</v>
      </c>
    </row>
    <row r="591" spans="1:11" ht="15" customHeight="1" x14ac:dyDescent="0.2">
      <c r="A591" s="10">
        <v>46258</v>
      </c>
      <c r="B591" s="11">
        <v>0.76167824074074097</v>
      </c>
      <c r="C591" s="11">
        <v>0.811805555555556</v>
      </c>
      <c r="D591" s="16">
        <v>73</v>
      </c>
      <c r="G591" s="16"/>
      <c r="H591" s="12">
        <v>0.8125</v>
      </c>
      <c r="I591" s="12">
        <v>0.85</v>
      </c>
      <c r="J591" s="16">
        <v>54</v>
      </c>
      <c r="K591" s="9" t="s">
        <v>37</v>
      </c>
    </row>
    <row r="592" spans="1:11" ht="15" customHeight="1" x14ac:dyDescent="0.2">
      <c r="A592" s="10">
        <v>46258</v>
      </c>
      <c r="B592" s="11">
        <v>0.48696759259259298</v>
      </c>
      <c r="C592" s="11">
        <v>0.50347222222222199</v>
      </c>
      <c r="D592" s="16">
        <v>24</v>
      </c>
      <c r="G592" s="16"/>
      <c r="H592" s="12">
        <v>0.50416666666666698</v>
      </c>
      <c r="I592" s="12">
        <v>0.53125</v>
      </c>
      <c r="J592" s="16">
        <v>39</v>
      </c>
      <c r="K592" s="9" t="s">
        <v>33</v>
      </c>
    </row>
    <row r="593" spans="1:11" ht="15" customHeight="1" x14ac:dyDescent="0.2">
      <c r="A593" s="10">
        <v>46258</v>
      </c>
      <c r="B593" s="11">
        <v>0.50053240740740701</v>
      </c>
      <c r="C593" s="11">
        <v>0.57291666666666696</v>
      </c>
      <c r="D593" s="16">
        <v>105</v>
      </c>
      <c r="E593" s="11">
        <v>0.57361111111111096</v>
      </c>
      <c r="F593" s="11">
        <v>0.62013888888888902</v>
      </c>
      <c r="G593" s="16">
        <v>67</v>
      </c>
      <c r="J593" s="16"/>
      <c r="K593" s="9" t="s">
        <v>45</v>
      </c>
    </row>
    <row r="594" spans="1:11" ht="15" customHeight="1" x14ac:dyDescent="0.2">
      <c r="A594" s="10">
        <v>46258</v>
      </c>
      <c r="B594" s="11">
        <v>0.52927083333333302</v>
      </c>
      <c r="C594" s="11">
        <v>0.563194444444444</v>
      </c>
      <c r="D594" s="16">
        <v>49</v>
      </c>
      <c r="E594" s="11">
        <v>0.56388888888888899</v>
      </c>
      <c r="F594" s="11">
        <v>0.60944444444444401</v>
      </c>
      <c r="G594" s="16">
        <v>65</v>
      </c>
      <c r="J594" s="16"/>
      <c r="K594" s="9" t="s">
        <v>30</v>
      </c>
    </row>
    <row r="595" spans="1:11" ht="15" customHeight="1" x14ac:dyDescent="0.2">
      <c r="A595" s="10">
        <v>46258</v>
      </c>
      <c r="B595" s="11">
        <v>0.36371527777777801</v>
      </c>
      <c r="C595" s="11">
        <v>0.38194444444444398</v>
      </c>
      <c r="D595" s="16">
        <v>27</v>
      </c>
      <c r="E595" s="11">
        <v>0.38263888888888897</v>
      </c>
      <c r="F595" s="11">
        <v>0.40833333333333299</v>
      </c>
      <c r="G595" s="16">
        <v>37</v>
      </c>
      <c r="J595" s="16"/>
      <c r="K595" s="9" t="s">
        <v>30</v>
      </c>
    </row>
    <row r="596" spans="1:11" ht="15" customHeight="1" x14ac:dyDescent="0.2">
      <c r="A596" s="10">
        <v>46258</v>
      </c>
      <c r="B596" s="11">
        <v>0.46362268518518501</v>
      </c>
      <c r="C596" s="11">
        <v>0.49305555555555602</v>
      </c>
      <c r="D596" s="16">
        <v>43</v>
      </c>
      <c r="E596" s="11">
        <v>0.49305555555555602</v>
      </c>
      <c r="F596" s="11">
        <v>0.50694444444444398</v>
      </c>
      <c r="G596" s="16">
        <v>20</v>
      </c>
      <c r="J596" s="16"/>
      <c r="K596" s="9" t="s">
        <v>30</v>
      </c>
    </row>
    <row r="597" spans="1:11" ht="15" customHeight="1" x14ac:dyDescent="0.2">
      <c r="A597" s="10">
        <v>46258</v>
      </c>
      <c r="B597" s="11">
        <v>0.59930555555555598</v>
      </c>
      <c r="C597" s="11">
        <v>0.65625</v>
      </c>
      <c r="D597" s="16">
        <v>82</v>
      </c>
      <c r="E597" s="11">
        <v>0.656944444444444</v>
      </c>
      <c r="F597" s="11">
        <v>0.73263888888888895</v>
      </c>
      <c r="G597" s="16">
        <v>109</v>
      </c>
      <c r="J597" s="16"/>
      <c r="K597" s="9" t="s">
        <v>45</v>
      </c>
    </row>
    <row r="598" spans="1:11" ht="15" customHeight="1" x14ac:dyDescent="0.2">
      <c r="A598" s="10">
        <v>46258</v>
      </c>
      <c r="B598" s="11">
        <v>0.56844907407407397</v>
      </c>
      <c r="C598" s="11">
        <v>0.60416666666666696</v>
      </c>
      <c r="D598" s="16">
        <v>52</v>
      </c>
      <c r="E598" s="11">
        <v>0.60416666666666696</v>
      </c>
      <c r="F598" s="11">
        <v>0.627581018518519</v>
      </c>
      <c r="G598" s="16">
        <v>33</v>
      </c>
      <c r="J598" s="16"/>
      <c r="K598" s="9" t="s">
        <v>33</v>
      </c>
    </row>
    <row r="599" spans="1:11" ht="15" customHeight="1" x14ac:dyDescent="0.2">
      <c r="A599" s="10">
        <v>46258</v>
      </c>
      <c r="B599" s="11">
        <v>0.67873842592592604</v>
      </c>
      <c r="C599" s="11">
        <v>0.69025462962963002</v>
      </c>
      <c r="D599" s="16">
        <v>16</v>
      </c>
      <c r="G599" s="16"/>
      <c r="H599" s="12">
        <v>0.68958333333333299</v>
      </c>
      <c r="I599" s="12">
        <v>0.75</v>
      </c>
      <c r="J599" s="16">
        <v>87</v>
      </c>
      <c r="K599" s="9" t="s">
        <v>28</v>
      </c>
    </row>
    <row r="600" spans="1:11" ht="15" customHeight="1" x14ac:dyDescent="0.2">
      <c r="A600" s="10">
        <v>46258</v>
      </c>
      <c r="B600" s="11">
        <v>0.43472222222222201</v>
      </c>
      <c r="C600" s="11">
        <v>0.45833333333333298</v>
      </c>
      <c r="D600" s="16">
        <v>34</v>
      </c>
      <c r="E600" s="11">
        <v>0.45902777777777798</v>
      </c>
      <c r="F600" s="11">
        <v>0.49375000000000002</v>
      </c>
      <c r="G600" s="16">
        <v>50</v>
      </c>
      <c r="J600" s="16"/>
      <c r="K600" s="9" t="s">
        <v>28</v>
      </c>
    </row>
    <row r="601" spans="1:11" ht="15" customHeight="1" x14ac:dyDescent="0.2">
      <c r="A601" s="10">
        <v>46258</v>
      </c>
      <c r="B601" s="11">
        <v>0.67034722222222198</v>
      </c>
      <c r="C601" s="11">
        <v>0.70775462962962998</v>
      </c>
      <c r="D601" s="16">
        <v>54</v>
      </c>
      <c r="E601" s="11">
        <v>0.70777777777777795</v>
      </c>
      <c r="F601" s="11">
        <v>0.72916666666666696</v>
      </c>
      <c r="G601" s="16">
        <v>31</v>
      </c>
      <c r="J601" s="16"/>
      <c r="K601" s="9" t="s">
        <v>30</v>
      </c>
    </row>
    <row r="602" spans="1:11" ht="15" customHeight="1" x14ac:dyDescent="0.2">
      <c r="A602" s="10">
        <v>46258</v>
      </c>
      <c r="B602" s="11">
        <v>0.56111111111111101</v>
      </c>
      <c r="C602" s="11">
        <v>0.59791666666666698</v>
      </c>
      <c r="D602" s="16">
        <v>53</v>
      </c>
      <c r="G602" s="16"/>
      <c r="J602" s="16"/>
      <c r="K602" s="9" t="s">
        <v>28</v>
      </c>
    </row>
    <row r="603" spans="1:11" ht="15" customHeight="1" x14ac:dyDescent="0.2">
      <c r="A603" s="10">
        <v>46258</v>
      </c>
      <c r="B603" s="11">
        <v>0.61579861111111101</v>
      </c>
      <c r="C603" s="11">
        <v>0.65310185185185199</v>
      </c>
      <c r="D603" s="16">
        <v>54</v>
      </c>
      <c r="G603" s="16"/>
      <c r="J603" s="16"/>
      <c r="K603" s="9" t="s">
        <v>49</v>
      </c>
    </row>
    <row r="604" spans="1:11" ht="15" customHeight="1" x14ac:dyDescent="0.2">
      <c r="A604" s="10">
        <v>46258</v>
      </c>
      <c r="B604" s="11">
        <v>0.73055555555555596</v>
      </c>
      <c r="C604" s="11">
        <v>0.77608796296296301</v>
      </c>
      <c r="D604" s="16">
        <v>65</v>
      </c>
      <c r="G604" s="16"/>
      <c r="J604" s="16"/>
      <c r="K604" s="9" t="s">
        <v>41</v>
      </c>
    </row>
    <row r="605" spans="1:11" ht="15" customHeight="1" x14ac:dyDescent="0.2">
      <c r="A605" s="10">
        <v>46258</v>
      </c>
      <c r="B605" s="11">
        <v>0.688194444444444</v>
      </c>
      <c r="C605" s="11">
        <v>0.70555555555555605</v>
      </c>
      <c r="D605" s="16">
        <v>25</v>
      </c>
      <c r="G605" s="16"/>
      <c r="H605" s="12">
        <v>0.70625000000000004</v>
      </c>
      <c r="I605" s="12">
        <v>0.718055555555556</v>
      </c>
      <c r="J605" s="16">
        <v>17</v>
      </c>
      <c r="K605" s="9" t="s">
        <v>39</v>
      </c>
    </row>
    <row r="606" spans="1:11" ht="15" customHeight="1" x14ac:dyDescent="0.2">
      <c r="A606" s="10">
        <v>46258</v>
      </c>
      <c r="B606" s="11">
        <v>0.65375000000000005</v>
      </c>
      <c r="C606" s="11">
        <v>0.70859953703703704</v>
      </c>
      <c r="D606" s="16">
        <v>79</v>
      </c>
      <c r="G606" s="16"/>
      <c r="J606" s="16"/>
      <c r="K606" s="9" t="s">
        <v>30</v>
      </c>
    </row>
    <row r="607" spans="1:11" ht="15" customHeight="1" x14ac:dyDescent="0.2">
      <c r="A607" s="10">
        <v>46258</v>
      </c>
      <c r="B607" s="11">
        <v>0.44488425925925901</v>
      </c>
      <c r="C607" s="11">
        <v>0.47916666666666702</v>
      </c>
      <c r="D607" s="16">
        <v>50</v>
      </c>
      <c r="G607" s="16"/>
      <c r="H607" s="12">
        <v>0.47986111111111102</v>
      </c>
      <c r="I607" s="12">
        <v>0.49652777777777801</v>
      </c>
      <c r="J607" s="16">
        <v>24</v>
      </c>
      <c r="K607" s="9" t="s">
        <v>30</v>
      </c>
    </row>
    <row r="608" spans="1:11" ht="15" customHeight="1" x14ac:dyDescent="0.2">
      <c r="A608" s="10">
        <v>46258</v>
      </c>
      <c r="B608" s="11">
        <v>0.88560185185185203</v>
      </c>
      <c r="C608" s="11">
        <v>0.93293981481481503</v>
      </c>
      <c r="D608" s="16">
        <v>68</v>
      </c>
      <c r="G608" s="16"/>
      <c r="J608" s="16"/>
      <c r="K608" s="9" t="s">
        <v>41</v>
      </c>
    </row>
    <row r="609" spans="1:11" ht="15" customHeight="1" x14ac:dyDescent="0.2">
      <c r="A609" s="10">
        <v>46258</v>
      </c>
      <c r="B609" s="11">
        <v>0.367650462962963</v>
      </c>
      <c r="C609" s="11">
        <v>0.41736111111111102</v>
      </c>
      <c r="D609" s="16">
        <v>72</v>
      </c>
      <c r="E609" s="11">
        <v>0.41805555555555601</v>
      </c>
      <c r="F609" s="11">
        <v>0.46388888888888902</v>
      </c>
      <c r="G609" s="16">
        <v>66</v>
      </c>
      <c r="J609" s="16"/>
      <c r="K609" s="9" t="s">
        <v>45</v>
      </c>
    </row>
    <row r="610" spans="1:11" ht="15" customHeight="1" x14ac:dyDescent="0.2">
      <c r="A610" s="10">
        <v>46258</v>
      </c>
      <c r="B610" s="11">
        <v>0.52230324074074097</v>
      </c>
      <c r="C610" s="11">
        <v>0.5625</v>
      </c>
      <c r="D610" s="16">
        <v>58</v>
      </c>
      <c r="G610" s="16"/>
      <c r="J610" s="16"/>
      <c r="K610" s="9" t="s">
        <v>28</v>
      </c>
    </row>
    <row r="611" spans="1:11" ht="15" customHeight="1" x14ac:dyDescent="0.2">
      <c r="A611" s="10">
        <v>46258</v>
      </c>
      <c r="B611" s="11">
        <v>0.66111111111111098</v>
      </c>
      <c r="C611" s="11">
        <v>0.70833333333333304</v>
      </c>
      <c r="D611" s="16">
        <v>68</v>
      </c>
      <c r="G611" s="16"/>
      <c r="J611" s="16"/>
      <c r="K611" s="9" t="s">
        <v>28</v>
      </c>
    </row>
    <row r="612" spans="1:11" ht="15" customHeight="1" x14ac:dyDescent="0.2">
      <c r="A612" s="10">
        <v>46258</v>
      </c>
      <c r="B612" s="11">
        <v>0.49795138888888901</v>
      </c>
      <c r="C612" s="11">
        <v>0.58472222222222203</v>
      </c>
      <c r="D612" s="18">
        <v>125</v>
      </c>
    </row>
    <row r="613" spans="1:11" ht="15" customHeight="1" x14ac:dyDescent="0.2">
      <c r="A613" s="10">
        <v>46258</v>
      </c>
      <c r="E613" s="11">
        <v>0.38750000000000001</v>
      </c>
      <c r="F613" s="11">
        <v>0.53263888888888899</v>
      </c>
      <c r="G613" s="18">
        <v>209</v>
      </c>
    </row>
    <row r="614" spans="1:11" ht="15" customHeight="1" x14ac:dyDescent="0.2">
      <c r="A614" s="10">
        <v>46258</v>
      </c>
      <c r="E614" s="11">
        <v>0.45</v>
      </c>
      <c r="F614" s="11">
        <v>0.70991898148148103</v>
      </c>
      <c r="G614" s="18">
        <v>374</v>
      </c>
    </row>
    <row r="615" spans="1:11" ht="15" customHeight="1" x14ac:dyDescent="0.2">
      <c r="A615" s="10">
        <v>46258</v>
      </c>
      <c r="B615" s="11">
        <v>0.64047453703703705</v>
      </c>
      <c r="C615" s="11">
        <v>0.67216435185185197</v>
      </c>
      <c r="D615" s="16">
        <v>45</v>
      </c>
      <c r="E615" s="11">
        <v>0.67217592592592601</v>
      </c>
      <c r="F615" s="11">
        <v>0.72619212962962998</v>
      </c>
      <c r="G615" s="16">
        <v>78</v>
      </c>
      <c r="J615" s="16"/>
      <c r="K615" s="9" t="s">
        <v>39</v>
      </c>
    </row>
    <row r="616" spans="1:11" ht="15" customHeight="1" x14ac:dyDescent="0.2">
      <c r="A616" s="10">
        <v>46258</v>
      </c>
      <c r="B616" s="11">
        <v>0.82986111111111105</v>
      </c>
      <c r="C616" s="11">
        <v>0.844444444444444</v>
      </c>
      <c r="D616" s="16">
        <v>21</v>
      </c>
      <c r="G616" s="16"/>
      <c r="H616" s="12">
        <v>0.844444444444444</v>
      </c>
      <c r="I616" s="12">
        <v>0.85416666666666696</v>
      </c>
      <c r="J616" s="16">
        <v>14</v>
      </c>
      <c r="K616" s="9" t="s">
        <v>37</v>
      </c>
    </row>
    <row r="617" spans="1:11" ht="15" customHeight="1" x14ac:dyDescent="0.2">
      <c r="A617" s="10">
        <v>46258</v>
      </c>
      <c r="B617" s="11">
        <v>0.73958333333333304</v>
      </c>
      <c r="C617" s="11">
        <v>0.76041666666666696</v>
      </c>
      <c r="D617" s="16">
        <v>30</v>
      </c>
      <c r="G617" s="16"/>
      <c r="J617" s="16"/>
      <c r="K617" s="9" t="s">
        <v>33</v>
      </c>
    </row>
    <row r="618" spans="1:11" ht="15" customHeight="1" x14ac:dyDescent="0.2">
      <c r="A618" s="10">
        <v>46258</v>
      </c>
      <c r="B618" s="11">
        <v>0.681805555555556</v>
      </c>
      <c r="C618" s="11">
        <v>0.71666666666666701</v>
      </c>
      <c r="D618" s="18">
        <v>51</v>
      </c>
    </row>
    <row r="619" spans="1:11" ht="15" customHeight="1" x14ac:dyDescent="0.2">
      <c r="A619" s="10">
        <v>46258</v>
      </c>
      <c r="B619" s="11">
        <v>0.82986111111111105</v>
      </c>
      <c r="C619" s="11">
        <v>0.85416666666666696</v>
      </c>
      <c r="D619" s="16">
        <v>35</v>
      </c>
      <c r="G619" s="16"/>
      <c r="J619" s="16"/>
      <c r="K619" s="9" t="s">
        <v>28</v>
      </c>
    </row>
    <row r="620" spans="1:11" ht="15" customHeight="1" x14ac:dyDescent="0.2">
      <c r="A620" s="10">
        <v>46258</v>
      </c>
      <c r="B620" s="11">
        <v>0.48291666666666699</v>
      </c>
      <c r="C620" s="11">
        <v>0.50414351851851802</v>
      </c>
      <c r="D620" s="16">
        <v>30</v>
      </c>
      <c r="G620" s="16"/>
      <c r="H620" s="12">
        <v>0.50416666666666698</v>
      </c>
      <c r="I620" s="12">
        <v>0.58888888888888902</v>
      </c>
      <c r="J620" s="16">
        <v>122</v>
      </c>
      <c r="K620" s="9" t="s">
        <v>30</v>
      </c>
    </row>
    <row r="621" spans="1:11" ht="15" customHeight="1" x14ac:dyDescent="0.2">
      <c r="A621" s="10">
        <v>46259</v>
      </c>
      <c r="B621" s="11">
        <v>0.538599537037037</v>
      </c>
      <c r="C621" s="11">
        <v>0.61458333333333304</v>
      </c>
      <c r="D621" s="16">
        <v>110</v>
      </c>
      <c r="E621" s="11">
        <v>0.61527777777777803</v>
      </c>
      <c r="F621" s="11">
        <v>0.65277777777777801</v>
      </c>
      <c r="G621" s="16">
        <v>54</v>
      </c>
      <c r="J621" s="16"/>
      <c r="K621" s="9" t="s">
        <v>28</v>
      </c>
    </row>
    <row r="622" spans="1:11" ht="15" customHeight="1" x14ac:dyDescent="0.2">
      <c r="A622" s="10">
        <v>46259</v>
      </c>
      <c r="B622" s="11">
        <v>0.414178240740741</v>
      </c>
      <c r="C622" s="11">
        <v>0.43975694444444402</v>
      </c>
      <c r="D622" s="16">
        <v>37</v>
      </c>
      <c r="E622" s="11">
        <v>0.44305555555555598</v>
      </c>
      <c r="F622" s="11">
        <v>0.5</v>
      </c>
      <c r="G622" s="16">
        <v>82</v>
      </c>
      <c r="J622" s="16"/>
      <c r="K622" s="9" t="s">
        <v>30</v>
      </c>
    </row>
    <row r="623" spans="1:11" ht="15" customHeight="1" x14ac:dyDescent="0.2">
      <c r="A623" s="10">
        <v>46259</v>
      </c>
      <c r="B623" s="11">
        <v>0.52133101851851804</v>
      </c>
      <c r="C623" s="11">
        <v>0.54979166666666701</v>
      </c>
      <c r="D623" s="16">
        <v>41</v>
      </c>
      <c r="E623" s="11">
        <v>0.55416666666666703</v>
      </c>
      <c r="F623" s="11">
        <v>0.58750000000000002</v>
      </c>
      <c r="G623" s="16">
        <v>48</v>
      </c>
      <c r="J623" s="16"/>
      <c r="K623" s="9" t="s">
        <v>39</v>
      </c>
    </row>
    <row r="624" spans="1:11" ht="15" customHeight="1" x14ac:dyDescent="0.2">
      <c r="A624" s="10">
        <v>46259</v>
      </c>
      <c r="B624" s="11">
        <v>0.41666666666666702</v>
      </c>
      <c r="C624" s="11">
        <v>0.49097222222222198</v>
      </c>
      <c r="D624" s="16">
        <v>107</v>
      </c>
      <c r="E624" s="11">
        <v>0.49166666666666697</v>
      </c>
      <c r="F624" s="11">
        <v>0.52708333333333302</v>
      </c>
      <c r="G624" s="16">
        <v>51</v>
      </c>
      <c r="J624" s="16"/>
      <c r="K624" s="9" t="s">
        <v>45</v>
      </c>
    </row>
    <row r="625" spans="1:11" ht="15" customHeight="1" x14ac:dyDescent="0.2">
      <c r="A625" s="10">
        <v>46259</v>
      </c>
      <c r="B625" s="11">
        <v>0.55681712962963004</v>
      </c>
      <c r="C625" s="11">
        <v>0.59827546296296297</v>
      </c>
      <c r="D625" s="16">
        <v>60</v>
      </c>
      <c r="G625" s="16"/>
      <c r="H625" s="12">
        <v>0.59722222222222199</v>
      </c>
      <c r="I625" s="12">
        <v>0.61866898148148197</v>
      </c>
      <c r="J625" s="16">
        <v>30</v>
      </c>
      <c r="K625" s="9" t="s">
        <v>30</v>
      </c>
    </row>
    <row r="626" spans="1:11" ht="15" customHeight="1" x14ac:dyDescent="0.2">
      <c r="A626" s="10">
        <v>46259</v>
      </c>
      <c r="B626" s="11">
        <v>0.67464120370370395</v>
      </c>
      <c r="C626" s="11">
        <v>0.72528935185185195</v>
      </c>
      <c r="D626" s="16">
        <v>73</v>
      </c>
      <c r="E626" s="11">
        <v>0.72638888888888897</v>
      </c>
      <c r="F626" s="11">
        <v>0.75486111111111098</v>
      </c>
      <c r="G626" s="16">
        <v>41</v>
      </c>
      <c r="J626" s="16"/>
      <c r="K626" s="9" t="s">
        <v>30</v>
      </c>
    </row>
    <row r="627" spans="1:11" ht="15" customHeight="1" x14ac:dyDescent="0.2">
      <c r="A627" s="10">
        <v>46259</v>
      </c>
      <c r="B627" s="11">
        <v>0.58574074074074101</v>
      </c>
      <c r="C627" s="11">
        <v>0.67777777777777803</v>
      </c>
      <c r="D627" s="16">
        <v>133</v>
      </c>
      <c r="E627" s="11">
        <v>0.67847222222222203</v>
      </c>
      <c r="F627" s="11">
        <v>0.73680555555555605</v>
      </c>
      <c r="G627" s="16">
        <v>84</v>
      </c>
      <c r="J627" s="16"/>
      <c r="K627" s="9" t="s">
        <v>45</v>
      </c>
    </row>
    <row r="628" spans="1:11" ht="15" customHeight="1" x14ac:dyDescent="0.2">
      <c r="A628" s="10">
        <v>46259</v>
      </c>
      <c r="B628" s="11">
        <v>0.42189814814814802</v>
      </c>
      <c r="C628" s="11">
        <v>0.47013888888888899</v>
      </c>
      <c r="D628" s="16">
        <v>70</v>
      </c>
      <c r="E628" s="11">
        <v>0.47152777777777799</v>
      </c>
      <c r="F628" s="11">
        <v>0.50694444444444398</v>
      </c>
      <c r="G628" s="16">
        <v>51</v>
      </c>
      <c r="J628" s="16"/>
      <c r="K628" s="9" t="s">
        <v>33</v>
      </c>
    </row>
    <row r="629" spans="1:11" ht="15" customHeight="1" x14ac:dyDescent="0.2">
      <c r="A629" s="10">
        <v>46259</v>
      </c>
      <c r="B629" s="11">
        <v>0.71891203703703699</v>
      </c>
      <c r="C629" s="11">
        <v>0.76111111111111096</v>
      </c>
      <c r="D629" s="16">
        <v>61</v>
      </c>
      <c r="E629" s="11">
        <v>0.76180555555555596</v>
      </c>
      <c r="F629" s="11">
        <v>0.77152777777777803</v>
      </c>
      <c r="G629" s="16">
        <v>14</v>
      </c>
      <c r="J629" s="16"/>
      <c r="K629" s="9" t="s">
        <v>45</v>
      </c>
    </row>
    <row r="630" spans="1:11" ht="15" customHeight="1" x14ac:dyDescent="0.2">
      <c r="A630" s="10">
        <v>46259</v>
      </c>
      <c r="B630" s="11">
        <v>0.35268518518518499</v>
      </c>
      <c r="C630" s="11">
        <v>0.38611111111111102</v>
      </c>
      <c r="D630" s="16">
        <v>49</v>
      </c>
      <c r="E630" s="11">
        <v>0.38680555555555601</v>
      </c>
      <c r="F630" s="11">
        <v>0.41666666666666702</v>
      </c>
      <c r="G630" s="16">
        <v>43</v>
      </c>
      <c r="J630" s="16"/>
      <c r="K630" s="9" t="s">
        <v>33</v>
      </c>
    </row>
    <row r="631" spans="1:11" ht="15" customHeight="1" x14ac:dyDescent="0.2">
      <c r="A631" s="10">
        <v>46259</v>
      </c>
      <c r="B631" s="11">
        <v>0.63268518518518502</v>
      </c>
      <c r="C631" s="11">
        <v>0.66292824074074097</v>
      </c>
      <c r="D631" s="16">
        <v>43</v>
      </c>
      <c r="E631" s="11">
        <v>0.66295138888888905</v>
      </c>
      <c r="F631" s="11">
        <v>0.67708333333333304</v>
      </c>
      <c r="G631" s="16">
        <v>21</v>
      </c>
      <c r="J631" s="16"/>
      <c r="K631" s="9" t="s">
        <v>28</v>
      </c>
    </row>
    <row r="632" spans="1:11" ht="15" customHeight="1" x14ac:dyDescent="0.2">
      <c r="A632" s="10">
        <v>46259</v>
      </c>
      <c r="B632" s="11">
        <v>0.43768518518518501</v>
      </c>
      <c r="C632" s="11">
        <v>0.46597222222222201</v>
      </c>
      <c r="D632" s="16">
        <v>41</v>
      </c>
      <c r="G632" s="16"/>
      <c r="H632" s="12">
        <v>0.48680555555555599</v>
      </c>
      <c r="I632" s="12">
        <v>0.53749999999999998</v>
      </c>
      <c r="J632" s="16">
        <v>73</v>
      </c>
      <c r="K632" s="9" t="s">
        <v>28</v>
      </c>
    </row>
    <row r="633" spans="1:11" ht="15" customHeight="1" x14ac:dyDescent="0.2">
      <c r="A633" s="10">
        <v>46259</v>
      </c>
      <c r="B633" s="11">
        <v>0.42040509259259301</v>
      </c>
      <c r="C633" s="11">
        <v>0.48958333333333298</v>
      </c>
      <c r="D633" s="16">
        <v>100</v>
      </c>
      <c r="E633" s="11">
        <v>0.49278935185185202</v>
      </c>
      <c r="F633" s="11">
        <v>0.506655092592593</v>
      </c>
      <c r="G633" s="16">
        <v>20</v>
      </c>
      <c r="J633" s="16"/>
      <c r="K633" s="9" t="s">
        <v>49</v>
      </c>
    </row>
    <row r="634" spans="1:11" ht="15" customHeight="1" x14ac:dyDescent="0.2">
      <c r="A634" s="10">
        <v>46259</v>
      </c>
      <c r="B634" s="11">
        <v>0.50075231481481497</v>
      </c>
      <c r="C634" s="11">
        <v>0.53125</v>
      </c>
      <c r="D634" s="16">
        <v>44</v>
      </c>
      <c r="E634" s="11">
        <v>0.53125</v>
      </c>
      <c r="F634" s="11">
        <v>0.54824074074074103</v>
      </c>
      <c r="G634" s="16">
        <v>24</v>
      </c>
      <c r="J634" s="16"/>
      <c r="K634" s="9" t="s">
        <v>49</v>
      </c>
    </row>
    <row r="635" spans="1:11" ht="15" customHeight="1" x14ac:dyDescent="0.2">
      <c r="A635" s="10">
        <v>46259</v>
      </c>
      <c r="B635" s="11">
        <v>0.47085648148148102</v>
      </c>
      <c r="C635" s="11">
        <v>0.495763888888889</v>
      </c>
      <c r="D635" s="16">
        <v>35</v>
      </c>
      <c r="E635" s="11">
        <v>0.49578703703703703</v>
      </c>
      <c r="F635" s="11">
        <v>0.51052083333333298</v>
      </c>
      <c r="G635" s="16">
        <v>22</v>
      </c>
      <c r="J635" s="16"/>
      <c r="K635" s="9" t="s">
        <v>33</v>
      </c>
    </row>
    <row r="636" spans="1:11" ht="15" customHeight="1" x14ac:dyDescent="0.2">
      <c r="A636" s="10">
        <v>46259</v>
      </c>
      <c r="B636" s="11">
        <v>0.38680555555555601</v>
      </c>
      <c r="C636" s="11">
        <v>0.40625</v>
      </c>
      <c r="D636" s="16">
        <v>28</v>
      </c>
      <c r="E636" s="11">
        <v>0.406944444444444</v>
      </c>
      <c r="F636" s="11">
        <v>0.4375</v>
      </c>
      <c r="G636" s="16">
        <v>44</v>
      </c>
      <c r="J636" s="16"/>
      <c r="K636" s="9" t="s">
        <v>33</v>
      </c>
    </row>
    <row r="637" spans="1:11" ht="15" customHeight="1" x14ac:dyDescent="0.2">
      <c r="A637" s="10">
        <v>46259</v>
      </c>
      <c r="B637" s="11">
        <v>0.52716435185185195</v>
      </c>
      <c r="C637" s="11">
        <v>0.55277777777777803</v>
      </c>
      <c r="D637" s="16">
        <v>37</v>
      </c>
      <c r="E637" s="11">
        <v>0.55347222222222203</v>
      </c>
      <c r="F637" s="11">
        <v>0.59097222222222201</v>
      </c>
      <c r="G637" s="16">
        <v>54</v>
      </c>
      <c r="J637" s="16"/>
      <c r="K637" s="9" t="s">
        <v>33</v>
      </c>
    </row>
    <row r="638" spans="1:11" ht="15" customHeight="1" x14ac:dyDescent="0.2">
      <c r="A638" s="10">
        <v>46259</v>
      </c>
      <c r="B638" s="11">
        <v>0.58021990740740703</v>
      </c>
      <c r="C638" s="11">
        <v>0.61339120370370404</v>
      </c>
      <c r="D638" s="16">
        <v>48</v>
      </c>
      <c r="E638" s="11">
        <v>0.613414351851852</v>
      </c>
      <c r="F638" s="11">
        <v>0.625</v>
      </c>
      <c r="G638" s="16">
        <v>17</v>
      </c>
      <c r="J638" s="16"/>
      <c r="K638" s="9" t="s">
        <v>33</v>
      </c>
    </row>
    <row r="639" spans="1:11" ht="15" customHeight="1" x14ac:dyDescent="0.2">
      <c r="A639" s="10">
        <v>46259</v>
      </c>
      <c r="B639" s="11">
        <v>0.58635416666666695</v>
      </c>
      <c r="C639" s="11">
        <v>0.625694444444444</v>
      </c>
      <c r="D639" s="16">
        <v>57</v>
      </c>
      <c r="E639" s="11">
        <v>0.62638888888888899</v>
      </c>
      <c r="F639" s="11">
        <v>0.64722222222222203</v>
      </c>
      <c r="G639" s="16">
        <v>30</v>
      </c>
      <c r="J639" s="16"/>
      <c r="K639" s="9" t="s">
        <v>30</v>
      </c>
    </row>
    <row r="640" spans="1:11" ht="15" customHeight="1" x14ac:dyDescent="0.2">
      <c r="A640" s="10">
        <v>46259</v>
      </c>
      <c r="B640" s="11">
        <v>0.81629629629629596</v>
      </c>
      <c r="C640" s="11">
        <v>0.83333333333333304</v>
      </c>
      <c r="D640" s="16">
        <v>25</v>
      </c>
      <c r="G640" s="16"/>
      <c r="J640" s="16"/>
      <c r="K640" s="9" t="s">
        <v>28</v>
      </c>
    </row>
    <row r="641" spans="1:11" ht="15" customHeight="1" x14ac:dyDescent="0.2">
      <c r="A641" s="10">
        <v>46259</v>
      </c>
      <c r="B641" s="11">
        <v>0.37457175925925901</v>
      </c>
      <c r="C641" s="11">
        <v>0.38263888888888897</v>
      </c>
      <c r="D641" s="16">
        <v>12</v>
      </c>
      <c r="G641" s="16"/>
      <c r="H641" s="12">
        <v>0.40347222222222201</v>
      </c>
      <c r="I641" s="12">
        <v>0.43055555555555602</v>
      </c>
      <c r="J641" s="16">
        <v>39</v>
      </c>
      <c r="K641" s="9" t="s">
        <v>28</v>
      </c>
    </row>
    <row r="642" spans="1:11" ht="15" customHeight="1" x14ac:dyDescent="0.2">
      <c r="A642" s="10">
        <v>46259</v>
      </c>
      <c r="B642" s="11">
        <v>0.625</v>
      </c>
      <c r="C642" s="11">
        <v>0.655555555555556</v>
      </c>
      <c r="D642" s="16">
        <v>44</v>
      </c>
      <c r="E642" s="11">
        <v>0.65625</v>
      </c>
      <c r="F642" s="11">
        <v>0.69791666666666696</v>
      </c>
      <c r="G642" s="16">
        <v>60</v>
      </c>
      <c r="J642" s="16"/>
      <c r="K642" s="9" t="s">
        <v>33</v>
      </c>
    </row>
    <row r="643" spans="1:11" ht="15" customHeight="1" x14ac:dyDescent="0.2">
      <c r="A643" s="10">
        <v>46259</v>
      </c>
      <c r="B643" s="11">
        <v>0.65159722222222205</v>
      </c>
      <c r="C643" s="11">
        <v>0.688194444444444</v>
      </c>
      <c r="D643" s="16">
        <v>53</v>
      </c>
      <c r="E643" s="11">
        <v>0.68888888888888899</v>
      </c>
      <c r="F643" s="11">
        <v>0.70208333333333295</v>
      </c>
      <c r="G643" s="16">
        <v>19</v>
      </c>
      <c r="J643" s="16"/>
      <c r="K643" s="9" t="s">
        <v>30</v>
      </c>
    </row>
    <row r="644" spans="1:11" ht="15" customHeight="1" x14ac:dyDescent="0.2">
      <c r="A644" s="10">
        <v>46259</v>
      </c>
      <c r="B644" s="11">
        <v>0.85719907407407403</v>
      </c>
      <c r="C644" s="11">
        <v>0.87736111111111104</v>
      </c>
      <c r="D644" s="18">
        <v>29</v>
      </c>
      <c r="K644" s="9" t="s">
        <v>64</v>
      </c>
    </row>
    <row r="645" spans="1:11" ht="15" customHeight="1" x14ac:dyDescent="0.2">
      <c r="A645" s="10">
        <v>46259</v>
      </c>
      <c r="B645" s="11">
        <v>0.49392361111111099</v>
      </c>
      <c r="C645" s="11">
        <v>0.51180555555555596</v>
      </c>
      <c r="D645" s="16">
        <v>26</v>
      </c>
      <c r="G645" s="16"/>
      <c r="H645" s="12">
        <v>0.53263888888888899</v>
      </c>
      <c r="I645" s="12">
        <v>0.56736111111111098</v>
      </c>
      <c r="J645" s="16">
        <v>50</v>
      </c>
      <c r="K645" s="9" t="s">
        <v>28</v>
      </c>
    </row>
    <row r="646" spans="1:11" ht="15" customHeight="1" x14ac:dyDescent="0.2">
      <c r="A646" s="10">
        <v>46259</v>
      </c>
      <c r="B646" s="11">
        <v>0.64097222222222205</v>
      </c>
      <c r="C646" s="11">
        <v>0.688194444444444</v>
      </c>
      <c r="D646" s="16">
        <v>68</v>
      </c>
      <c r="G646" s="16"/>
      <c r="J646" s="16"/>
      <c r="K646" s="9" t="s">
        <v>47</v>
      </c>
    </row>
    <row r="647" spans="1:11" ht="15" customHeight="1" x14ac:dyDescent="0.2">
      <c r="A647" s="10">
        <v>46259</v>
      </c>
      <c r="B647" s="11">
        <v>0.74983796296296301</v>
      </c>
      <c r="C647" s="11">
        <v>0.78337962962963004</v>
      </c>
      <c r="D647" s="16">
        <v>49</v>
      </c>
      <c r="G647" s="16"/>
      <c r="J647" s="16"/>
      <c r="K647" s="9" t="s">
        <v>39</v>
      </c>
    </row>
    <row r="648" spans="1:11" ht="15" customHeight="1" x14ac:dyDescent="0.2">
      <c r="A648" s="10">
        <v>46259</v>
      </c>
      <c r="B648" s="11">
        <v>0.55771990740740696</v>
      </c>
      <c r="C648" s="11">
        <v>0.59930555555555598</v>
      </c>
      <c r="D648" s="16">
        <v>60</v>
      </c>
      <c r="G648" s="16"/>
      <c r="J648" s="16"/>
      <c r="K648" s="9" t="s">
        <v>28</v>
      </c>
    </row>
    <row r="649" spans="1:11" ht="15" customHeight="1" x14ac:dyDescent="0.2">
      <c r="A649" s="10">
        <v>46259</v>
      </c>
      <c r="B649" s="11">
        <v>0.70414351851851897</v>
      </c>
      <c r="C649" s="11">
        <v>0.77013888888888904</v>
      </c>
      <c r="D649" s="16">
        <v>96</v>
      </c>
      <c r="G649" s="16"/>
      <c r="J649" s="16"/>
      <c r="K649" s="9" t="s">
        <v>39</v>
      </c>
    </row>
    <row r="650" spans="1:11" ht="15" customHeight="1" x14ac:dyDescent="0.2">
      <c r="A650" s="10">
        <v>46259</v>
      </c>
      <c r="B650" s="11">
        <v>0.71038194444444402</v>
      </c>
      <c r="C650" s="11">
        <v>0.73611111111111105</v>
      </c>
      <c r="D650" s="16">
        <v>38</v>
      </c>
      <c r="G650" s="16"/>
      <c r="J650" s="16"/>
      <c r="K650" s="9" t="s">
        <v>30</v>
      </c>
    </row>
    <row r="651" spans="1:11" ht="15" customHeight="1" x14ac:dyDescent="0.2">
      <c r="A651" s="10">
        <v>46259</v>
      </c>
      <c r="B651" s="11">
        <v>0.812037037037037</v>
      </c>
      <c r="C651" s="11">
        <v>0.83402777777777803</v>
      </c>
      <c r="D651" s="16">
        <v>32</v>
      </c>
      <c r="G651" s="16"/>
      <c r="H651" s="12">
        <v>0.83472222222222203</v>
      </c>
      <c r="I651" s="12">
        <v>0.85347222222222197</v>
      </c>
      <c r="J651" s="16">
        <v>27</v>
      </c>
      <c r="K651" s="9" t="s">
        <v>37</v>
      </c>
    </row>
    <row r="652" spans="1:11" ht="15" customHeight="1" x14ac:dyDescent="0.2">
      <c r="A652" s="10">
        <v>46259</v>
      </c>
      <c r="B652" s="11">
        <v>0.71489583333333295</v>
      </c>
      <c r="C652" s="11">
        <v>0.74375000000000002</v>
      </c>
      <c r="D652" s="16">
        <v>42</v>
      </c>
      <c r="G652" s="16"/>
      <c r="H652" s="12">
        <v>0.74444444444444402</v>
      </c>
      <c r="I652" s="12">
        <v>0.749305555555556</v>
      </c>
      <c r="J652" s="16">
        <v>7</v>
      </c>
      <c r="K652" s="9" t="s">
        <v>28</v>
      </c>
    </row>
    <row r="653" spans="1:11" ht="15" customHeight="1" x14ac:dyDescent="0.2">
      <c r="A653" s="10">
        <v>46259</v>
      </c>
      <c r="B653" s="11">
        <v>0.89652777777777803</v>
      </c>
      <c r="C653" s="11">
        <v>0.91736111111111096</v>
      </c>
      <c r="D653" s="16">
        <v>30</v>
      </c>
      <c r="G653" s="16"/>
      <c r="H653" s="12">
        <v>0.91805555555555596</v>
      </c>
      <c r="I653" s="12">
        <v>0.96180555555555602</v>
      </c>
      <c r="J653" s="16">
        <v>63</v>
      </c>
      <c r="K653" s="9" t="s">
        <v>41</v>
      </c>
    </row>
    <row r="654" spans="1:11" ht="15" customHeight="1" x14ac:dyDescent="0.2">
      <c r="A654" s="10">
        <v>46259</v>
      </c>
      <c r="B654" s="11">
        <v>0.44930555555555601</v>
      </c>
      <c r="C654" s="11">
        <v>0.48888888888888898</v>
      </c>
      <c r="D654" s="18">
        <v>57</v>
      </c>
      <c r="E654" s="11">
        <v>0.48958333333333298</v>
      </c>
      <c r="F654" s="11">
        <v>0.53333333333333299</v>
      </c>
      <c r="G654" s="18">
        <v>63</v>
      </c>
    </row>
    <row r="655" spans="1:11" ht="15" customHeight="1" x14ac:dyDescent="0.2">
      <c r="A655" s="10">
        <v>46259</v>
      </c>
      <c r="E655" s="11">
        <v>0.48125000000000001</v>
      </c>
      <c r="F655" s="11">
        <v>0.54236111111111096</v>
      </c>
      <c r="G655" s="18">
        <v>88</v>
      </c>
    </row>
    <row r="656" spans="1:11" ht="15" customHeight="1" x14ac:dyDescent="0.2">
      <c r="A656" s="10">
        <v>46259</v>
      </c>
      <c r="B656" s="11">
        <v>0.81671296296296303</v>
      </c>
      <c r="C656" s="11">
        <v>0.86190972222222195</v>
      </c>
      <c r="D656" s="16">
        <v>65</v>
      </c>
      <c r="G656" s="16"/>
      <c r="J656" s="16"/>
      <c r="K656" s="9" t="s">
        <v>30</v>
      </c>
    </row>
    <row r="657" spans="1:11" ht="15" customHeight="1" x14ac:dyDescent="0.2">
      <c r="A657" s="10">
        <v>46259</v>
      </c>
      <c r="B657" s="11">
        <v>0.49861111111111101</v>
      </c>
      <c r="C657" s="11">
        <v>0.51041666666666696</v>
      </c>
      <c r="D657" s="18">
        <v>17</v>
      </c>
    </row>
    <row r="658" spans="1:11" ht="15" customHeight="1" x14ac:dyDescent="0.2">
      <c r="A658" s="10">
        <v>46259</v>
      </c>
      <c r="B658" s="11">
        <v>0.93307870370370405</v>
      </c>
      <c r="C658" s="11">
        <v>0.96604166666666702</v>
      </c>
      <c r="D658" s="16">
        <v>48</v>
      </c>
      <c r="G658" s="16"/>
      <c r="J658" s="16"/>
      <c r="K658" s="9" t="s">
        <v>30</v>
      </c>
    </row>
    <row r="659" spans="1:11" ht="15" customHeight="1" x14ac:dyDescent="0.2">
      <c r="A659" s="10">
        <v>46259</v>
      </c>
      <c r="B659" s="11">
        <v>0.57592592592592595</v>
      </c>
      <c r="C659" s="11">
        <v>0.60486111111111096</v>
      </c>
      <c r="D659" s="18">
        <v>42</v>
      </c>
    </row>
    <row r="660" spans="1:11" ht="15" customHeight="1" x14ac:dyDescent="0.2">
      <c r="A660" s="10">
        <v>46259</v>
      </c>
      <c r="B660" s="11">
        <v>0.61766203703703704</v>
      </c>
      <c r="C660" s="11">
        <v>0.65208333333333302</v>
      </c>
      <c r="D660" s="18">
        <v>50</v>
      </c>
    </row>
    <row r="661" spans="1:11" ht="15" customHeight="1" x14ac:dyDescent="0.2">
      <c r="A661" s="10">
        <v>46259</v>
      </c>
      <c r="B661" s="11">
        <v>0.81805555555555598</v>
      </c>
      <c r="C661" s="11">
        <v>0.84248842592592599</v>
      </c>
      <c r="D661" s="16">
        <v>35</v>
      </c>
      <c r="G661" s="16"/>
      <c r="J661" s="16"/>
      <c r="K661" s="9" t="s">
        <v>30</v>
      </c>
    </row>
    <row r="662" spans="1:11" ht="15" customHeight="1" x14ac:dyDescent="0.2">
      <c r="A662" s="10">
        <v>46259</v>
      </c>
      <c r="B662" s="11">
        <v>0.65478009259259295</v>
      </c>
      <c r="C662" s="11">
        <v>0.67708333333333304</v>
      </c>
      <c r="D662" s="18">
        <v>33</v>
      </c>
    </row>
    <row r="663" spans="1:11" ht="15" customHeight="1" x14ac:dyDescent="0.2">
      <c r="A663" s="10">
        <v>46259</v>
      </c>
      <c r="B663" s="11">
        <v>0.70486111111111105</v>
      </c>
      <c r="C663" s="11">
        <v>0.78472222222222199</v>
      </c>
      <c r="D663" s="16">
        <v>115</v>
      </c>
      <c r="E663" s="11">
        <v>0.78541666666666698</v>
      </c>
      <c r="F663" s="11">
        <v>0.82152777777777797</v>
      </c>
      <c r="G663" s="16">
        <v>52</v>
      </c>
      <c r="J663" s="16"/>
      <c r="K663" s="9" t="s">
        <v>45</v>
      </c>
    </row>
    <row r="664" spans="1:11" ht="15" customHeight="1" x14ac:dyDescent="0.2">
      <c r="A664" s="10">
        <v>46260</v>
      </c>
      <c r="B664" s="11">
        <v>0.663564814814815</v>
      </c>
      <c r="C664" s="11">
        <v>0.72087962962963004</v>
      </c>
      <c r="D664" s="16">
        <v>83</v>
      </c>
      <c r="G664" s="16"/>
      <c r="J664" s="16"/>
      <c r="K664" s="9" t="s">
        <v>30</v>
      </c>
    </row>
    <row r="665" spans="1:11" ht="15" customHeight="1" x14ac:dyDescent="0.2">
      <c r="A665" s="10">
        <v>46260</v>
      </c>
      <c r="B665" s="11">
        <v>0.34027777777777801</v>
      </c>
      <c r="C665" s="11">
        <v>0.39513888888888898</v>
      </c>
      <c r="D665" s="16">
        <v>79</v>
      </c>
      <c r="E665" s="11">
        <v>0.39583333333333298</v>
      </c>
      <c r="F665" s="11">
        <v>0.40650462962963002</v>
      </c>
      <c r="G665" s="16">
        <v>15</v>
      </c>
      <c r="J665" s="16"/>
      <c r="K665" s="9" t="s">
        <v>33</v>
      </c>
    </row>
    <row r="666" spans="1:11" ht="15" customHeight="1" x14ac:dyDescent="0.2">
      <c r="A666" s="10">
        <v>46260</v>
      </c>
      <c r="B666" s="11">
        <v>0.57012731481481504</v>
      </c>
      <c r="C666" s="11">
        <v>0.67708333333333304</v>
      </c>
      <c r="D666" s="16">
        <v>155</v>
      </c>
      <c r="G666" s="16"/>
      <c r="J666" s="16"/>
      <c r="K666" s="9" t="s">
        <v>28</v>
      </c>
    </row>
    <row r="667" spans="1:11" ht="15" customHeight="1" x14ac:dyDescent="0.2">
      <c r="A667" s="10">
        <v>46260</v>
      </c>
      <c r="B667" s="11">
        <v>0.43263888888888902</v>
      </c>
      <c r="C667" s="11">
        <v>0.45833333333333298</v>
      </c>
      <c r="D667" s="16">
        <v>37</v>
      </c>
      <c r="E667" s="11">
        <v>0.45902777777777798</v>
      </c>
      <c r="F667" s="11">
        <v>0.51736111111111105</v>
      </c>
      <c r="G667" s="16">
        <v>84</v>
      </c>
      <c r="J667" s="16"/>
      <c r="K667" s="9" t="s">
        <v>49</v>
      </c>
    </row>
    <row r="668" spans="1:11" ht="15" customHeight="1" x14ac:dyDescent="0.2">
      <c r="A668" s="10">
        <v>46260</v>
      </c>
      <c r="B668" s="11">
        <v>0.40299768518518497</v>
      </c>
      <c r="C668" s="11">
        <v>0.43472222222222201</v>
      </c>
      <c r="D668" s="16">
        <v>46</v>
      </c>
      <c r="E668" s="11">
        <v>0.43472222222222201</v>
      </c>
      <c r="F668" s="11">
        <v>0.44166666666666698</v>
      </c>
      <c r="G668" s="16">
        <v>10</v>
      </c>
      <c r="J668" s="16"/>
      <c r="K668" s="9" t="s">
        <v>49</v>
      </c>
    </row>
    <row r="669" spans="1:11" ht="15" customHeight="1" x14ac:dyDescent="0.2">
      <c r="A669" s="10">
        <v>46260</v>
      </c>
      <c r="B669" s="11">
        <v>0.49756944444444401</v>
      </c>
      <c r="C669" s="11">
        <v>0.55138888888888904</v>
      </c>
      <c r="D669" s="16">
        <v>78</v>
      </c>
      <c r="E669" s="11">
        <v>0.55208333333333304</v>
      </c>
      <c r="F669" s="11">
        <v>0.56206018518518497</v>
      </c>
      <c r="G669" s="16">
        <v>14</v>
      </c>
      <c r="J669" s="16"/>
      <c r="K669" s="9" t="s">
        <v>49</v>
      </c>
    </row>
    <row r="670" spans="1:11" ht="15" customHeight="1" x14ac:dyDescent="0.2">
      <c r="A670" s="10">
        <v>46260</v>
      </c>
      <c r="B670" s="11">
        <v>0.67569444444444404</v>
      </c>
      <c r="C670" s="11">
        <v>0.71958333333333302</v>
      </c>
      <c r="D670" s="16">
        <v>63</v>
      </c>
      <c r="E670" s="11">
        <v>0.71960648148148099</v>
      </c>
      <c r="F670" s="11">
        <v>0.73195601851851899</v>
      </c>
      <c r="G670" s="16">
        <v>18</v>
      </c>
      <c r="J670" s="16"/>
      <c r="K670" s="9" t="s">
        <v>28</v>
      </c>
    </row>
    <row r="671" spans="1:11" ht="15" customHeight="1" x14ac:dyDescent="0.2">
      <c r="A671" s="10">
        <v>46260</v>
      </c>
      <c r="B671" s="11">
        <v>0.526053240740741</v>
      </c>
      <c r="C671" s="11">
        <v>0.53749999999999998</v>
      </c>
      <c r="D671" s="16">
        <v>17</v>
      </c>
      <c r="G671" s="16"/>
      <c r="H671" s="12">
        <v>0.55833333333333302</v>
      </c>
      <c r="I671" s="12">
        <v>0.625</v>
      </c>
      <c r="J671" s="16">
        <v>96</v>
      </c>
      <c r="K671" s="9" t="s">
        <v>28</v>
      </c>
    </row>
    <row r="672" spans="1:11" ht="15" customHeight="1" x14ac:dyDescent="0.2">
      <c r="A672" s="10">
        <v>46260</v>
      </c>
      <c r="B672" s="11">
        <v>0.36805555555555602</v>
      </c>
      <c r="C672" s="11">
        <v>0.38611111111111102</v>
      </c>
      <c r="D672" s="16">
        <v>26</v>
      </c>
      <c r="E672" s="11">
        <v>0.38611111111111102</v>
      </c>
      <c r="F672" s="11">
        <v>0.39930555555555602</v>
      </c>
      <c r="G672" s="16">
        <v>19</v>
      </c>
      <c r="J672" s="16"/>
      <c r="K672" s="9" t="s">
        <v>28</v>
      </c>
    </row>
    <row r="673" spans="1:11" ht="15" customHeight="1" x14ac:dyDescent="0.2">
      <c r="A673" s="10">
        <v>46260</v>
      </c>
      <c r="B673" s="11">
        <v>0.67174768518518502</v>
      </c>
      <c r="C673" s="11">
        <v>0.69722222222222197</v>
      </c>
      <c r="D673" s="16">
        <v>37</v>
      </c>
      <c r="G673" s="16"/>
      <c r="H673" s="12">
        <v>0.718055555555556</v>
      </c>
      <c r="I673" s="12">
        <v>0.76041666666666696</v>
      </c>
      <c r="J673" s="16">
        <v>61</v>
      </c>
      <c r="K673" s="9" t="s">
        <v>30</v>
      </c>
    </row>
    <row r="674" spans="1:11" ht="15" customHeight="1" x14ac:dyDescent="0.2">
      <c r="A674" s="10">
        <v>46260</v>
      </c>
      <c r="B674" s="11">
        <v>0.39697916666666699</v>
      </c>
      <c r="C674" s="11">
        <v>0.41797453703703702</v>
      </c>
      <c r="D674" s="16">
        <v>30</v>
      </c>
      <c r="E674" s="11">
        <v>0.417986111111111</v>
      </c>
      <c r="F674" s="11">
        <v>0.46935185185185202</v>
      </c>
      <c r="G674" s="16">
        <v>74</v>
      </c>
      <c r="J674" s="16"/>
      <c r="K674" s="9" t="s">
        <v>39</v>
      </c>
    </row>
    <row r="675" spans="1:11" ht="15" customHeight="1" x14ac:dyDescent="0.2">
      <c r="A675" s="10">
        <v>46260</v>
      </c>
      <c r="B675" s="11">
        <v>0.47835648148148102</v>
      </c>
      <c r="C675" s="11">
        <v>0.49954861111111099</v>
      </c>
      <c r="D675" s="16">
        <v>31</v>
      </c>
      <c r="E675" s="11">
        <v>0.5</v>
      </c>
      <c r="F675" s="11">
        <v>0.53973379629629603</v>
      </c>
      <c r="G675" s="16">
        <v>57</v>
      </c>
      <c r="J675" s="16"/>
      <c r="K675" s="9" t="s">
        <v>39</v>
      </c>
    </row>
    <row r="676" spans="1:11" ht="15" customHeight="1" x14ac:dyDescent="0.2">
      <c r="A676" s="10">
        <v>46260</v>
      </c>
      <c r="B676" s="11">
        <v>0.42037037037037001</v>
      </c>
      <c r="C676" s="11">
        <v>0.46875</v>
      </c>
      <c r="D676" s="16">
        <v>70</v>
      </c>
      <c r="E676" s="11">
        <v>0.46875</v>
      </c>
      <c r="F676" s="11">
        <v>0.48270833333333302</v>
      </c>
      <c r="G676" s="16">
        <v>20</v>
      </c>
      <c r="J676" s="16"/>
      <c r="K676" s="9" t="s">
        <v>28</v>
      </c>
    </row>
    <row r="677" spans="1:11" ht="15" customHeight="1" x14ac:dyDescent="0.2">
      <c r="A677" s="10">
        <v>46260</v>
      </c>
      <c r="B677" s="11">
        <v>0.61774305555555598</v>
      </c>
      <c r="C677" s="11">
        <v>0.67708333333333304</v>
      </c>
      <c r="D677" s="16">
        <v>86</v>
      </c>
      <c r="E677" s="11">
        <v>0.67708333333333304</v>
      </c>
      <c r="F677" s="11">
        <v>0.69814814814814796</v>
      </c>
      <c r="G677" s="16">
        <v>30</v>
      </c>
      <c r="J677" s="16"/>
      <c r="K677" s="9" t="s">
        <v>49</v>
      </c>
    </row>
    <row r="678" spans="1:11" ht="15" customHeight="1" x14ac:dyDescent="0.2">
      <c r="A678" s="10">
        <v>46260</v>
      </c>
      <c r="B678" s="11">
        <v>0.58252314814814798</v>
      </c>
      <c r="C678" s="11">
        <v>0.70902777777777803</v>
      </c>
      <c r="D678" s="16">
        <v>183</v>
      </c>
      <c r="E678" s="11">
        <v>0.70902777777777803</v>
      </c>
      <c r="F678" s="11">
        <v>0.73534722222222204</v>
      </c>
      <c r="G678" s="16">
        <v>37</v>
      </c>
      <c r="J678" s="16"/>
      <c r="K678" s="9" t="s">
        <v>49</v>
      </c>
    </row>
    <row r="679" spans="1:11" ht="15" customHeight="1" x14ac:dyDescent="0.2">
      <c r="A679" s="10">
        <v>46260</v>
      </c>
      <c r="B679" s="11">
        <v>0.49548611111111102</v>
      </c>
      <c r="C679" s="11">
        <v>0.52500000000000002</v>
      </c>
      <c r="D679" s="16">
        <v>43</v>
      </c>
      <c r="E679" s="11">
        <v>0.52500000000000002</v>
      </c>
      <c r="F679" s="11">
        <v>0.54166666666666696</v>
      </c>
      <c r="G679" s="16">
        <v>24</v>
      </c>
      <c r="J679" s="16"/>
      <c r="K679" s="9" t="s">
        <v>45</v>
      </c>
    </row>
    <row r="680" spans="1:11" ht="15" customHeight="1" x14ac:dyDescent="0.2">
      <c r="A680" s="10">
        <v>46260</v>
      </c>
      <c r="B680" s="11">
        <v>0.65486111111111101</v>
      </c>
      <c r="C680" s="11">
        <v>0.69722222222222197</v>
      </c>
      <c r="D680" s="16">
        <v>61</v>
      </c>
      <c r="E680" s="11">
        <v>0.69791666666666696</v>
      </c>
      <c r="F680" s="11">
        <v>0.73958333333333304</v>
      </c>
      <c r="G680" s="16">
        <v>60</v>
      </c>
      <c r="J680" s="16"/>
      <c r="K680" s="9" t="s">
        <v>28</v>
      </c>
    </row>
    <row r="681" spans="1:11" ht="15" customHeight="1" x14ac:dyDescent="0.2">
      <c r="A681" s="10">
        <v>46260</v>
      </c>
      <c r="B681" s="11">
        <v>0.34791666666666698</v>
      </c>
      <c r="C681" s="11">
        <v>0.375</v>
      </c>
      <c r="D681" s="16">
        <v>39</v>
      </c>
      <c r="E681" s="11">
        <v>0.38541666666666702</v>
      </c>
      <c r="F681" s="11">
        <v>0.42063657407407401</v>
      </c>
      <c r="G681" s="16">
        <v>50</v>
      </c>
      <c r="J681" s="16"/>
      <c r="K681" s="9" t="s">
        <v>49</v>
      </c>
    </row>
    <row r="682" spans="1:11" ht="15" customHeight="1" x14ac:dyDescent="0.2">
      <c r="A682" s="10">
        <v>46260</v>
      </c>
      <c r="B682" s="11">
        <v>0.69236111111111098</v>
      </c>
      <c r="C682" s="11">
        <v>0.72299768518518504</v>
      </c>
      <c r="D682" s="16">
        <v>44</v>
      </c>
      <c r="G682" s="16"/>
      <c r="H682" s="12">
        <v>0.723020833333333</v>
      </c>
      <c r="I682" s="12">
        <v>0.75</v>
      </c>
      <c r="J682" s="16">
        <v>39</v>
      </c>
      <c r="K682" s="9" t="s">
        <v>41</v>
      </c>
    </row>
    <row r="683" spans="1:11" ht="15" customHeight="1" x14ac:dyDescent="0.2">
      <c r="A683" s="10">
        <v>46260</v>
      </c>
      <c r="B683" s="11">
        <v>0.54861111111111105</v>
      </c>
      <c r="C683" s="11">
        <v>0.590173611111111</v>
      </c>
      <c r="D683" s="16">
        <v>59</v>
      </c>
      <c r="G683" s="16"/>
      <c r="J683" s="16"/>
      <c r="K683" s="9" t="s">
        <v>30</v>
      </c>
    </row>
    <row r="684" spans="1:11" ht="15" customHeight="1" x14ac:dyDescent="0.2">
      <c r="A684" s="10">
        <v>46260</v>
      </c>
      <c r="B684" s="11">
        <v>0.34027777777777801</v>
      </c>
      <c r="C684" s="11">
        <v>0.375694444444444</v>
      </c>
      <c r="D684" s="16">
        <v>51</v>
      </c>
      <c r="G684" s="16"/>
      <c r="J684" s="16"/>
      <c r="K684" s="9" t="s">
        <v>30</v>
      </c>
    </row>
    <row r="685" spans="1:11" ht="15" customHeight="1" x14ac:dyDescent="0.2">
      <c r="A685" s="10">
        <v>46260</v>
      </c>
      <c r="B685" s="11">
        <v>0.47466435185185202</v>
      </c>
      <c r="C685" s="11">
        <v>0.49027777777777798</v>
      </c>
      <c r="D685" s="16">
        <v>23</v>
      </c>
      <c r="G685" s="16"/>
      <c r="H685" s="12">
        <v>0.49027777777777798</v>
      </c>
      <c r="I685" s="12">
        <v>0.51041666666666696</v>
      </c>
      <c r="J685" s="16">
        <v>29</v>
      </c>
      <c r="K685" s="9" t="s">
        <v>28</v>
      </c>
    </row>
    <row r="686" spans="1:11" ht="15" customHeight="1" x14ac:dyDescent="0.2">
      <c r="A686" s="10">
        <v>46260</v>
      </c>
      <c r="B686" s="11">
        <v>0.70769675925925901</v>
      </c>
      <c r="C686" s="11">
        <v>0.73333333333333295</v>
      </c>
      <c r="D686" s="16">
        <v>37</v>
      </c>
      <c r="G686" s="16"/>
      <c r="J686" s="16"/>
      <c r="K686" s="9" t="s">
        <v>39</v>
      </c>
    </row>
    <row r="687" spans="1:11" ht="15" customHeight="1" x14ac:dyDescent="0.2">
      <c r="A687" s="10">
        <v>46260</v>
      </c>
      <c r="B687" s="11">
        <v>0.76458333333333295</v>
      </c>
      <c r="C687" s="11">
        <v>0.77430555555555602</v>
      </c>
      <c r="D687" s="16">
        <v>14</v>
      </c>
      <c r="G687" s="16"/>
      <c r="H687" s="12">
        <v>0.79513888888888895</v>
      </c>
      <c r="I687" s="12">
        <v>0.82638888888888895</v>
      </c>
      <c r="J687" s="16">
        <v>45</v>
      </c>
      <c r="K687" s="9" t="s">
        <v>39</v>
      </c>
    </row>
    <row r="688" spans="1:11" ht="15" customHeight="1" x14ac:dyDescent="0.2">
      <c r="A688" s="10">
        <v>46260</v>
      </c>
      <c r="B688" s="11">
        <v>0.57678240740740705</v>
      </c>
      <c r="C688" s="11">
        <v>0.60486111111111096</v>
      </c>
      <c r="D688" s="16">
        <v>41</v>
      </c>
      <c r="G688" s="16"/>
      <c r="H688" s="12">
        <v>0.625694444444444</v>
      </c>
      <c r="I688" s="12">
        <v>0.67916666666666703</v>
      </c>
      <c r="J688" s="16">
        <v>77</v>
      </c>
      <c r="K688" s="9" t="s">
        <v>47</v>
      </c>
    </row>
    <row r="689" spans="1:11" ht="15" customHeight="1" x14ac:dyDescent="0.2">
      <c r="A689" s="10">
        <v>46260</v>
      </c>
      <c r="B689" s="11">
        <v>0.33333333333333298</v>
      </c>
      <c r="C689" s="11">
        <v>0.34968749999999998</v>
      </c>
      <c r="D689" s="16">
        <v>23</v>
      </c>
      <c r="G689" s="16"/>
      <c r="H689" s="12">
        <v>0.35</v>
      </c>
      <c r="I689" s="12">
        <v>0.36111111111111099</v>
      </c>
      <c r="J689" s="16">
        <v>16</v>
      </c>
      <c r="K689" s="9" t="s">
        <v>30</v>
      </c>
    </row>
    <row r="690" spans="1:11" ht="15" customHeight="1" x14ac:dyDescent="0.2">
      <c r="A690" s="10">
        <v>46260</v>
      </c>
      <c r="B690" s="11">
        <v>0.51111111111111096</v>
      </c>
      <c r="C690" s="11">
        <v>0.54166666666666696</v>
      </c>
      <c r="D690" s="16">
        <v>44</v>
      </c>
      <c r="G690" s="16"/>
      <c r="J690" s="16"/>
      <c r="K690" s="9" t="s">
        <v>28</v>
      </c>
    </row>
    <row r="691" spans="1:11" ht="15" customHeight="1" x14ac:dyDescent="0.2">
      <c r="A691" s="10">
        <v>46260</v>
      </c>
      <c r="B691" s="11">
        <v>0.73750000000000004</v>
      </c>
      <c r="C691" s="11">
        <v>0.769664351851852</v>
      </c>
      <c r="D691" s="16">
        <v>46</v>
      </c>
      <c r="G691" s="16"/>
      <c r="J691" s="16"/>
      <c r="K691" s="9" t="s">
        <v>33</v>
      </c>
    </row>
    <row r="692" spans="1:11" ht="15" customHeight="1" x14ac:dyDescent="0.2">
      <c r="A692" s="10">
        <v>46260</v>
      </c>
      <c r="B692" s="11">
        <v>0.33511574074074102</v>
      </c>
      <c r="C692" s="11">
        <v>0.36249999999999999</v>
      </c>
      <c r="D692" s="16">
        <v>40</v>
      </c>
      <c r="G692" s="16"/>
      <c r="J692" s="16"/>
      <c r="K692" s="9" t="s">
        <v>33</v>
      </c>
    </row>
    <row r="693" spans="1:11" ht="15" customHeight="1" x14ac:dyDescent="0.2">
      <c r="A693" s="10">
        <v>46260</v>
      </c>
      <c r="B693" s="11">
        <v>0.61334490740740699</v>
      </c>
      <c r="C693" s="11">
        <v>0.66319444444444398</v>
      </c>
      <c r="D693" s="16">
        <v>72</v>
      </c>
      <c r="G693" s="16"/>
      <c r="J693" s="16"/>
      <c r="K693" s="9" t="s">
        <v>33</v>
      </c>
    </row>
    <row r="694" spans="1:11" ht="15" customHeight="1" x14ac:dyDescent="0.2">
      <c r="A694" s="10">
        <v>46260</v>
      </c>
      <c r="B694" s="11">
        <v>0.64238425925925902</v>
      </c>
      <c r="C694" s="11">
        <v>0.69513888888888897</v>
      </c>
      <c r="D694" s="16">
        <v>76</v>
      </c>
      <c r="G694" s="16"/>
      <c r="J694" s="16"/>
      <c r="K694" s="9" t="s">
        <v>47</v>
      </c>
    </row>
    <row r="695" spans="1:11" ht="15" customHeight="1" x14ac:dyDescent="0.2">
      <c r="A695" s="10">
        <v>46260</v>
      </c>
      <c r="B695" s="11">
        <v>0.28121527777777799</v>
      </c>
      <c r="C695" s="11">
        <v>0.29513888888888901</v>
      </c>
      <c r="D695" s="16">
        <v>21</v>
      </c>
      <c r="G695" s="16"/>
      <c r="H695" s="12">
        <v>0.295833333333333</v>
      </c>
      <c r="I695" s="12">
        <v>0.48611111111111099</v>
      </c>
      <c r="J695" s="16">
        <v>274</v>
      </c>
      <c r="K695" s="9" t="s">
        <v>33</v>
      </c>
    </row>
    <row r="696" spans="1:11" ht="15" customHeight="1" x14ac:dyDescent="0.2">
      <c r="A696" s="10">
        <v>46260</v>
      </c>
      <c r="B696" s="11">
        <v>0.57358796296296299</v>
      </c>
      <c r="C696" s="11">
        <v>0.60100694444444402</v>
      </c>
      <c r="D696" s="18">
        <v>40</v>
      </c>
    </row>
    <row r="697" spans="1:11" ht="15" customHeight="1" x14ac:dyDescent="0.2">
      <c r="A697" s="10">
        <v>46260</v>
      </c>
      <c r="B697" s="11">
        <v>0.84375</v>
      </c>
      <c r="C697" s="11">
        <v>0.90741898148148104</v>
      </c>
      <c r="D697" s="16">
        <v>91</v>
      </c>
      <c r="G697" s="16"/>
      <c r="J697" s="16"/>
      <c r="K697" s="9" t="s">
        <v>28</v>
      </c>
    </row>
    <row r="698" spans="1:11" ht="15" customHeight="1" x14ac:dyDescent="0.2">
      <c r="A698" s="10">
        <v>46260</v>
      </c>
      <c r="B698" s="11">
        <v>0.89883101851851899</v>
      </c>
      <c r="C698" s="11">
        <v>0.92101851851851901</v>
      </c>
      <c r="D698" s="16">
        <v>32</v>
      </c>
      <c r="G698" s="16"/>
      <c r="J698" s="16"/>
      <c r="K698" s="9" t="s">
        <v>28</v>
      </c>
    </row>
    <row r="699" spans="1:11" ht="15" customHeight="1" x14ac:dyDescent="0.2">
      <c r="A699" s="10">
        <v>46261</v>
      </c>
      <c r="B699" s="11">
        <v>0.41035879629629601</v>
      </c>
      <c r="C699" s="11">
        <v>0.43333333333333302</v>
      </c>
      <c r="D699" s="16">
        <v>34</v>
      </c>
      <c r="E699" s="11">
        <v>0.43333333333333302</v>
      </c>
      <c r="F699" s="11">
        <v>0.47083333333333299</v>
      </c>
      <c r="G699" s="16">
        <v>54</v>
      </c>
      <c r="J699" s="16"/>
      <c r="K699" s="9" t="s">
        <v>33</v>
      </c>
    </row>
    <row r="700" spans="1:11" ht="15" customHeight="1" x14ac:dyDescent="0.2">
      <c r="A700" s="10">
        <v>46261</v>
      </c>
      <c r="B700" s="11">
        <v>0.422106481481481</v>
      </c>
      <c r="C700" s="11">
        <v>0.44872685185185202</v>
      </c>
      <c r="D700" s="16">
        <v>39</v>
      </c>
      <c r="G700" s="16"/>
      <c r="H700" s="12">
        <v>0.44903935185185201</v>
      </c>
      <c r="I700" s="12">
        <v>0.54885416666666698</v>
      </c>
      <c r="J700" s="16">
        <v>144</v>
      </c>
      <c r="K700" s="9" t="s">
        <v>30</v>
      </c>
    </row>
    <row r="701" spans="1:11" ht="15" customHeight="1" x14ac:dyDescent="0.2">
      <c r="A701" s="10">
        <v>46261</v>
      </c>
      <c r="B701" s="11">
        <v>0.35858796296296302</v>
      </c>
      <c r="C701" s="11">
        <v>0.375</v>
      </c>
      <c r="D701" s="16">
        <v>24</v>
      </c>
      <c r="E701" s="11">
        <v>0.375694444444444</v>
      </c>
      <c r="F701" s="11">
        <v>0.38194444444444398</v>
      </c>
      <c r="G701" s="16">
        <v>9</v>
      </c>
      <c r="J701" s="16"/>
      <c r="K701" s="9" t="s">
        <v>28</v>
      </c>
    </row>
    <row r="702" spans="1:11" ht="15" customHeight="1" x14ac:dyDescent="0.2">
      <c r="A702" s="10">
        <v>46261</v>
      </c>
      <c r="B702" s="11">
        <v>0.44166666666666698</v>
      </c>
      <c r="C702" s="11">
        <v>0.61250000000000004</v>
      </c>
      <c r="D702" s="16">
        <v>246</v>
      </c>
      <c r="G702" s="16"/>
      <c r="J702" s="16"/>
      <c r="K702" s="9" t="s">
        <v>45</v>
      </c>
    </row>
    <row r="703" spans="1:11" ht="15" customHeight="1" x14ac:dyDescent="0.2">
      <c r="A703" s="10">
        <v>46261</v>
      </c>
      <c r="B703" s="11">
        <v>0.36800925925925898</v>
      </c>
      <c r="C703" s="11">
        <v>0.40486111111111101</v>
      </c>
      <c r="D703" s="16">
        <v>54</v>
      </c>
      <c r="E703" s="11">
        <v>0.40599537037036998</v>
      </c>
      <c r="F703" s="11">
        <v>0.40902777777777799</v>
      </c>
      <c r="G703" s="16">
        <v>5</v>
      </c>
      <c r="J703" s="16"/>
      <c r="K703" s="9" t="s">
        <v>45</v>
      </c>
    </row>
    <row r="704" spans="1:11" ht="15" customHeight="1" x14ac:dyDescent="0.2">
      <c r="A704" s="10">
        <v>46261</v>
      </c>
      <c r="B704" s="11">
        <v>0.41805555555555601</v>
      </c>
      <c r="C704" s="11">
        <v>0.44513888888888897</v>
      </c>
      <c r="D704" s="16">
        <v>39</v>
      </c>
      <c r="E704" s="11">
        <v>0.44583333333333303</v>
      </c>
      <c r="F704" s="11">
        <v>0.48611111111111099</v>
      </c>
      <c r="G704" s="16">
        <v>58</v>
      </c>
      <c r="J704" s="16"/>
      <c r="K704" s="9" t="s">
        <v>28</v>
      </c>
    </row>
    <row r="705" spans="1:11" ht="15" customHeight="1" x14ac:dyDescent="0.2">
      <c r="A705" s="10">
        <v>46261</v>
      </c>
      <c r="B705" s="11">
        <v>0.49097222222222198</v>
      </c>
      <c r="C705" s="11">
        <v>0.55138888888888904</v>
      </c>
      <c r="D705" s="16">
        <v>87</v>
      </c>
      <c r="E705" s="11">
        <v>0.55208333333333304</v>
      </c>
      <c r="F705" s="11">
        <v>0.58541666666666703</v>
      </c>
      <c r="G705" s="16">
        <v>48</v>
      </c>
      <c r="J705" s="16"/>
      <c r="K705" s="9" t="s">
        <v>28</v>
      </c>
    </row>
    <row r="706" spans="1:11" ht="15" customHeight="1" x14ac:dyDescent="0.2">
      <c r="A706" s="10">
        <v>46261</v>
      </c>
      <c r="B706" s="11">
        <v>0.67369212962962999</v>
      </c>
      <c r="C706" s="11">
        <v>0.688194444444444</v>
      </c>
      <c r="D706" s="16">
        <v>21</v>
      </c>
      <c r="E706" s="11">
        <v>0.68888888888888899</v>
      </c>
      <c r="F706" s="11">
        <v>0.73611111111111105</v>
      </c>
      <c r="G706" s="16">
        <v>68</v>
      </c>
      <c r="J706" s="16"/>
      <c r="K706" s="9" t="s">
        <v>28</v>
      </c>
    </row>
    <row r="707" spans="1:11" ht="15" customHeight="1" x14ac:dyDescent="0.2">
      <c r="A707" s="10">
        <v>46261</v>
      </c>
      <c r="B707" s="11">
        <v>0.57650462962963001</v>
      </c>
      <c r="C707" s="11">
        <v>0.594444444444444</v>
      </c>
      <c r="D707" s="16">
        <v>26</v>
      </c>
      <c r="G707" s="16"/>
      <c r="H707" s="12">
        <v>0.59513888888888899</v>
      </c>
      <c r="I707" s="12">
        <v>0.67013888888888895</v>
      </c>
      <c r="J707" s="16">
        <v>108</v>
      </c>
      <c r="K707" s="9" t="s">
        <v>28</v>
      </c>
    </row>
    <row r="708" spans="1:11" ht="15" customHeight="1" x14ac:dyDescent="0.2">
      <c r="A708" s="10">
        <v>46261</v>
      </c>
      <c r="B708" s="11">
        <v>0.39589120370370401</v>
      </c>
      <c r="C708" s="11">
        <v>0.413252314814815</v>
      </c>
      <c r="D708" s="16">
        <v>25</v>
      </c>
      <c r="E708" s="11">
        <v>0.41327546296296302</v>
      </c>
      <c r="F708" s="11">
        <v>0.42621527777777801</v>
      </c>
      <c r="G708" s="16">
        <v>18</v>
      </c>
      <c r="J708" s="16"/>
      <c r="K708" s="9" t="s">
        <v>28</v>
      </c>
    </row>
    <row r="709" spans="1:11" ht="15" customHeight="1" x14ac:dyDescent="0.2">
      <c r="A709" s="10">
        <v>46261</v>
      </c>
      <c r="B709" s="11">
        <v>0.72430555555555598</v>
      </c>
      <c r="C709" s="11">
        <v>0.76111111111111096</v>
      </c>
      <c r="D709" s="16">
        <v>53</v>
      </c>
      <c r="G709" s="16"/>
      <c r="H709" s="12">
        <v>0.76180555555555596</v>
      </c>
      <c r="I709" s="12">
        <v>0.81944444444444398</v>
      </c>
      <c r="J709" s="16">
        <v>83</v>
      </c>
      <c r="K709" s="9" t="s">
        <v>33</v>
      </c>
    </row>
    <row r="710" spans="1:11" ht="15" customHeight="1" x14ac:dyDescent="0.2">
      <c r="A710" s="10">
        <v>46261</v>
      </c>
      <c r="B710" s="11">
        <v>0.49074074074074098</v>
      </c>
      <c r="C710" s="11">
        <v>0.52083333333333304</v>
      </c>
      <c r="D710" s="16">
        <v>44</v>
      </c>
      <c r="E710" s="11">
        <v>0.52152777777777803</v>
      </c>
      <c r="F710" s="11">
        <v>0.53611111111111098</v>
      </c>
      <c r="G710" s="16">
        <v>21</v>
      </c>
      <c r="J710" s="16"/>
      <c r="K710" s="9" t="s">
        <v>45</v>
      </c>
    </row>
    <row r="711" spans="1:11" ht="15" customHeight="1" x14ac:dyDescent="0.2">
      <c r="A711" s="10">
        <v>46261</v>
      </c>
      <c r="B711" s="11">
        <v>0.50270833333333298</v>
      </c>
      <c r="C711" s="11">
        <v>0.52430555555555602</v>
      </c>
      <c r="D711" s="16">
        <v>32</v>
      </c>
      <c r="E711" s="11">
        <v>0.52500000000000002</v>
      </c>
      <c r="F711" s="11">
        <v>0.53370370370370401</v>
      </c>
      <c r="G711" s="16">
        <v>12</v>
      </c>
      <c r="J711" s="16"/>
      <c r="K711" s="9" t="s">
        <v>30</v>
      </c>
    </row>
    <row r="712" spans="1:11" ht="15" customHeight="1" x14ac:dyDescent="0.2">
      <c r="A712" s="10">
        <v>46261</v>
      </c>
      <c r="B712" s="11">
        <v>0.47401620370370401</v>
      </c>
      <c r="C712" s="11">
        <v>0.49707175925925901</v>
      </c>
      <c r="D712" s="16">
        <v>33</v>
      </c>
      <c r="G712" s="16"/>
      <c r="H712" s="12">
        <v>0.49652777777777801</v>
      </c>
      <c r="I712" s="12">
        <v>0.53819444444444398</v>
      </c>
      <c r="J712" s="16">
        <v>60</v>
      </c>
      <c r="K712" s="9" t="s">
        <v>33</v>
      </c>
    </row>
    <row r="713" spans="1:11" ht="15" customHeight="1" x14ac:dyDescent="0.2">
      <c r="A713" s="10">
        <v>46261</v>
      </c>
      <c r="B713" s="11">
        <v>0.81278935185185197</v>
      </c>
      <c r="C713" s="11">
        <v>0.82777777777777795</v>
      </c>
      <c r="D713" s="16">
        <v>22</v>
      </c>
      <c r="G713" s="16"/>
      <c r="H713" s="12">
        <v>0.82847222222222205</v>
      </c>
      <c r="I713" s="12">
        <v>0.85347222222222197</v>
      </c>
      <c r="J713" s="16">
        <v>36</v>
      </c>
      <c r="K713" s="9" t="s">
        <v>33</v>
      </c>
    </row>
    <row r="714" spans="1:11" ht="15" customHeight="1" x14ac:dyDescent="0.2">
      <c r="A714" s="10">
        <v>46261</v>
      </c>
      <c r="B714" s="11">
        <v>0.88687499999999997</v>
      </c>
      <c r="C714" s="11">
        <v>0.91736111111111096</v>
      </c>
      <c r="D714" s="16">
        <v>44</v>
      </c>
      <c r="G714" s="16"/>
      <c r="H714" s="12">
        <v>0.91805555555555596</v>
      </c>
      <c r="I714" s="12">
        <v>0.94236111111111098</v>
      </c>
      <c r="J714" s="16">
        <v>35</v>
      </c>
      <c r="K714" s="9" t="s">
        <v>33</v>
      </c>
    </row>
    <row r="715" spans="1:11" ht="15" customHeight="1" x14ac:dyDescent="0.2">
      <c r="A715" s="10">
        <v>46261</v>
      </c>
      <c r="B715" s="11">
        <v>0.50152777777777802</v>
      </c>
      <c r="C715" s="11">
        <v>0.57361111111111096</v>
      </c>
      <c r="D715" s="16">
        <v>104</v>
      </c>
      <c r="G715" s="16"/>
      <c r="J715" s="16"/>
      <c r="K715" s="9" t="s">
        <v>33</v>
      </c>
    </row>
    <row r="716" spans="1:11" ht="15" customHeight="1" x14ac:dyDescent="0.2">
      <c r="A716" s="10">
        <v>46261</v>
      </c>
      <c r="B716" s="11">
        <v>0.73591435185185206</v>
      </c>
      <c r="C716" s="11">
        <v>0.77152777777777803</v>
      </c>
      <c r="D716" s="16">
        <v>52</v>
      </c>
      <c r="E716" s="11">
        <v>0.77222222222222203</v>
      </c>
      <c r="F716" s="11">
        <v>0.79236111111111096</v>
      </c>
      <c r="G716" s="16">
        <v>29</v>
      </c>
      <c r="J716" s="16"/>
      <c r="K716" s="9" t="s">
        <v>33</v>
      </c>
    </row>
    <row r="717" spans="1:11" ht="15" customHeight="1" x14ac:dyDescent="0.2">
      <c r="A717" s="10">
        <v>46261</v>
      </c>
      <c r="B717" s="11">
        <v>0.360416666666667</v>
      </c>
      <c r="C717" s="11">
        <v>0.38472222222222202</v>
      </c>
      <c r="D717" s="16">
        <v>35</v>
      </c>
      <c r="E717" s="11">
        <v>0.38541666666666702</v>
      </c>
      <c r="F717" s="11">
        <v>0.420833333333333</v>
      </c>
      <c r="G717" s="16">
        <v>51</v>
      </c>
      <c r="J717" s="16"/>
      <c r="K717" s="9" t="s">
        <v>46</v>
      </c>
    </row>
    <row r="718" spans="1:11" ht="15" customHeight="1" x14ac:dyDescent="0.2">
      <c r="A718" s="10">
        <v>46261</v>
      </c>
      <c r="B718" s="11">
        <v>0.33883101851851899</v>
      </c>
      <c r="C718" s="11">
        <v>0.36527777777777798</v>
      </c>
      <c r="D718" s="16">
        <v>39</v>
      </c>
      <c r="E718" s="11">
        <v>0.36597222222222198</v>
      </c>
      <c r="F718" s="11">
        <v>0.38611111111111102</v>
      </c>
      <c r="G718" s="16">
        <v>29</v>
      </c>
      <c r="J718" s="16"/>
      <c r="K718" s="9" t="s">
        <v>33</v>
      </c>
    </row>
    <row r="719" spans="1:11" ht="15" customHeight="1" x14ac:dyDescent="0.2">
      <c r="A719" s="10">
        <v>46261</v>
      </c>
      <c r="B719" s="11">
        <v>0.74722222222222201</v>
      </c>
      <c r="C719" s="11">
        <v>0.75833333333333297</v>
      </c>
      <c r="D719" s="16">
        <v>16</v>
      </c>
      <c r="G719" s="16"/>
      <c r="H719" s="12">
        <v>0.75902777777777797</v>
      </c>
      <c r="I719" s="12">
        <v>0.82916666666666705</v>
      </c>
      <c r="J719" s="16">
        <v>101</v>
      </c>
      <c r="K719" s="9" t="s">
        <v>28</v>
      </c>
    </row>
    <row r="720" spans="1:11" ht="15" customHeight="1" x14ac:dyDescent="0.2">
      <c r="A720" s="10">
        <v>46261</v>
      </c>
      <c r="B720" s="11">
        <v>0.67847222222222203</v>
      </c>
      <c r="C720" s="11">
        <v>0.75064814814814795</v>
      </c>
      <c r="D720" s="16">
        <v>103</v>
      </c>
      <c r="E720" s="11">
        <v>0.75068287037036996</v>
      </c>
      <c r="F720" s="11">
        <v>0.76052083333333298</v>
      </c>
      <c r="G720" s="16">
        <v>15</v>
      </c>
      <c r="J720" s="16"/>
      <c r="K720" s="9" t="s">
        <v>28</v>
      </c>
    </row>
    <row r="721" spans="1:11" ht="15" customHeight="1" x14ac:dyDescent="0.2">
      <c r="A721" s="10">
        <v>46261</v>
      </c>
      <c r="B721" s="11">
        <v>0.48819444444444399</v>
      </c>
      <c r="C721" s="11">
        <v>0.51111111111111096</v>
      </c>
      <c r="D721" s="16">
        <v>33</v>
      </c>
      <c r="E721" s="11">
        <v>0.51180555555555596</v>
      </c>
      <c r="F721" s="11">
        <v>0.55416666666666703</v>
      </c>
      <c r="G721" s="16">
        <v>61</v>
      </c>
      <c r="J721" s="16"/>
      <c r="K721" s="9" t="s">
        <v>39</v>
      </c>
    </row>
    <row r="722" spans="1:11" ht="15" customHeight="1" x14ac:dyDescent="0.2">
      <c r="A722" s="10">
        <v>46261</v>
      </c>
      <c r="B722" s="11">
        <v>0.55505787037037002</v>
      </c>
      <c r="C722" s="11">
        <v>0.59097222222222201</v>
      </c>
      <c r="D722" s="16">
        <v>52</v>
      </c>
      <c r="E722" s="11">
        <v>0.59097222222222201</v>
      </c>
      <c r="F722" s="11">
        <v>0.60486111111111096</v>
      </c>
      <c r="G722" s="16">
        <v>20</v>
      </c>
      <c r="J722" s="16"/>
      <c r="K722" s="9" t="s">
        <v>30</v>
      </c>
    </row>
    <row r="723" spans="1:11" ht="15" customHeight="1" x14ac:dyDescent="0.2">
      <c r="A723" s="10">
        <v>46261</v>
      </c>
      <c r="B723" s="11">
        <v>0.63005787037036998</v>
      </c>
      <c r="C723" s="11">
        <v>0.6875</v>
      </c>
      <c r="D723" s="16">
        <v>83</v>
      </c>
      <c r="G723" s="16"/>
      <c r="J723" s="16"/>
      <c r="K723" s="9" t="s">
        <v>47</v>
      </c>
    </row>
    <row r="724" spans="1:11" ht="15" customHeight="1" x14ac:dyDescent="0.2">
      <c r="A724" s="10">
        <v>46261</v>
      </c>
      <c r="B724" s="11">
        <v>0.34375</v>
      </c>
      <c r="C724" s="11">
        <v>0.38355324074074099</v>
      </c>
      <c r="D724" s="16">
        <v>57</v>
      </c>
      <c r="E724" s="11">
        <v>0.38358796296296299</v>
      </c>
      <c r="F724" s="11">
        <v>0.38700231481481501</v>
      </c>
      <c r="G724" s="16">
        <v>5</v>
      </c>
      <c r="J724" s="16"/>
      <c r="K724" s="9" t="s">
        <v>33</v>
      </c>
    </row>
    <row r="725" spans="1:11" ht="15" customHeight="1" x14ac:dyDescent="0.2">
      <c r="A725" s="10">
        <v>46261</v>
      </c>
      <c r="B725" s="11">
        <v>0.76113425925925904</v>
      </c>
      <c r="C725" s="11">
        <v>0.79791666666666705</v>
      </c>
      <c r="D725" s="16">
        <v>53</v>
      </c>
      <c r="G725" s="16"/>
      <c r="J725" s="16"/>
      <c r="K725" s="9" t="s">
        <v>28</v>
      </c>
    </row>
    <row r="726" spans="1:11" ht="15" customHeight="1" x14ac:dyDescent="0.2">
      <c r="A726" s="10">
        <v>46261</v>
      </c>
      <c r="B726" s="11">
        <v>0.73650462962963004</v>
      </c>
      <c r="C726" s="11">
        <v>0.8125</v>
      </c>
      <c r="D726" s="16">
        <v>110</v>
      </c>
      <c r="G726" s="16"/>
      <c r="J726" s="16"/>
      <c r="K726" s="9" t="s">
        <v>30</v>
      </c>
    </row>
    <row r="727" spans="1:11" ht="15" customHeight="1" x14ac:dyDescent="0.2">
      <c r="A727" s="10">
        <v>46261</v>
      </c>
      <c r="B727" s="11">
        <v>0.61597222222222203</v>
      </c>
      <c r="C727" s="11">
        <v>0.64652777777777803</v>
      </c>
      <c r="D727" s="16">
        <v>44</v>
      </c>
      <c r="G727" s="16"/>
      <c r="J727" s="16"/>
      <c r="K727" s="9" t="s">
        <v>28</v>
      </c>
    </row>
    <row r="728" spans="1:11" ht="15" customHeight="1" x14ac:dyDescent="0.2">
      <c r="A728" s="10">
        <v>46261</v>
      </c>
      <c r="B728" s="11">
        <v>0.89236111111111105</v>
      </c>
      <c r="C728" s="11">
        <v>6.5972222222222196E-2</v>
      </c>
      <c r="D728" s="16">
        <v>250</v>
      </c>
      <c r="G728" s="16"/>
      <c r="J728" s="16"/>
      <c r="K728" s="9" t="s">
        <v>28</v>
      </c>
    </row>
    <row r="729" spans="1:11" ht="15" customHeight="1" x14ac:dyDescent="0.2">
      <c r="A729" s="10">
        <v>46261</v>
      </c>
      <c r="B729" s="11">
        <v>0.42883101851851901</v>
      </c>
      <c r="C729" s="11">
        <v>0.469444444444444</v>
      </c>
      <c r="D729" s="16">
        <v>59</v>
      </c>
      <c r="G729" s="16"/>
      <c r="H729" s="12">
        <v>0.47013888888888899</v>
      </c>
      <c r="I729" s="12">
        <v>0.48958333333333298</v>
      </c>
      <c r="J729" s="16">
        <v>28</v>
      </c>
      <c r="K729" s="9" t="s">
        <v>30</v>
      </c>
    </row>
    <row r="730" spans="1:11" ht="15" customHeight="1" x14ac:dyDescent="0.2">
      <c r="A730" s="10">
        <v>46261</v>
      </c>
      <c r="B730" s="11">
        <v>0.57319444444444401</v>
      </c>
      <c r="C730" s="11">
        <v>0.615034722222222</v>
      </c>
      <c r="D730" s="16">
        <v>60</v>
      </c>
      <c r="G730" s="16"/>
      <c r="J730" s="16"/>
      <c r="K730" s="9" t="s">
        <v>30</v>
      </c>
    </row>
    <row r="731" spans="1:11" ht="15" customHeight="1" x14ac:dyDescent="0.2">
      <c r="A731" s="10">
        <v>46261</v>
      </c>
      <c r="B731" s="11">
        <v>0.68831018518518505</v>
      </c>
      <c r="C731" s="11">
        <v>0.70833333333333304</v>
      </c>
      <c r="D731" s="16">
        <v>29</v>
      </c>
      <c r="E731" s="11">
        <v>0.70902777777777803</v>
      </c>
      <c r="G731" s="16"/>
      <c r="J731" s="16"/>
      <c r="K731" s="9" t="s">
        <v>33</v>
      </c>
    </row>
    <row r="732" spans="1:11" ht="15" customHeight="1" x14ac:dyDescent="0.2">
      <c r="A732" s="10">
        <v>46261</v>
      </c>
      <c r="E732" s="11">
        <v>0.44166666666666698</v>
      </c>
      <c r="F732" s="11">
        <v>0.52671296296296299</v>
      </c>
      <c r="G732" s="18">
        <v>122</v>
      </c>
    </row>
    <row r="733" spans="1:11" ht="15" customHeight="1" x14ac:dyDescent="0.2">
      <c r="A733" s="10">
        <v>46261</v>
      </c>
      <c r="E733" s="11">
        <v>0.44097222222222199</v>
      </c>
      <c r="F733" s="11">
        <v>0.51458333333333295</v>
      </c>
      <c r="G733" s="18">
        <v>106</v>
      </c>
    </row>
    <row r="734" spans="1:11" ht="15" customHeight="1" x14ac:dyDescent="0.2">
      <c r="A734" s="10">
        <v>46261</v>
      </c>
      <c r="B734" s="11">
        <v>0.48749999999999999</v>
      </c>
      <c r="C734" s="11">
        <v>0.51249999999999996</v>
      </c>
      <c r="D734" s="16">
        <v>36</v>
      </c>
      <c r="G734" s="16"/>
      <c r="J734" s="16"/>
      <c r="K734" s="9" t="s">
        <v>28</v>
      </c>
    </row>
    <row r="735" spans="1:11" ht="15" customHeight="1" x14ac:dyDescent="0.2">
      <c r="A735" s="10">
        <v>46261</v>
      </c>
      <c r="B735" s="11">
        <v>0.57777777777777795</v>
      </c>
      <c r="C735" s="11">
        <v>0.61250000000000004</v>
      </c>
      <c r="D735" s="18">
        <v>50</v>
      </c>
    </row>
    <row r="736" spans="1:11" ht="15" customHeight="1" x14ac:dyDescent="0.2">
      <c r="A736" s="10">
        <v>46261</v>
      </c>
      <c r="B736" s="11">
        <v>0.91438657407407398</v>
      </c>
      <c r="C736" s="11">
        <v>0.97708333333333297</v>
      </c>
      <c r="D736" s="16">
        <v>91</v>
      </c>
      <c r="G736" s="16"/>
      <c r="J736" s="16"/>
      <c r="K736" s="9" t="s">
        <v>37</v>
      </c>
    </row>
    <row r="737" spans="1:11" ht="15" customHeight="1" x14ac:dyDescent="0.2">
      <c r="A737" s="10">
        <v>46261</v>
      </c>
      <c r="B737" s="11">
        <v>0.74328703703703702</v>
      </c>
      <c r="C737" s="11">
        <v>0.76450231481481501</v>
      </c>
      <c r="D737" s="16">
        <v>30</v>
      </c>
      <c r="G737" s="16"/>
      <c r="H737" s="12">
        <v>0.76472222222222197</v>
      </c>
      <c r="I737" s="12">
        <v>0.81599537037036995</v>
      </c>
      <c r="J737" s="16">
        <v>74</v>
      </c>
      <c r="K737" s="9" t="s">
        <v>28</v>
      </c>
    </row>
    <row r="738" spans="1:11" ht="15" customHeight="1" x14ac:dyDescent="0.2">
      <c r="A738" s="10">
        <v>46261</v>
      </c>
      <c r="B738" s="11">
        <v>0.96892361111111103</v>
      </c>
      <c r="C738" s="11">
        <v>0.50902777777777797</v>
      </c>
      <c r="D738" s="16">
        <v>778</v>
      </c>
      <c r="G738" s="16"/>
      <c r="J738" s="16"/>
      <c r="K738" s="9" t="s">
        <v>28</v>
      </c>
    </row>
    <row r="739" spans="1:11" ht="15" customHeight="1" x14ac:dyDescent="0.2">
      <c r="A739" s="10">
        <v>46261</v>
      </c>
      <c r="B739" s="11">
        <v>0.59862268518518502</v>
      </c>
      <c r="C739" s="11">
        <v>0.69722222222222197</v>
      </c>
      <c r="D739" s="16">
        <v>142</v>
      </c>
      <c r="E739" s="11">
        <v>0.69791666666666696</v>
      </c>
      <c r="F739" s="11">
        <v>0.70625000000000004</v>
      </c>
      <c r="G739" s="16">
        <v>12</v>
      </c>
      <c r="J739" s="16"/>
      <c r="K739" s="9" t="s">
        <v>33</v>
      </c>
    </row>
    <row r="740" spans="1:11" ht="15" customHeight="1" x14ac:dyDescent="0.2">
      <c r="A740" s="10">
        <v>46262</v>
      </c>
      <c r="B740" s="11">
        <v>0.44166666666666698</v>
      </c>
      <c r="C740" s="11">
        <v>0.500694444444444</v>
      </c>
      <c r="D740" s="16">
        <v>85</v>
      </c>
      <c r="G740" s="16"/>
      <c r="H740" s="12">
        <v>0.50138888888888899</v>
      </c>
      <c r="I740" s="12">
        <v>0.57499999999999996</v>
      </c>
      <c r="J740" s="16">
        <v>106</v>
      </c>
      <c r="K740" s="9" t="s">
        <v>30</v>
      </c>
    </row>
    <row r="741" spans="1:11" ht="15" customHeight="1" x14ac:dyDescent="0.2">
      <c r="A741" s="10">
        <v>46262</v>
      </c>
      <c r="B741" s="11">
        <v>0.44863425925925898</v>
      </c>
      <c r="C741" s="11">
        <v>0.47916666666666702</v>
      </c>
      <c r="D741" s="16">
        <v>44</v>
      </c>
      <c r="E741" s="11">
        <v>0.47986111111111102</v>
      </c>
      <c r="F741" s="11">
        <v>0.59236111111111101</v>
      </c>
      <c r="G741" s="16">
        <v>162</v>
      </c>
      <c r="J741" s="16"/>
      <c r="K741" s="9" t="s">
        <v>37</v>
      </c>
    </row>
    <row r="742" spans="1:11" ht="15" customHeight="1" x14ac:dyDescent="0.2">
      <c r="A742" s="10">
        <v>46262</v>
      </c>
      <c r="B742" s="11">
        <v>0.443043981481481</v>
      </c>
      <c r="C742" s="11">
        <v>0.44930555555555601</v>
      </c>
      <c r="D742" s="16">
        <v>10</v>
      </c>
      <c r="G742" s="16"/>
      <c r="H742" s="12">
        <v>0.45</v>
      </c>
      <c r="I742" s="12">
        <v>0.52361111111111103</v>
      </c>
      <c r="J742" s="16">
        <v>106</v>
      </c>
      <c r="K742" s="9" t="s">
        <v>33</v>
      </c>
    </row>
    <row r="743" spans="1:11" ht="15" customHeight="1" x14ac:dyDescent="0.2">
      <c r="A743" s="10">
        <v>46262</v>
      </c>
      <c r="B743" s="11">
        <v>0.35277777777777802</v>
      </c>
      <c r="C743" s="11">
        <v>0.38194444444444398</v>
      </c>
      <c r="D743" s="16">
        <v>42</v>
      </c>
      <c r="E743" s="11">
        <v>0.38263888888888897</v>
      </c>
      <c r="F743" s="11">
        <v>0.39583333333333298</v>
      </c>
      <c r="G743" s="16">
        <v>19</v>
      </c>
      <c r="J743" s="16"/>
      <c r="K743" s="9" t="s">
        <v>39</v>
      </c>
    </row>
    <row r="744" spans="1:11" ht="15" customHeight="1" x14ac:dyDescent="0.2">
      <c r="A744" s="10">
        <v>46262</v>
      </c>
      <c r="B744" s="11">
        <v>0.41041666666666698</v>
      </c>
      <c r="C744" s="11">
        <v>0.42777777777777798</v>
      </c>
      <c r="D744" s="16">
        <v>25</v>
      </c>
      <c r="E744" s="11">
        <v>0.42847222222222198</v>
      </c>
      <c r="F744" s="11">
        <v>0.436805555555556</v>
      </c>
      <c r="G744" s="16">
        <v>12</v>
      </c>
      <c r="J744" s="16"/>
      <c r="K744" s="9" t="s">
        <v>39</v>
      </c>
    </row>
    <row r="745" spans="1:11" ht="15" customHeight="1" x14ac:dyDescent="0.2">
      <c r="A745" s="10">
        <v>46262</v>
      </c>
      <c r="B745" s="11">
        <v>0.56805555555555598</v>
      </c>
      <c r="C745" s="11">
        <v>0.58750000000000002</v>
      </c>
      <c r="D745" s="16">
        <v>28</v>
      </c>
      <c r="E745" s="11">
        <v>0.58819444444444402</v>
      </c>
      <c r="F745" s="11">
        <v>0.60972222222222205</v>
      </c>
      <c r="G745" s="16">
        <v>31</v>
      </c>
      <c r="J745" s="16"/>
      <c r="K745" s="9" t="s">
        <v>33</v>
      </c>
    </row>
    <row r="746" spans="1:11" ht="15" customHeight="1" x14ac:dyDescent="0.2">
      <c r="A746" s="10">
        <v>46262</v>
      </c>
      <c r="B746" s="11">
        <v>0.514930555555556</v>
      </c>
      <c r="C746" s="11">
        <v>0.58333333333333304</v>
      </c>
      <c r="D746" s="16">
        <v>99</v>
      </c>
      <c r="E746" s="11">
        <v>0.58402777777777803</v>
      </c>
      <c r="F746" s="11">
        <v>0.61527777777777803</v>
      </c>
      <c r="G746" s="16">
        <v>45</v>
      </c>
      <c r="J746" s="16"/>
      <c r="K746" s="9" t="s">
        <v>33</v>
      </c>
    </row>
    <row r="747" spans="1:11" ht="15" customHeight="1" x14ac:dyDescent="0.2">
      <c r="A747" s="10">
        <v>46262</v>
      </c>
      <c r="B747" s="11">
        <v>0.48278935185185201</v>
      </c>
      <c r="C747" s="11">
        <v>0.500694444444444</v>
      </c>
      <c r="D747" s="16">
        <v>26</v>
      </c>
      <c r="E747" s="11">
        <v>0.50138888888888899</v>
      </c>
      <c r="F747" s="11">
        <v>0.51666666666666705</v>
      </c>
      <c r="G747" s="16">
        <v>22</v>
      </c>
      <c r="J747" s="16"/>
      <c r="K747" s="9" t="s">
        <v>39</v>
      </c>
    </row>
    <row r="748" spans="1:11" ht="15" customHeight="1" x14ac:dyDescent="0.2">
      <c r="A748" s="10">
        <v>46262</v>
      </c>
      <c r="B748" s="11">
        <v>0.55820601851851803</v>
      </c>
      <c r="C748" s="11">
        <v>0.57291666666666696</v>
      </c>
      <c r="D748" s="16">
        <v>22</v>
      </c>
      <c r="E748" s="11">
        <v>0.57361111111111096</v>
      </c>
      <c r="F748" s="11">
        <v>0.61458333333333304</v>
      </c>
      <c r="G748" s="16">
        <v>59</v>
      </c>
      <c r="J748" s="16"/>
      <c r="K748" s="9" t="s">
        <v>39</v>
      </c>
    </row>
    <row r="749" spans="1:11" ht="15" customHeight="1" x14ac:dyDescent="0.2">
      <c r="A749" s="10">
        <v>46262</v>
      </c>
      <c r="B749" s="11">
        <v>0.64722222222222203</v>
      </c>
      <c r="C749" s="11">
        <v>0.66666666666666696</v>
      </c>
      <c r="D749" s="16">
        <v>28</v>
      </c>
      <c r="E749" s="11">
        <v>0.66736111111111096</v>
      </c>
      <c r="F749" s="11">
        <v>0.6875</v>
      </c>
      <c r="G749" s="16">
        <v>29</v>
      </c>
      <c r="J749" s="16"/>
      <c r="K749" s="9" t="s">
        <v>33</v>
      </c>
    </row>
    <row r="750" spans="1:11" ht="15" customHeight="1" x14ac:dyDescent="0.2">
      <c r="A750" s="10">
        <v>46262</v>
      </c>
      <c r="B750" s="11">
        <v>0.64356481481481498</v>
      </c>
      <c r="C750" s="11">
        <v>0.70555555555555605</v>
      </c>
      <c r="D750" s="16">
        <v>90</v>
      </c>
      <c r="G750" s="16"/>
      <c r="J750" s="16"/>
      <c r="K750" s="9" t="s">
        <v>28</v>
      </c>
    </row>
    <row r="751" spans="1:11" ht="15" customHeight="1" x14ac:dyDescent="0.2">
      <c r="A751" s="10">
        <v>46262</v>
      </c>
      <c r="B751" s="11">
        <v>0.76974537037037005</v>
      </c>
      <c r="C751" s="11">
        <v>0.83750000000000002</v>
      </c>
      <c r="D751" s="16">
        <v>98</v>
      </c>
      <c r="G751" s="16"/>
      <c r="J751" s="16"/>
      <c r="K751" s="9" t="s">
        <v>30</v>
      </c>
    </row>
    <row r="752" spans="1:11" ht="15" customHeight="1" x14ac:dyDescent="0.2">
      <c r="A752" s="10">
        <v>46262</v>
      </c>
      <c r="B752" s="11">
        <v>0.35569444444444398</v>
      </c>
      <c r="C752" s="11">
        <v>0.375694444444444</v>
      </c>
      <c r="D752" s="16">
        <v>29</v>
      </c>
      <c r="E752" s="11">
        <v>0.375694444444444</v>
      </c>
      <c r="F752" s="11">
        <v>0.40972222222222199</v>
      </c>
      <c r="G752" s="16">
        <v>49</v>
      </c>
      <c r="J752" s="16"/>
      <c r="K752" s="9" t="s">
        <v>45</v>
      </c>
    </row>
    <row r="753" spans="1:11" ht="15" customHeight="1" x14ac:dyDescent="0.2">
      <c r="A753" s="10">
        <v>46262</v>
      </c>
      <c r="B753" s="11">
        <v>0.46565972222222202</v>
      </c>
      <c r="C753" s="11">
        <v>0.48680555555555599</v>
      </c>
      <c r="D753" s="16">
        <v>31</v>
      </c>
      <c r="G753" s="16"/>
      <c r="H753" s="12">
        <v>0.48749999999999999</v>
      </c>
      <c r="I753" s="12">
        <v>0.65277777777777801</v>
      </c>
      <c r="J753" s="16">
        <v>238</v>
      </c>
      <c r="K753" s="9" t="s">
        <v>28</v>
      </c>
    </row>
    <row r="754" spans="1:11" ht="15" customHeight="1" x14ac:dyDescent="0.2">
      <c r="A754" s="10">
        <v>46262</v>
      </c>
      <c r="B754" s="11">
        <v>0.52083333333333304</v>
      </c>
      <c r="C754" s="11">
        <v>0.53888888888888897</v>
      </c>
      <c r="D754" s="16">
        <v>26</v>
      </c>
      <c r="G754" s="16"/>
      <c r="H754" s="12">
        <v>0.53958333333333297</v>
      </c>
      <c r="I754" s="12">
        <v>0.55347222222222203</v>
      </c>
      <c r="J754" s="16">
        <v>20</v>
      </c>
      <c r="K754" s="9" t="s">
        <v>47</v>
      </c>
    </row>
    <row r="755" spans="1:11" ht="15" customHeight="1" x14ac:dyDescent="0.2">
      <c r="A755" s="10">
        <v>46262</v>
      </c>
      <c r="B755" s="11">
        <v>0.57430555555555596</v>
      </c>
      <c r="C755" s="11">
        <v>0.65763888888888899</v>
      </c>
      <c r="D755" s="16">
        <v>120</v>
      </c>
      <c r="G755" s="16"/>
      <c r="J755" s="16"/>
      <c r="K755" s="9" t="s">
        <v>28</v>
      </c>
    </row>
    <row r="756" spans="1:11" ht="15" customHeight="1" x14ac:dyDescent="0.2">
      <c r="A756" s="10">
        <v>46262</v>
      </c>
      <c r="B756" s="11">
        <v>0.40085648148148201</v>
      </c>
      <c r="C756" s="11">
        <v>0.43333333333333302</v>
      </c>
      <c r="D756" s="16">
        <v>47</v>
      </c>
      <c r="G756" s="16"/>
      <c r="H756" s="12">
        <v>0.43402777777777801</v>
      </c>
      <c r="I756" s="12">
        <v>0.46180555555555602</v>
      </c>
      <c r="J756" s="16">
        <v>40</v>
      </c>
      <c r="K756" s="9" t="s">
        <v>30</v>
      </c>
    </row>
    <row r="757" spans="1:11" ht="15" customHeight="1" x14ac:dyDescent="0.2">
      <c r="A757" s="10">
        <v>46262</v>
      </c>
      <c r="B757" s="11">
        <v>0.49166666666666697</v>
      </c>
      <c r="C757" s="11">
        <v>0.54374999999999996</v>
      </c>
      <c r="D757" s="16">
        <v>75</v>
      </c>
      <c r="G757" s="16"/>
      <c r="J757" s="16"/>
      <c r="K757" s="9" t="s">
        <v>30</v>
      </c>
    </row>
    <row r="758" spans="1:11" ht="15" customHeight="1" x14ac:dyDescent="0.2">
      <c r="A758" s="10">
        <v>46262</v>
      </c>
      <c r="B758" s="11">
        <v>0.55008101851851898</v>
      </c>
      <c r="C758" s="11">
        <v>0.57013888888888897</v>
      </c>
      <c r="D758" s="16">
        <v>29</v>
      </c>
      <c r="G758" s="16"/>
      <c r="H758" s="12">
        <v>0.57083333333333297</v>
      </c>
      <c r="I758" s="12">
        <v>0.58888888888888902</v>
      </c>
      <c r="J758" s="16">
        <v>26</v>
      </c>
      <c r="K758" s="9" t="s">
        <v>28</v>
      </c>
    </row>
    <row r="759" spans="1:11" ht="15" customHeight="1" x14ac:dyDescent="0.2">
      <c r="A759" s="10">
        <v>46262</v>
      </c>
      <c r="E759" s="11">
        <v>0.40833333333333299</v>
      </c>
      <c r="F759" s="11">
        <v>0.45555555555555599</v>
      </c>
      <c r="G759" s="18">
        <v>68</v>
      </c>
    </row>
    <row r="760" spans="1:11" ht="15" customHeight="1" x14ac:dyDescent="0.2">
      <c r="A760" s="10">
        <v>46262</v>
      </c>
      <c r="B760" s="11">
        <v>0.60624999999999996</v>
      </c>
      <c r="C760" s="11">
        <v>0.63611111111111096</v>
      </c>
      <c r="D760" s="16">
        <v>43</v>
      </c>
      <c r="G760" s="16"/>
      <c r="H760" s="12">
        <v>0.63680555555555596</v>
      </c>
      <c r="I760" s="12">
        <v>0.66249999999999998</v>
      </c>
      <c r="J760" s="16">
        <v>37</v>
      </c>
      <c r="K760" s="9" t="s">
        <v>30</v>
      </c>
    </row>
    <row r="761" spans="1:11" ht="15" customHeight="1" x14ac:dyDescent="0.2">
      <c r="A761" s="10">
        <v>46262</v>
      </c>
      <c r="E761" s="11">
        <v>0.45972222222222198</v>
      </c>
      <c r="F761" s="11">
        <v>0.54861111111111105</v>
      </c>
      <c r="G761" s="18">
        <v>128</v>
      </c>
    </row>
    <row r="762" spans="1:11" ht="15" customHeight="1" x14ac:dyDescent="0.2">
      <c r="A762" s="10">
        <v>46262</v>
      </c>
      <c r="E762" s="11">
        <v>0.63541666666666696</v>
      </c>
      <c r="F762" s="11">
        <v>0.70902777777777803</v>
      </c>
      <c r="G762" s="18">
        <v>106</v>
      </c>
    </row>
    <row r="763" spans="1:11" ht="15" customHeight="1" x14ac:dyDescent="0.2">
      <c r="A763" s="10">
        <v>46262</v>
      </c>
      <c r="B763" s="11">
        <v>0.69112268518518505</v>
      </c>
      <c r="C763" s="11">
        <v>0.76805555555555605</v>
      </c>
      <c r="D763" s="16">
        <v>111</v>
      </c>
      <c r="G763" s="16"/>
      <c r="J763" s="16"/>
      <c r="K763" s="9" t="s">
        <v>28</v>
      </c>
    </row>
    <row r="764" spans="1:11" ht="15" customHeight="1" x14ac:dyDescent="0.2">
      <c r="A764" s="10">
        <v>46262</v>
      </c>
      <c r="B764" s="11">
        <v>0.76366898148148099</v>
      </c>
      <c r="C764" s="11">
        <v>0.79236111111111096</v>
      </c>
      <c r="D764" s="16">
        <v>42</v>
      </c>
      <c r="G764" s="16"/>
      <c r="H764" s="12">
        <v>0.79305555555555596</v>
      </c>
      <c r="I764" s="12">
        <v>0.82083333333333297</v>
      </c>
      <c r="J764" s="16">
        <v>40</v>
      </c>
      <c r="K764" s="9" t="s">
        <v>28</v>
      </c>
    </row>
    <row r="765" spans="1:11" ht="15" customHeight="1" x14ac:dyDescent="0.2">
      <c r="A765" s="10">
        <v>46262</v>
      </c>
      <c r="B765" s="11">
        <v>0.57986111111111105</v>
      </c>
      <c r="C765" s="11">
        <v>0.594444444444444</v>
      </c>
      <c r="D765" s="18">
        <v>21</v>
      </c>
      <c r="H765" s="12">
        <v>0.594444444444444</v>
      </c>
      <c r="I765" s="12">
        <v>0.56944444444444398</v>
      </c>
      <c r="J765" s="18">
        <v>-36</v>
      </c>
    </row>
    <row r="766" spans="1:11" ht="15" customHeight="1" x14ac:dyDescent="0.2">
      <c r="A766" s="10">
        <v>46263</v>
      </c>
      <c r="B766" s="11">
        <v>0.40972222222222199</v>
      </c>
      <c r="C766" s="11">
        <v>0.42777777777777798</v>
      </c>
      <c r="D766" s="16">
        <v>26</v>
      </c>
      <c r="G766" s="16"/>
      <c r="H766" s="12">
        <v>0.42777777777777798</v>
      </c>
      <c r="I766" s="12">
        <v>0.44791666666666702</v>
      </c>
      <c r="J766" s="16">
        <v>29</v>
      </c>
      <c r="K766" s="9" t="s">
        <v>32</v>
      </c>
    </row>
    <row r="767" spans="1:11" ht="15" customHeight="1" x14ac:dyDescent="0.2">
      <c r="A767" s="10">
        <v>46263</v>
      </c>
      <c r="B767" s="11">
        <v>0.38268518518518502</v>
      </c>
      <c r="C767" s="11">
        <v>0.407523148148148</v>
      </c>
      <c r="D767" s="16">
        <v>35</v>
      </c>
      <c r="G767" s="16"/>
      <c r="J767" s="16"/>
      <c r="K767" s="9" t="s">
        <v>30</v>
      </c>
    </row>
    <row r="768" spans="1:11" ht="15" customHeight="1" x14ac:dyDescent="0.2">
      <c r="A768" s="10">
        <v>46263</v>
      </c>
      <c r="B768" s="11">
        <v>0.444965277777778</v>
      </c>
      <c r="C768" s="11">
        <v>0.49590277777777803</v>
      </c>
      <c r="D768" s="16">
        <v>74</v>
      </c>
      <c r="G768" s="16"/>
      <c r="J768" s="16"/>
      <c r="K768" s="9" t="s">
        <v>30</v>
      </c>
    </row>
    <row r="769" spans="1:11" ht="15" customHeight="1" x14ac:dyDescent="0.2">
      <c r="A769" s="10">
        <v>46263</v>
      </c>
      <c r="B769" s="11">
        <v>0.59555555555555595</v>
      </c>
      <c r="C769" s="11">
        <v>0.63194444444444398</v>
      </c>
      <c r="D769" s="16">
        <v>53</v>
      </c>
      <c r="G769" s="16"/>
      <c r="J769" s="16"/>
      <c r="K769" s="9" t="s">
        <v>30</v>
      </c>
    </row>
    <row r="770" spans="1:11" ht="15" customHeight="1" x14ac:dyDescent="0.2">
      <c r="A770" s="10">
        <v>46263</v>
      </c>
      <c r="B770" s="11">
        <v>0.74443287037036998</v>
      </c>
      <c r="C770" s="11">
        <v>0.77528935185185199</v>
      </c>
      <c r="D770" s="16">
        <v>45</v>
      </c>
      <c r="G770" s="16"/>
      <c r="J770" s="16"/>
      <c r="K770" s="9" t="s">
        <v>30</v>
      </c>
    </row>
    <row r="771" spans="1:11" ht="15" customHeight="1" x14ac:dyDescent="0.2">
      <c r="A771" s="10">
        <v>46263</v>
      </c>
      <c r="B771" s="11">
        <v>0.44853009259259302</v>
      </c>
      <c r="C771" s="11">
        <v>0.46430555555555603</v>
      </c>
      <c r="D771" s="18">
        <v>23</v>
      </c>
    </row>
    <row r="772" spans="1:11" ht="15" customHeight="1" x14ac:dyDescent="0.2">
      <c r="A772" s="10">
        <v>46263</v>
      </c>
      <c r="B772" s="11">
        <v>0.57142361111111095</v>
      </c>
      <c r="C772" s="11">
        <v>0.594444444444444</v>
      </c>
      <c r="D772" s="16">
        <v>34</v>
      </c>
      <c r="G772" s="16"/>
      <c r="H772" s="12">
        <v>0.594444444444444</v>
      </c>
      <c r="I772" s="12">
        <v>0.61458333333333304</v>
      </c>
      <c r="J772" s="16">
        <v>29</v>
      </c>
      <c r="K772" s="9" t="s">
        <v>33</v>
      </c>
    </row>
    <row r="773" spans="1:11" ht="15" customHeight="1" x14ac:dyDescent="0.2">
      <c r="A773" s="10">
        <v>46263</v>
      </c>
      <c r="B773" s="11">
        <v>0.67225694444444395</v>
      </c>
      <c r="C773" s="11">
        <v>0.69861111111111096</v>
      </c>
      <c r="D773" s="16">
        <v>38</v>
      </c>
      <c r="G773" s="16"/>
      <c r="H773" s="12">
        <v>0.69861111111111096</v>
      </c>
      <c r="I773" s="12">
        <v>0.72482638888888895</v>
      </c>
      <c r="J773" s="16">
        <v>37</v>
      </c>
      <c r="K773" s="9" t="s">
        <v>32</v>
      </c>
    </row>
    <row r="774" spans="1:11" ht="15" customHeight="1" x14ac:dyDescent="0.2">
      <c r="A774" s="10">
        <v>46263</v>
      </c>
      <c r="B774" s="11">
        <v>0.78638888888888903</v>
      </c>
      <c r="C774" s="11">
        <v>0.87291666666666701</v>
      </c>
      <c r="D774" s="16">
        <v>125</v>
      </c>
      <c r="G774" s="16"/>
      <c r="J774" s="16"/>
      <c r="K774" s="9" t="s">
        <v>32</v>
      </c>
    </row>
    <row r="775" spans="1:11" ht="15" customHeight="1" x14ac:dyDescent="0.2">
      <c r="A775" s="10">
        <v>46263</v>
      </c>
      <c r="B775" s="11">
        <v>0.51863425925925899</v>
      </c>
      <c r="C775" s="11">
        <v>0.52707175925925898</v>
      </c>
      <c r="D775" s="18">
        <v>12</v>
      </c>
    </row>
    <row r="776" spans="1:11" ht="15" customHeight="1" x14ac:dyDescent="0.2">
      <c r="A776" s="10">
        <v>46263</v>
      </c>
      <c r="B776" s="11">
        <v>0.78333333333333299</v>
      </c>
      <c r="C776" s="11">
        <v>0.813194444444444</v>
      </c>
      <c r="D776" s="16">
        <v>43</v>
      </c>
      <c r="G776" s="16"/>
      <c r="H776" s="12">
        <v>0.81388888888888899</v>
      </c>
      <c r="I776" s="12">
        <v>0.82013888888888897</v>
      </c>
      <c r="J776" s="16">
        <v>9</v>
      </c>
      <c r="K776" s="9" t="s">
        <v>28</v>
      </c>
    </row>
    <row r="777" spans="1:11" ht="15" customHeight="1" x14ac:dyDescent="0.2">
      <c r="A777" s="10">
        <v>46263</v>
      </c>
      <c r="B777" s="11">
        <v>0.86859953703703696</v>
      </c>
      <c r="C777" s="11">
        <v>0.906944444444444</v>
      </c>
      <c r="D777" s="16">
        <v>56</v>
      </c>
      <c r="G777" s="16"/>
      <c r="H777" s="12">
        <v>0.90763888888888899</v>
      </c>
      <c r="I777" s="12">
        <v>0.92500000000000004</v>
      </c>
      <c r="J777" s="16">
        <v>25</v>
      </c>
      <c r="K777" s="9" t="s">
        <v>28</v>
      </c>
    </row>
    <row r="778" spans="1:11" ht="15" customHeight="1" x14ac:dyDescent="0.2">
      <c r="A778" s="10">
        <v>46264</v>
      </c>
      <c r="B778" s="11">
        <v>0.38541666666666702</v>
      </c>
      <c r="C778" s="11">
        <v>0.39652777777777798</v>
      </c>
      <c r="D778" s="16">
        <v>16</v>
      </c>
      <c r="G778" s="16"/>
      <c r="H778" s="12">
        <v>0.39722222222222198</v>
      </c>
      <c r="I778" s="12">
        <v>0.41527777777777802</v>
      </c>
      <c r="J778" s="16">
        <v>26</v>
      </c>
      <c r="K778" s="9" t="s">
        <v>33</v>
      </c>
    </row>
    <row r="779" spans="1:11" ht="15" customHeight="1" x14ac:dyDescent="0.2">
      <c r="A779" s="10">
        <v>46264</v>
      </c>
      <c r="B779" s="11">
        <v>0.36012731481481502</v>
      </c>
      <c r="C779" s="11">
        <v>0.39306712962962997</v>
      </c>
      <c r="D779" s="16">
        <v>48</v>
      </c>
      <c r="G779" s="16"/>
      <c r="J779" s="16"/>
      <c r="K779" s="9" t="s">
        <v>30</v>
      </c>
    </row>
    <row r="780" spans="1:11" ht="15" customHeight="1" x14ac:dyDescent="0.2">
      <c r="A780" s="10">
        <v>46264</v>
      </c>
      <c r="B780" s="11">
        <v>0.40827546296296302</v>
      </c>
      <c r="C780" s="11">
        <v>0.43464120370370402</v>
      </c>
      <c r="D780" s="16">
        <v>38</v>
      </c>
      <c r="G780" s="16"/>
      <c r="J780" s="16"/>
      <c r="K780" s="9" t="s">
        <v>30</v>
      </c>
    </row>
    <row r="781" spans="1:11" ht="15" customHeight="1" x14ac:dyDescent="0.2">
      <c r="A781" s="10">
        <v>46264</v>
      </c>
      <c r="B781" s="11">
        <v>0.50545138888888896</v>
      </c>
      <c r="C781" s="11">
        <v>0.529131944444444</v>
      </c>
      <c r="D781" s="16">
        <v>34</v>
      </c>
      <c r="G781" s="16"/>
      <c r="J781" s="16"/>
      <c r="K781" s="9" t="s">
        <v>30</v>
      </c>
    </row>
    <row r="782" spans="1:11" ht="15" customHeight="1" x14ac:dyDescent="0.2">
      <c r="A782" s="10">
        <v>46264</v>
      </c>
      <c r="B782" s="11">
        <v>0.244050925925926</v>
      </c>
      <c r="C782" s="11">
        <v>0.35081018518518498</v>
      </c>
      <c r="D782" s="16">
        <v>154</v>
      </c>
      <c r="G782" s="16"/>
      <c r="H782" s="12">
        <v>0.35084490740740698</v>
      </c>
      <c r="I782" s="12">
        <v>0.35712962962963002</v>
      </c>
      <c r="J782" s="16">
        <v>9</v>
      </c>
      <c r="K782" s="9" t="s">
        <v>46</v>
      </c>
    </row>
    <row r="783" spans="1:11" ht="15" customHeight="1" x14ac:dyDescent="0.2">
      <c r="A783" s="10">
        <v>46264</v>
      </c>
      <c r="B783" s="11">
        <v>0.33680555555555602</v>
      </c>
      <c r="C783" s="11">
        <v>0.36875000000000002</v>
      </c>
      <c r="D783" s="16">
        <v>46</v>
      </c>
      <c r="G783" s="16"/>
      <c r="H783" s="12">
        <v>0.36944444444444402</v>
      </c>
      <c r="I783" s="12">
        <v>0.37847222222222199</v>
      </c>
      <c r="J783" s="16">
        <v>13</v>
      </c>
      <c r="K783" s="9" t="s">
        <v>28</v>
      </c>
    </row>
    <row r="784" spans="1:11" ht="15" customHeight="1" x14ac:dyDescent="0.2">
      <c r="A784" s="10">
        <v>46264</v>
      </c>
      <c r="B784" s="11">
        <v>0.547372685185185</v>
      </c>
      <c r="C784" s="11">
        <v>0.59236111111111101</v>
      </c>
      <c r="D784" s="16">
        <v>65</v>
      </c>
      <c r="G784" s="16"/>
      <c r="J784" s="16"/>
      <c r="K784" s="9" t="s">
        <v>39</v>
      </c>
    </row>
    <row r="785" spans="1:11" ht="15" customHeight="1" x14ac:dyDescent="0.2">
      <c r="A785" s="10">
        <v>46264</v>
      </c>
      <c r="B785" s="11">
        <v>0.44652777777777802</v>
      </c>
      <c r="C785" s="11">
        <v>0.45555555555555599</v>
      </c>
      <c r="D785" s="18">
        <v>13</v>
      </c>
      <c r="H785" s="12">
        <v>0.45624999999999999</v>
      </c>
      <c r="I785" s="12">
        <v>0.46527777777777801</v>
      </c>
      <c r="J785" s="18">
        <v>13</v>
      </c>
    </row>
    <row r="786" spans="1:11" ht="15" customHeight="1" x14ac:dyDescent="0.2">
      <c r="A786" s="10">
        <v>46265</v>
      </c>
      <c r="B786" s="11">
        <v>0.433958333333333</v>
      </c>
      <c r="C786" s="11">
        <v>0.45763888888888898</v>
      </c>
      <c r="D786" s="16">
        <v>35</v>
      </c>
      <c r="E786" s="11">
        <v>0.45833333333333298</v>
      </c>
      <c r="F786" s="11">
        <v>0.50138888888888899</v>
      </c>
      <c r="G786" s="16">
        <v>62</v>
      </c>
      <c r="J786" s="16"/>
      <c r="K786" s="9" t="s">
        <v>39</v>
      </c>
    </row>
    <row r="787" spans="1:11" ht="15" customHeight="1" x14ac:dyDescent="0.2">
      <c r="A787" s="10">
        <v>46265</v>
      </c>
      <c r="B787" s="11">
        <v>0.39930555555555602</v>
      </c>
      <c r="C787" s="11">
        <v>0.469444444444444</v>
      </c>
      <c r="D787" s="16">
        <v>101</v>
      </c>
      <c r="E787" s="11">
        <v>0.47013888888888899</v>
      </c>
      <c r="F787" s="11">
        <v>0.48263888888888901</v>
      </c>
      <c r="G787" s="16">
        <v>18</v>
      </c>
      <c r="J787" s="16"/>
      <c r="K787" s="9" t="s">
        <v>30</v>
      </c>
    </row>
    <row r="788" spans="1:11" ht="15" customHeight="1" x14ac:dyDescent="0.2">
      <c r="A788" s="10">
        <v>46265</v>
      </c>
      <c r="B788" s="11">
        <v>0.46878472222222201</v>
      </c>
      <c r="C788" s="11">
        <v>0.561805555555556</v>
      </c>
      <c r="D788" s="16">
        <v>134</v>
      </c>
      <c r="E788" s="11">
        <v>0.5625</v>
      </c>
      <c r="F788" s="11">
        <v>0.60069444444444398</v>
      </c>
      <c r="G788" s="16">
        <v>55</v>
      </c>
      <c r="J788" s="16"/>
      <c r="K788" s="9" t="s">
        <v>30</v>
      </c>
    </row>
    <row r="789" spans="1:11" ht="15" customHeight="1" x14ac:dyDescent="0.2">
      <c r="A789" s="10">
        <v>46265</v>
      </c>
      <c r="B789" s="11">
        <v>0.48690972222222201</v>
      </c>
      <c r="C789" s="11">
        <v>0.53376157407407399</v>
      </c>
      <c r="D789" s="16">
        <v>67</v>
      </c>
      <c r="E789" s="11">
        <v>0.53378472222222195</v>
      </c>
      <c r="F789" s="11">
        <v>0.55000000000000004</v>
      </c>
      <c r="G789" s="16">
        <v>24</v>
      </c>
      <c r="J789" s="16"/>
      <c r="K789" s="9" t="s">
        <v>39</v>
      </c>
    </row>
    <row r="790" spans="1:11" ht="15" customHeight="1" x14ac:dyDescent="0.2">
      <c r="A790" s="10">
        <v>46265</v>
      </c>
      <c r="B790" s="11">
        <v>0.37413194444444398</v>
      </c>
      <c r="C790" s="11">
        <v>0.40277777777777801</v>
      </c>
      <c r="D790" s="16">
        <v>42</v>
      </c>
      <c r="E790" s="11">
        <v>0.40347222222222201</v>
      </c>
      <c r="F790" s="11">
        <v>0.43125000000000002</v>
      </c>
      <c r="G790" s="16">
        <v>40</v>
      </c>
      <c r="J790" s="16"/>
      <c r="K790" s="9" t="s">
        <v>45</v>
      </c>
    </row>
    <row r="791" spans="1:11" ht="15" customHeight="1" x14ac:dyDescent="0.2">
      <c r="A791" s="10">
        <v>46265</v>
      </c>
      <c r="B791" s="11">
        <v>0.53472222222222199</v>
      </c>
      <c r="C791" s="11">
        <v>0.56018518518518501</v>
      </c>
      <c r="D791" s="16">
        <v>36</v>
      </c>
      <c r="E791" s="11">
        <v>0.56020833333333298</v>
      </c>
      <c r="F791" s="11">
        <v>0.56805555555555598</v>
      </c>
      <c r="G791" s="16">
        <v>12</v>
      </c>
      <c r="J791" s="16"/>
      <c r="K791" s="9" t="s">
        <v>39</v>
      </c>
    </row>
    <row r="792" spans="1:11" ht="15" customHeight="1" x14ac:dyDescent="0.2">
      <c r="A792" s="10">
        <v>46265</v>
      </c>
      <c r="B792" s="11">
        <v>0.53125</v>
      </c>
      <c r="C792" s="11">
        <v>0.56944444444444398</v>
      </c>
      <c r="D792" s="16">
        <v>55</v>
      </c>
      <c r="G792" s="16"/>
      <c r="H792" s="12">
        <v>0.57013888888888897</v>
      </c>
      <c r="I792" s="12">
        <v>0.63541666666666696</v>
      </c>
      <c r="J792" s="16">
        <v>94</v>
      </c>
      <c r="K792" s="9" t="s">
        <v>33</v>
      </c>
    </row>
    <row r="793" spans="1:11" ht="15" customHeight="1" x14ac:dyDescent="0.2">
      <c r="A793" s="10">
        <v>46265</v>
      </c>
      <c r="B793" s="11">
        <v>0.75694444444444398</v>
      </c>
      <c r="C793" s="11">
        <v>0.781944444444444</v>
      </c>
      <c r="D793" s="16">
        <v>36</v>
      </c>
      <c r="G793" s="16"/>
      <c r="H793" s="12">
        <v>0.78263888888888899</v>
      </c>
      <c r="I793" s="12">
        <v>0.87777777777777799</v>
      </c>
      <c r="J793" s="16">
        <v>137</v>
      </c>
      <c r="K793" s="9" t="s">
        <v>33</v>
      </c>
    </row>
    <row r="794" spans="1:11" ht="15" customHeight="1" x14ac:dyDescent="0.2">
      <c r="A794" s="10">
        <v>46265</v>
      </c>
      <c r="B794" s="11">
        <v>0.50347222222222199</v>
      </c>
      <c r="C794" s="11">
        <v>0.57222222222222197</v>
      </c>
      <c r="D794" s="16">
        <v>99</v>
      </c>
      <c r="E794" s="11">
        <v>0.57291666666666696</v>
      </c>
      <c r="F794" s="11">
        <v>0.62986111111111098</v>
      </c>
      <c r="G794" s="16">
        <v>82</v>
      </c>
      <c r="J794" s="16"/>
      <c r="K794" s="9" t="s">
        <v>30</v>
      </c>
    </row>
    <row r="795" spans="1:11" ht="15" customHeight="1" x14ac:dyDescent="0.2">
      <c r="A795" s="10">
        <v>46265</v>
      </c>
      <c r="B795" s="11">
        <v>0.71319444444444402</v>
      </c>
      <c r="C795" s="11">
        <v>0.8125</v>
      </c>
      <c r="D795" s="16">
        <v>143</v>
      </c>
      <c r="G795" s="16"/>
      <c r="J795" s="16"/>
      <c r="K795" s="9" t="s">
        <v>33</v>
      </c>
    </row>
    <row r="796" spans="1:11" ht="15" customHeight="1" x14ac:dyDescent="0.2">
      <c r="A796" s="10">
        <v>46265</v>
      </c>
      <c r="B796" s="11">
        <v>0.52964120370370404</v>
      </c>
      <c r="C796" s="11">
        <v>0.57361111111111096</v>
      </c>
      <c r="D796" s="16">
        <v>64</v>
      </c>
      <c r="G796" s="16"/>
      <c r="H796" s="12">
        <v>0.57430555555555596</v>
      </c>
      <c r="I796" s="12">
        <v>0.63263888888888897</v>
      </c>
      <c r="J796" s="16">
        <v>84</v>
      </c>
      <c r="K796" s="9" t="s">
        <v>37</v>
      </c>
    </row>
    <row r="797" spans="1:11" ht="15" customHeight="1" x14ac:dyDescent="0.2">
      <c r="A797" s="10">
        <v>46265</v>
      </c>
      <c r="B797" s="11">
        <v>0.57921296296296299</v>
      </c>
      <c r="C797" s="11">
        <v>0.64305555555555605</v>
      </c>
      <c r="D797" s="16">
        <v>92</v>
      </c>
      <c r="E797" s="11">
        <v>0.64375000000000004</v>
      </c>
      <c r="F797" s="11">
        <v>0.72361111111111098</v>
      </c>
      <c r="G797" s="16">
        <v>115</v>
      </c>
      <c r="J797" s="16"/>
      <c r="K797" s="9" t="s">
        <v>30</v>
      </c>
    </row>
    <row r="798" spans="1:11" ht="15" customHeight="1" x14ac:dyDescent="0.2">
      <c r="A798" s="10">
        <v>46265</v>
      </c>
      <c r="B798" s="11">
        <v>0.67386574074074101</v>
      </c>
      <c r="C798" s="11">
        <v>0.69861111111111096</v>
      </c>
      <c r="D798" s="16">
        <v>36</v>
      </c>
      <c r="G798" s="16"/>
      <c r="H798" s="12">
        <v>0.69930555555555596</v>
      </c>
      <c r="I798" s="12">
        <v>0.72777777777777797</v>
      </c>
      <c r="J798" s="16">
        <v>41</v>
      </c>
      <c r="K798" s="9" t="s">
        <v>28</v>
      </c>
    </row>
    <row r="799" spans="1:11" ht="15" customHeight="1" x14ac:dyDescent="0.2">
      <c r="A799" s="10">
        <v>46265</v>
      </c>
      <c r="B799" s="11">
        <v>0.60138888888888897</v>
      </c>
      <c r="C799" s="11">
        <v>0.62847222222222199</v>
      </c>
      <c r="D799" s="16">
        <v>39</v>
      </c>
      <c r="G799" s="16"/>
      <c r="J799" s="16"/>
      <c r="K799" s="9" t="s">
        <v>30</v>
      </c>
    </row>
    <row r="800" spans="1:11" ht="15" customHeight="1" x14ac:dyDescent="0.2">
      <c r="A800" s="10">
        <v>46265</v>
      </c>
      <c r="B800" s="11">
        <v>0.45486111111111099</v>
      </c>
      <c r="C800" s="11">
        <v>0.48888888888888898</v>
      </c>
      <c r="D800" s="16">
        <v>49</v>
      </c>
      <c r="G800" s="16"/>
      <c r="H800" s="12">
        <v>0.48958333333333298</v>
      </c>
      <c r="I800" s="12">
        <v>0.50277777777777799</v>
      </c>
      <c r="J800" s="16">
        <v>19</v>
      </c>
      <c r="K800" s="9" t="s">
        <v>30</v>
      </c>
    </row>
    <row r="801" spans="1:11" ht="15" customHeight="1" x14ac:dyDescent="0.2">
      <c r="A801" s="10">
        <v>46265</v>
      </c>
      <c r="B801" s="11">
        <v>0.56251157407407404</v>
      </c>
      <c r="C801" s="11">
        <v>0.60138888888888897</v>
      </c>
      <c r="D801" s="16">
        <v>56</v>
      </c>
      <c r="G801" s="16"/>
      <c r="H801" s="12">
        <v>0.60208333333333297</v>
      </c>
      <c r="I801" s="12">
        <v>0.61388888888888904</v>
      </c>
      <c r="J801" s="16">
        <v>17</v>
      </c>
      <c r="K801" s="9" t="s">
        <v>28</v>
      </c>
    </row>
    <row r="802" spans="1:11" ht="15" customHeight="1" x14ac:dyDescent="0.2">
      <c r="A802" s="10">
        <v>46265</v>
      </c>
      <c r="E802" s="11">
        <v>0.44652777777777802</v>
      </c>
      <c r="F802" s="11">
        <v>0.54166666666666696</v>
      </c>
      <c r="G802" s="18">
        <v>137</v>
      </c>
    </row>
    <row r="803" spans="1:11" ht="15" customHeight="1" x14ac:dyDescent="0.2">
      <c r="A803" s="10">
        <v>46265</v>
      </c>
      <c r="B803" s="11">
        <v>0.5</v>
      </c>
      <c r="C803" s="11">
        <v>0.53125</v>
      </c>
      <c r="D803" s="16">
        <v>45</v>
      </c>
      <c r="G803" s="16"/>
      <c r="J803" s="16"/>
      <c r="K803" s="9" t="s">
        <v>28</v>
      </c>
    </row>
    <row r="804" spans="1:11" ht="15" customHeight="1" x14ac:dyDescent="0.2">
      <c r="A804" s="10">
        <v>46265</v>
      </c>
      <c r="H804" s="12">
        <v>0.5</v>
      </c>
      <c r="I804" s="12">
        <v>0.55138888888888904</v>
      </c>
      <c r="J804" s="18">
        <v>74</v>
      </c>
    </row>
    <row r="805" spans="1:11" ht="15" customHeight="1" x14ac:dyDescent="0.2">
      <c r="A805" s="10">
        <v>46265</v>
      </c>
      <c r="E805" s="11">
        <v>0.59027777777777801</v>
      </c>
      <c r="F805" s="11">
        <v>0.63321759259259303</v>
      </c>
      <c r="G805" s="18">
        <v>61</v>
      </c>
    </row>
    <row r="806" spans="1:11" ht="15" customHeight="1" x14ac:dyDescent="0.2">
      <c r="A806" s="10">
        <v>46265</v>
      </c>
      <c r="B806" s="11">
        <v>0.62406249999999996</v>
      </c>
      <c r="C806" s="11">
        <v>0.65208333333333302</v>
      </c>
      <c r="D806" s="18">
        <v>41</v>
      </c>
    </row>
    <row r="807" spans="1:11" ht="15" customHeight="1" x14ac:dyDescent="0.2">
      <c r="A807" s="10">
        <v>46265</v>
      </c>
      <c r="B807" s="11">
        <v>0.81312499999999999</v>
      </c>
      <c r="C807" s="11">
        <v>0.83958333333333302</v>
      </c>
      <c r="D807" s="16">
        <v>39</v>
      </c>
      <c r="G807" s="16"/>
      <c r="J807" s="16"/>
      <c r="K807" s="9" t="s">
        <v>28</v>
      </c>
    </row>
    <row r="808" spans="1:11" ht="15" customHeight="1" x14ac:dyDescent="0.2">
      <c r="A808" s="10">
        <v>46265</v>
      </c>
      <c r="B808" s="11">
        <v>0.92723379629629599</v>
      </c>
      <c r="C808" s="11">
        <v>0.96666666666666701</v>
      </c>
      <c r="D808" s="16">
        <v>57</v>
      </c>
      <c r="G808" s="16"/>
      <c r="J808" s="16"/>
      <c r="K808" s="9" t="s">
        <v>28</v>
      </c>
    </row>
    <row r="809" spans="1:11" ht="15" customHeight="1" x14ac:dyDescent="0.2">
      <c r="A809" s="10">
        <v>46265</v>
      </c>
      <c r="B809" s="11">
        <v>0.90972222222222199</v>
      </c>
      <c r="C809" s="11">
        <v>1.83796296296296E-2</v>
      </c>
      <c r="D809" s="16">
        <v>156</v>
      </c>
      <c r="G809" s="16"/>
      <c r="J809" s="16"/>
      <c r="K809" s="9" t="s">
        <v>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0C9F4-B30A-443C-BEF1-EDB53E726D18}">
  <dimension ref="A1:H769"/>
  <sheetViews>
    <sheetView workbookViewId="0">
      <pane ySplit="1" topLeftCell="A230" activePane="bottomLeft" state="frozen"/>
      <selection pane="bottomLeft" activeCell="K20" sqref="K20"/>
    </sheetView>
  </sheetViews>
  <sheetFormatPr baseColWidth="10" defaultColWidth="8.83203125" defaultRowHeight="15" customHeight="1" x14ac:dyDescent="0.2"/>
  <cols>
    <col min="1" max="1" width="10.1640625" customWidth="1"/>
    <col min="6" max="6" width="27.83203125" bestFit="1" customWidth="1"/>
    <col min="8" max="8" width="13.1640625" bestFit="1" customWidth="1"/>
  </cols>
  <sheetData>
    <row r="1" spans="1:8" ht="15" customHeight="1" x14ac:dyDescent="0.2">
      <c r="A1" t="s">
        <v>0</v>
      </c>
      <c r="B1" t="s">
        <v>70</v>
      </c>
      <c r="C1" t="s">
        <v>71</v>
      </c>
      <c r="D1" t="s">
        <v>72</v>
      </c>
      <c r="E1" t="s">
        <v>73</v>
      </c>
      <c r="F1" t="s">
        <v>62</v>
      </c>
      <c r="G1" t="s">
        <v>3</v>
      </c>
      <c r="H1" t="s">
        <v>25</v>
      </c>
    </row>
    <row r="2" spans="1:8" ht="15" customHeight="1" x14ac:dyDescent="0.2">
      <c r="A2" s="1">
        <v>46235</v>
      </c>
      <c r="B2">
        <v>0</v>
      </c>
      <c r="C2" s="2">
        <v>0.28909722222222201</v>
      </c>
      <c r="D2" s="2">
        <v>0.31388888888888899</v>
      </c>
      <c r="E2">
        <v>36</v>
      </c>
      <c r="F2" t="s">
        <v>63</v>
      </c>
      <c r="G2" t="s">
        <v>28</v>
      </c>
      <c r="H2" t="s">
        <v>30</v>
      </c>
    </row>
    <row r="3" spans="1:8" ht="15" customHeight="1" x14ac:dyDescent="0.2">
      <c r="A3" s="1">
        <v>46235</v>
      </c>
      <c r="B3">
        <v>0</v>
      </c>
      <c r="C3" s="2">
        <v>0.27916666666666701</v>
      </c>
      <c r="D3" s="2">
        <v>0.327083333333333</v>
      </c>
      <c r="E3">
        <v>69</v>
      </c>
      <c r="F3" t="s">
        <v>63</v>
      </c>
      <c r="G3" t="s">
        <v>28</v>
      </c>
      <c r="H3" t="s">
        <v>30</v>
      </c>
    </row>
    <row r="4" spans="1:8" ht="15" customHeight="1" x14ac:dyDescent="0.2">
      <c r="A4" s="1">
        <v>46235</v>
      </c>
      <c r="B4">
        <v>1</v>
      </c>
      <c r="C4" s="2">
        <v>0.394201388888889</v>
      </c>
      <c r="D4" s="2">
        <v>0.42708333333333298</v>
      </c>
      <c r="E4">
        <v>48</v>
      </c>
      <c r="F4" t="s">
        <v>63</v>
      </c>
      <c r="G4" t="s">
        <v>28</v>
      </c>
      <c r="H4" t="s">
        <v>30</v>
      </c>
    </row>
    <row r="5" spans="1:8" ht="15" customHeight="1" x14ac:dyDescent="0.2">
      <c r="A5" s="1">
        <v>46235</v>
      </c>
      <c r="B5">
        <v>1</v>
      </c>
      <c r="C5" s="2">
        <v>0.48263888888888901</v>
      </c>
      <c r="D5" s="2">
        <v>0.51736111111111105</v>
      </c>
      <c r="E5">
        <v>50</v>
      </c>
      <c r="F5" t="s">
        <v>63</v>
      </c>
      <c r="G5" t="s">
        <v>28</v>
      </c>
      <c r="H5" t="s">
        <v>32</v>
      </c>
    </row>
    <row r="6" spans="1:8" ht="15" customHeight="1" x14ac:dyDescent="0.2">
      <c r="A6" s="1">
        <v>46236</v>
      </c>
      <c r="B6">
        <v>0</v>
      </c>
      <c r="C6" s="2">
        <v>0.48819444444444399</v>
      </c>
      <c r="D6" s="2">
        <v>0.50208333333333299</v>
      </c>
      <c r="E6">
        <v>20</v>
      </c>
      <c r="F6" t="s">
        <v>63</v>
      </c>
      <c r="G6" t="s">
        <v>28</v>
      </c>
      <c r="H6" t="s">
        <v>33</v>
      </c>
    </row>
    <row r="7" spans="1:8" ht="15" customHeight="1" x14ac:dyDescent="0.2">
      <c r="A7" s="1">
        <v>46236</v>
      </c>
      <c r="B7">
        <v>0</v>
      </c>
      <c r="C7" s="2">
        <v>0.266666666666667</v>
      </c>
      <c r="D7" s="2">
        <v>0.31041666666666701</v>
      </c>
      <c r="E7">
        <v>63</v>
      </c>
      <c r="F7" t="s">
        <v>63</v>
      </c>
      <c r="G7" t="s">
        <v>34</v>
      </c>
      <c r="H7" t="s">
        <v>28</v>
      </c>
    </row>
    <row r="8" spans="1:8" ht="15" customHeight="1" x14ac:dyDescent="0.2">
      <c r="A8" s="1">
        <v>46236</v>
      </c>
      <c r="B8">
        <v>0</v>
      </c>
      <c r="C8" s="2">
        <v>0.35138888888888897</v>
      </c>
      <c r="F8" t="s">
        <v>63</v>
      </c>
      <c r="G8" t="s">
        <v>34</v>
      </c>
      <c r="H8" t="s">
        <v>28</v>
      </c>
    </row>
    <row r="9" spans="1:8" ht="15" customHeight="1" x14ac:dyDescent="0.2">
      <c r="A9" s="1">
        <v>46236</v>
      </c>
      <c r="B9">
        <v>0</v>
      </c>
      <c r="C9" s="2">
        <v>0.42361111111111099</v>
      </c>
      <c r="D9" s="2">
        <v>0.46666666666666701</v>
      </c>
      <c r="E9">
        <v>62</v>
      </c>
      <c r="F9" t="s">
        <v>63</v>
      </c>
      <c r="G9" t="s">
        <v>28</v>
      </c>
      <c r="H9" t="s">
        <v>33</v>
      </c>
    </row>
    <row r="10" spans="1:8" ht="15" customHeight="1" x14ac:dyDescent="0.2">
      <c r="A10" s="1">
        <v>46236</v>
      </c>
      <c r="B10">
        <v>0</v>
      </c>
      <c r="C10" s="2">
        <v>0.28263888888888899</v>
      </c>
      <c r="F10" t="s">
        <v>63</v>
      </c>
      <c r="G10" t="s">
        <v>28</v>
      </c>
      <c r="H10" t="s">
        <v>37</v>
      </c>
    </row>
    <row r="11" spans="1:8" ht="15" customHeight="1" x14ac:dyDescent="0.2">
      <c r="A11" s="1">
        <v>46236</v>
      </c>
      <c r="B11">
        <v>0</v>
      </c>
      <c r="C11" s="2">
        <v>0.32413194444444399</v>
      </c>
      <c r="D11" s="2">
        <v>0.390972222222222</v>
      </c>
      <c r="E11">
        <v>97</v>
      </c>
      <c r="F11" t="s">
        <v>63</v>
      </c>
      <c r="G11" t="s">
        <v>28</v>
      </c>
      <c r="H11" t="s">
        <v>37</v>
      </c>
    </row>
    <row r="12" spans="1:8" ht="15" customHeight="1" x14ac:dyDescent="0.2">
      <c r="A12" s="1">
        <v>46236</v>
      </c>
      <c r="B12">
        <v>1</v>
      </c>
      <c r="C12" s="2">
        <v>0.58615740740740696</v>
      </c>
      <c r="D12" s="2">
        <v>0.63721064814814798</v>
      </c>
      <c r="E12">
        <v>73</v>
      </c>
      <c r="F12" t="s">
        <v>63</v>
      </c>
      <c r="G12" t="s">
        <v>34</v>
      </c>
      <c r="H12" t="s">
        <v>30</v>
      </c>
    </row>
    <row r="13" spans="1:8" ht="15" customHeight="1" x14ac:dyDescent="0.2">
      <c r="A13" s="1">
        <v>46236</v>
      </c>
      <c r="B13">
        <v>1</v>
      </c>
      <c r="C13" s="2">
        <v>0.41723379629629598</v>
      </c>
      <c r="D13" s="2">
        <v>0.46875</v>
      </c>
      <c r="E13">
        <v>75</v>
      </c>
      <c r="F13" t="s">
        <v>63</v>
      </c>
      <c r="G13" t="s">
        <v>28</v>
      </c>
      <c r="H13" t="s">
        <v>30</v>
      </c>
    </row>
    <row r="14" spans="1:8" ht="15" customHeight="1" x14ac:dyDescent="0.2">
      <c r="A14" s="1">
        <v>46236</v>
      </c>
      <c r="B14">
        <v>1</v>
      </c>
      <c r="C14" s="2">
        <v>0.56805555555555598</v>
      </c>
      <c r="D14" s="2">
        <v>0.59312500000000001</v>
      </c>
      <c r="E14">
        <v>36</v>
      </c>
      <c r="F14" t="s">
        <v>63</v>
      </c>
      <c r="G14" t="s">
        <v>38</v>
      </c>
      <c r="H14" t="s">
        <v>39</v>
      </c>
    </row>
    <row r="15" spans="1:8" ht="15" customHeight="1" x14ac:dyDescent="0.2">
      <c r="A15" s="1">
        <v>46236</v>
      </c>
      <c r="B15">
        <v>1</v>
      </c>
      <c r="C15" s="2">
        <v>0.68506944444444395</v>
      </c>
      <c r="D15" s="2">
        <v>0.70347222222222205</v>
      </c>
      <c r="E15">
        <v>27</v>
      </c>
      <c r="F15" t="s">
        <v>63</v>
      </c>
      <c r="G15" t="s">
        <v>34</v>
      </c>
      <c r="H15" t="s">
        <v>30</v>
      </c>
    </row>
    <row r="16" spans="1:8" ht="15" customHeight="1" x14ac:dyDescent="0.2">
      <c r="A16" s="1">
        <v>46236</v>
      </c>
      <c r="B16">
        <v>1</v>
      </c>
      <c r="C16" s="2">
        <v>0.50520833333333304</v>
      </c>
      <c r="D16" s="2">
        <v>0.54166666666666696</v>
      </c>
      <c r="E16">
        <v>53</v>
      </c>
      <c r="F16" t="s">
        <v>63</v>
      </c>
      <c r="G16" t="s">
        <v>28</v>
      </c>
      <c r="H16" t="s">
        <v>33</v>
      </c>
    </row>
    <row r="17" spans="1:8" ht="15" customHeight="1" x14ac:dyDescent="0.2">
      <c r="A17" s="1">
        <v>46237</v>
      </c>
      <c r="B17">
        <v>0</v>
      </c>
      <c r="C17" s="2">
        <v>0.26564814814814802</v>
      </c>
      <c r="D17" s="2">
        <v>0.33374999999999999</v>
      </c>
      <c r="E17">
        <v>98</v>
      </c>
      <c r="F17" t="s">
        <v>63</v>
      </c>
      <c r="G17" t="s">
        <v>28</v>
      </c>
      <c r="H17" t="s">
        <v>28</v>
      </c>
    </row>
    <row r="18" spans="1:8" ht="15" customHeight="1" x14ac:dyDescent="0.2">
      <c r="A18" s="1">
        <v>46237</v>
      </c>
      <c r="B18">
        <v>0</v>
      </c>
      <c r="C18" s="2">
        <v>0.26802083333333299</v>
      </c>
      <c r="D18" s="2">
        <v>0.32569444444444401</v>
      </c>
      <c r="E18">
        <v>84</v>
      </c>
      <c r="F18" t="s">
        <v>65</v>
      </c>
      <c r="G18" t="s">
        <v>28</v>
      </c>
      <c r="H18" t="s">
        <v>37</v>
      </c>
    </row>
    <row r="19" spans="1:8" ht="15" customHeight="1" x14ac:dyDescent="0.2">
      <c r="A19" s="1">
        <v>46237</v>
      </c>
      <c r="B19">
        <v>0</v>
      </c>
      <c r="C19" s="2">
        <v>0.57325231481481498</v>
      </c>
      <c r="D19" s="2">
        <v>0.66108796296296302</v>
      </c>
      <c r="E19">
        <v>126</v>
      </c>
      <c r="F19" t="s">
        <v>65</v>
      </c>
      <c r="G19" t="s">
        <v>34</v>
      </c>
      <c r="H19" t="s">
        <v>30</v>
      </c>
    </row>
    <row r="20" spans="1:8" ht="15" customHeight="1" x14ac:dyDescent="0.2">
      <c r="A20" s="1">
        <v>46237</v>
      </c>
      <c r="B20">
        <v>0</v>
      </c>
      <c r="C20" s="2">
        <v>0.38075231481481497</v>
      </c>
      <c r="D20" s="2">
        <v>0.51598379629629598</v>
      </c>
      <c r="E20">
        <v>195</v>
      </c>
      <c r="F20" t="s">
        <v>63</v>
      </c>
      <c r="G20" t="s">
        <v>28</v>
      </c>
      <c r="H20" t="s">
        <v>44</v>
      </c>
    </row>
    <row r="21" spans="1:8" ht="15" customHeight="1" x14ac:dyDescent="0.2">
      <c r="A21" s="1">
        <v>46237</v>
      </c>
      <c r="B21">
        <v>0</v>
      </c>
      <c r="C21" s="2">
        <v>0.43489583333333298</v>
      </c>
      <c r="D21" s="2">
        <v>0.49951388888888898</v>
      </c>
      <c r="E21">
        <v>93</v>
      </c>
      <c r="F21" t="s">
        <v>65</v>
      </c>
      <c r="G21" t="s">
        <v>28</v>
      </c>
      <c r="H21" t="s">
        <v>45</v>
      </c>
    </row>
    <row r="22" spans="1:8" ht="15" customHeight="1" x14ac:dyDescent="0.2">
      <c r="A22" s="1">
        <v>46237</v>
      </c>
      <c r="B22">
        <v>0</v>
      </c>
      <c r="C22" s="2">
        <v>0.25747685185185198</v>
      </c>
      <c r="D22" s="2">
        <v>0.33363425925925899</v>
      </c>
      <c r="E22">
        <v>110</v>
      </c>
      <c r="F22" t="s">
        <v>63</v>
      </c>
      <c r="G22" t="s">
        <v>28</v>
      </c>
      <c r="H22" t="s">
        <v>33</v>
      </c>
    </row>
    <row r="23" spans="1:8" ht="15" customHeight="1" x14ac:dyDescent="0.2">
      <c r="A23" s="1">
        <v>46237</v>
      </c>
      <c r="B23">
        <v>0</v>
      </c>
      <c r="C23" s="2">
        <v>0.25636574074074098</v>
      </c>
      <c r="D23" s="2">
        <v>0.33099537037037002</v>
      </c>
      <c r="E23">
        <v>107</v>
      </c>
      <c r="F23" t="s">
        <v>65</v>
      </c>
      <c r="G23" t="s">
        <v>28</v>
      </c>
      <c r="H23" t="s">
        <v>45</v>
      </c>
    </row>
    <row r="24" spans="1:8" ht="15" customHeight="1" x14ac:dyDescent="0.2">
      <c r="A24" s="1">
        <v>46237</v>
      </c>
      <c r="B24">
        <v>0</v>
      </c>
      <c r="C24" s="2">
        <v>0.567233796296296</v>
      </c>
      <c r="D24" s="2">
        <v>0.65196759259259296</v>
      </c>
      <c r="E24">
        <v>122</v>
      </c>
      <c r="F24" t="s">
        <v>63</v>
      </c>
      <c r="G24" t="s">
        <v>34</v>
      </c>
      <c r="H24" t="s">
        <v>30</v>
      </c>
    </row>
    <row r="25" spans="1:8" ht="15" customHeight="1" x14ac:dyDescent="0.2">
      <c r="A25" s="1">
        <v>46237</v>
      </c>
      <c r="B25">
        <v>0</v>
      </c>
      <c r="C25" s="2">
        <v>0.45483796296296303</v>
      </c>
      <c r="D25" s="2">
        <v>0.51736111111111105</v>
      </c>
      <c r="E25">
        <v>91</v>
      </c>
      <c r="F25" t="s">
        <v>63</v>
      </c>
      <c r="G25" t="s">
        <v>28</v>
      </c>
      <c r="H25" t="s">
        <v>30</v>
      </c>
    </row>
    <row r="26" spans="1:8" ht="15" customHeight="1" x14ac:dyDescent="0.2">
      <c r="A26" s="1">
        <v>46237</v>
      </c>
      <c r="B26">
        <v>0</v>
      </c>
      <c r="C26" s="2">
        <v>0.36581018518518499</v>
      </c>
      <c r="D26" s="2">
        <v>0.41424768518518501</v>
      </c>
      <c r="E26">
        <v>70</v>
      </c>
      <c r="F26" t="s">
        <v>63</v>
      </c>
      <c r="G26" t="s">
        <v>28</v>
      </c>
      <c r="H26" t="s">
        <v>30</v>
      </c>
    </row>
    <row r="27" spans="1:8" ht="15" customHeight="1" x14ac:dyDescent="0.2">
      <c r="A27" s="1">
        <v>46237</v>
      </c>
      <c r="B27">
        <v>0</v>
      </c>
      <c r="C27" s="2">
        <v>0.35148148148148201</v>
      </c>
      <c r="D27" s="2">
        <v>0.38656249999999998</v>
      </c>
      <c r="E27">
        <v>50</v>
      </c>
      <c r="F27" t="s">
        <v>65</v>
      </c>
      <c r="G27" t="s">
        <v>28</v>
      </c>
      <c r="H27" t="s">
        <v>45</v>
      </c>
    </row>
    <row r="28" spans="1:8" ht="15" customHeight="1" x14ac:dyDescent="0.2">
      <c r="A28" s="1">
        <v>46237</v>
      </c>
      <c r="B28">
        <v>0</v>
      </c>
      <c r="C28" s="2">
        <v>0.25047453703703698</v>
      </c>
      <c r="D28" s="2">
        <v>0.33114583333333297</v>
      </c>
      <c r="E28">
        <v>116</v>
      </c>
      <c r="F28" t="s">
        <v>63</v>
      </c>
      <c r="G28" t="s">
        <v>34</v>
      </c>
      <c r="H28" t="s">
        <v>30</v>
      </c>
    </row>
    <row r="29" spans="1:8" ht="15" customHeight="1" x14ac:dyDescent="0.2">
      <c r="A29" s="1">
        <v>46237</v>
      </c>
      <c r="B29">
        <v>0</v>
      </c>
      <c r="C29" s="2">
        <v>0.367997685185185</v>
      </c>
      <c r="D29" s="2">
        <v>0.44652777777777802</v>
      </c>
      <c r="E29">
        <v>114</v>
      </c>
      <c r="F29" t="s">
        <v>65</v>
      </c>
      <c r="G29" t="s">
        <v>28</v>
      </c>
      <c r="H29" t="s">
        <v>45</v>
      </c>
    </row>
    <row r="30" spans="1:8" ht="15" customHeight="1" x14ac:dyDescent="0.2">
      <c r="A30" s="1">
        <v>46237</v>
      </c>
      <c r="B30">
        <v>0</v>
      </c>
      <c r="C30" s="2">
        <v>0.32844907407407398</v>
      </c>
      <c r="D30" s="2">
        <v>0.36552083333333302</v>
      </c>
      <c r="E30">
        <v>54</v>
      </c>
      <c r="F30" t="s">
        <v>66</v>
      </c>
      <c r="G30" t="s">
        <v>28</v>
      </c>
      <c r="H30" t="s">
        <v>30</v>
      </c>
    </row>
    <row r="31" spans="1:8" ht="15" customHeight="1" x14ac:dyDescent="0.2">
      <c r="A31" s="1">
        <v>46237</v>
      </c>
      <c r="B31">
        <v>0</v>
      </c>
      <c r="C31" s="2">
        <v>0.39487268518518498</v>
      </c>
      <c r="D31" s="2">
        <v>0.49746527777777799</v>
      </c>
      <c r="E31">
        <v>148</v>
      </c>
      <c r="F31" t="s">
        <v>63</v>
      </c>
      <c r="G31" t="s">
        <v>34</v>
      </c>
      <c r="H31" t="s">
        <v>33</v>
      </c>
    </row>
    <row r="32" spans="1:8" ht="15" customHeight="1" x14ac:dyDescent="0.2">
      <c r="A32" s="1">
        <v>46237</v>
      </c>
      <c r="B32">
        <v>0</v>
      </c>
      <c r="C32" s="2">
        <v>0.25093749999999998</v>
      </c>
      <c r="D32" s="2">
        <v>0.33124999999999999</v>
      </c>
      <c r="E32">
        <v>116</v>
      </c>
      <c r="F32" t="s">
        <v>65</v>
      </c>
      <c r="G32" t="s">
        <v>28</v>
      </c>
      <c r="H32" t="s">
        <v>30</v>
      </c>
    </row>
    <row r="33" spans="1:8" ht="15" customHeight="1" x14ac:dyDescent="0.2">
      <c r="A33" s="1">
        <v>46237</v>
      </c>
      <c r="B33">
        <v>0</v>
      </c>
      <c r="C33" s="2">
        <v>0.351944444444444</v>
      </c>
      <c r="D33" s="2">
        <v>0.49305555555555602</v>
      </c>
      <c r="E33">
        <v>204</v>
      </c>
      <c r="F33" t="s">
        <v>63</v>
      </c>
      <c r="G33" t="s">
        <v>28</v>
      </c>
      <c r="H33" t="s">
        <v>41</v>
      </c>
    </row>
    <row r="34" spans="1:8" ht="15" customHeight="1" x14ac:dyDescent="0.2">
      <c r="A34" s="1">
        <v>46237</v>
      </c>
      <c r="B34">
        <v>0</v>
      </c>
      <c r="C34" s="2">
        <v>0.45771990740740698</v>
      </c>
      <c r="D34" s="2">
        <v>0.53819444444444398</v>
      </c>
      <c r="E34">
        <v>116</v>
      </c>
      <c r="F34" t="s">
        <v>65</v>
      </c>
      <c r="G34" t="s">
        <v>38</v>
      </c>
      <c r="H34" t="s">
        <v>39</v>
      </c>
    </row>
    <row r="35" spans="1:8" ht="15" customHeight="1" x14ac:dyDescent="0.2">
      <c r="A35" s="1">
        <v>46237</v>
      </c>
      <c r="B35">
        <v>0</v>
      </c>
      <c r="C35" s="2">
        <v>0.45726851851851902</v>
      </c>
      <c r="D35" s="2">
        <v>0.49129629629629601</v>
      </c>
      <c r="E35">
        <v>49</v>
      </c>
      <c r="F35" t="s">
        <v>66</v>
      </c>
      <c r="G35" t="s">
        <v>34</v>
      </c>
      <c r="H35" t="s">
        <v>30</v>
      </c>
    </row>
    <row r="36" spans="1:8" ht="15" customHeight="1" x14ac:dyDescent="0.2">
      <c r="A36" s="1">
        <v>46237</v>
      </c>
      <c r="B36">
        <v>0</v>
      </c>
      <c r="C36" s="2">
        <v>0.50481481481481505</v>
      </c>
      <c r="D36" s="2">
        <v>0.56042824074074105</v>
      </c>
      <c r="E36">
        <v>81</v>
      </c>
      <c r="F36" t="s">
        <v>65</v>
      </c>
      <c r="G36" t="s">
        <v>28</v>
      </c>
      <c r="H36" t="s">
        <v>46</v>
      </c>
    </row>
    <row r="37" spans="1:8" ht="15" customHeight="1" x14ac:dyDescent="0.2">
      <c r="A37" s="1">
        <v>46237</v>
      </c>
      <c r="B37">
        <v>0</v>
      </c>
      <c r="C37" s="2">
        <v>0.23442129629629599</v>
      </c>
      <c r="D37" s="2">
        <v>0.33069444444444401</v>
      </c>
      <c r="E37">
        <v>139</v>
      </c>
      <c r="F37" t="s">
        <v>63</v>
      </c>
      <c r="G37" t="s">
        <v>34</v>
      </c>
      <c r="H37" t="s">
        <v>30</v>
      </c>
    </row>
    <row r="38" spans="1:8" ht="15" customHeight="1" x14ac:dyDescent="0.2">
      <c r="A38" s="1">
        <v>46237</v>
      </c>
      <c r="B38">
        <v>0</v>
      </c>
      <c r="C38" s="2">
        <v>0.35445601851851899</v>
      </c>
      <c r="D38" s="2">
        <v>0.41835648148148102</v>
      </c>
      <c r="E38">
        <v>92</v>
      </c>
      <c r="F38" t="s">
        <v>63</v>
      </c>
      <c r="G38" t="s">
        <v>28</v>
      </c>
      <c r="H38" t="s">
        <v>28</v>
      </c>
    </row>
    <row r="39" spans="1:8" ht="15" customHeight="1" x14ac:dyDescent="0.2">
      <c r="A39" s="1">
        <v>46237</v>
      </c>
      <c r="B39">
        <v>0</v>
      </c>
      <c r="C39" s="2">
        <v>0.48621527777777801</v>
      </c>
      <c r="D39" s="2">
        <v>0.58391203703703698</v>
      </c>
      <c r="E39">
        <v>140</v>
      </c>
      <c r="F39" t="s">
        <v>66</v>
      </c>
      <c r="G39" t="s">
        <v>28</v>
      </c>
      <c r="H39" t="s">
        <v>30</v>
      </c>
    </row>
    <row r="40" spans="1:8" ht="15" customHeight="1" x14ac:dyDescent="0.2">
      <c r="A40" s="1">
        <v>46237</v>
      </c>
      <c r="B40">
        <v>0</v>
      </c>
      <c r="C40" s="2">
        <v>0.44178240740740699</v>
      </c>
      <c r="D40" s="2">
        <v>0.46877314814814802</v>
      </c>
      <c r="E40">
        <v>39</v>
      </c>
      <c r="F40" t="s">
        <v>63</v>
      </c>
      <c r="G40" t="s">
        <v>34</v>
      </c>
      <c r="H40" t="s">
        <v>44</v>
      </c>
    </row>
    <row r="41" spans="1:8" ht="15" customHeight="1" x14ac:dyDescent="0.2">
      <c r="A41" s="1">
        <v>46237</v>
      </c>
      <c r="B41">
        <v>0</v>
      </c>
      <c r="C41" s="2">
        <v>0.29005787037037001</v>
      </c>
      <c r="D41" s="2">
        <v>0.33208333333333301</v>
      </c>
      <c r="E41">
        <v>61</v>
      </c>
      <c r="F41" t="s">
        <v>63</v>
      </c>
      <c r="G41" t="s">
        <v>34</v>
      </c>
      <c r="H41" t="s">
        <v>44</v>
      </c>
    </row>
    <row r="42" spans="1:8" ht="15" customHeight="1" x14ac:dyDescent="0.2">
      <c r="A42" s="1">
        <v>46237</v>
      </c>
      <c r="B42">
        <v>0</v>
      </c>
      <c r="C42" s="2">
        <v>0.283136574074074</v>
      </c>
      <c r="D42" s="2">
        <v>0.33224537037037</v>
      </c>
      <c r="E42">
        <v>71</v>
      </c>
      <c r="F42" t="s">
        <v>63</v>
      </c>
      <c r="G42" t="s">
        <v>34</v>
      </c>
      <c r="H42" t="s">
        <v>30</v>
      </c>
    </row>
    <row r="43" spans="1:8" ht="15" customHeight="1" x14ac:dyDescent="0.2">
      <c r="A43" s="1">
        <v>46237</v>
      </c>
      <c r="B43">
        <v>1</v>
      </c>
      <c r="C43" s="2">
        <v>0.48136574074074101</v>
      </c>
      <c r="D43" s="2">
        <v>0.49504629629629598</v>
      </c>
      <c r="E43">
        <v>19</v>
      </c>
      <c r="F43" t="s">
        <v>63</v>
      </c>
      <c r="G43" t="s">
        <v>28</v>
      </c>
      <c r="H43" t="s">
        <v>47</v>
      </c>
    </row>
    <row r="44" spans="1:8" ht="15" customHeight="1" x14ac:dyDescent="0.2">
      <c r="A44" s="1">
        <v>46237</v>
      </c>
      <c r="B44">
        <v>1</v>
      </c>
      <c r="C44" s="2">
        <v>0.56096064814814794</v>
      </c>
      <c r="D44" s="2">
        <v>0.62167824074074096</v>
      </c>
      <c r="E44">
        <v>88</v>
      </c>
      <c r="F44" t="s">
        <v>63</v>
      </c>
      <c r="G44" t="s">
        <v>28</v>
      </c>
      <c r="H44" t="s">
        <v>28</v>
      </c>
    </row>
    <row r="45" spans="1:8" ht="15" customHeight="1" x14ac:dyDescent="0.2">
      <c r="A45" s="1">
        <v>46237</v>
      </c>
      <c r="B45">
        <v>1</v>
      </c>
      <c r="C45" s="2">
        <v>0.41701388888888902</v>
      </c>
      <c r="D45" s="2">
        <v>0.45236111111111099</v>
      </c>
      <c r="E45">
        <v>51</v>
      </c>
      <c r="F45" t="s">
        <v>63</v>
      </c>
      <c r="G45" t="s">
        <v>34</v>
      </c>
      <c r="H45" t="s">
        <v>28</v>
      </c>
    </row>
    <row r="46" spans="1:8" ht="15" customHeight="1" x14ac:dyDescent="0.2">
      <c r="A46" s="1">
        <v>46237</v>
      </c>
      <c r="B46">
        <v>1</v>
      </c>
      <c r="C46" s="2">
        <v>0.66320601851851901</v>
      </c>
      <c r="D46" s="2">
        <v>0.6875</v>
      </c>
      <c r="E46">
        <v>35</v>
      </c>
      <c r="F46" t="s">
        <v>63</v>
      </c>
      <c r="G46" t="s">
        <v>28</v>
      </c>
      <c r="H46" t="s">
        <v>37</v>
      </c>
    </row>
    <row r="47" spans="1:8" ht="15" customHeight="1" x14ac:dyDescent="0.2">
      <c r="A47" s="1">
        <v>46237</v>
      </c>
      <c r="B47">
        <v>1</v>
      </c>
      <c r="C47" s="2">
        <v>0.61925925925925895</v>
      </c>
      <c r="D47" s="2">
        <v>0.65416666666666701</v>
      </c>
      <c r="E47">
        <v>51</v>
      </c>
      <c r="F47" t="s">
        <v>63</v>
      </c>
      <c r="G47" t="s">
        <v>28</v>
      </c>
      <c r="H47" t="s">
        <v>44</v>
      </c>
    </row>
    <row r="48" spans="1:8" ht="15" customHeight="1" x14ac:dyDescent="0.2">
      <c r="A48" s="1">
        <v>46237</v>
      </c>
      <c r="B48">
        <v>1</v>
      </c>
      <c r="C48" s="2">
        <v>0.52511574074074097</v>
      </c>
      <c r="D48" s="2">
        <v>0.56787037037037003</v>
      </c>
      <c r="E48">
        <v>61</v>
      </c>
      <c r="F48" t="s">
        <v>63</v>
      </c>
      <c r="G48" t="s">
        <v>28</v>
      </c>
      <c r="H48" t="s">
        <v>28</v>
      </c>
    </row>
    <row r="49" spans="1:8" ht="15" customHeight="1" x14ac:dyDescent="0.2">
      <c r="A49" s="1">
        <v>46237</v>
      </c>
      <c r="B49">
        <v>1</v>
      </c>
      <c r="C49" s="2">
        <v>0.57309027777777799</v>
      </c>
      <c r="D49" s="2">
        <v>0.61597222222222203</v>
      </c>
      <c r="E49">
        <v>62</v>
      </c>
      <c r="F49" t="s">
        <v>63</v>
      </c>
      <c r="G49" t="s">
        <v>28</v>
      </c>
      <c r="H49" t="s">
        <v>28</v>
      </c>
    </row>
    <row r="50" spans="1:8" ht="15" customHeight="1" x14ac:dyDescent="0.2">
      <c r="A50" s="1">
        <v>46237</v>
      </c>
      <c r="B50">
        <v>1</v>
      </c>
      <c r="C50" s="2">
        <v>0.73098379629629595</v>
      </c>
      <c r="D50" s="2">
        <v>0.78958333333333297</v>
      </c>
      <c r="E50">
        <v>85</v>
      </c>
      <c r="F50" t="s">
        <v>63</v>
      </c>
      <c r="G50" t="s">
        <v>28</v>
      </c>
      <c r="H50" t="s">
        <v>37</v>
      </c>
    </row>
    <row r="51" spans="1:8" ht="15" customHeight="1" x14ac:dyDescent="0.2">
      <c r="A51" s="1">
        <v>46237</v>
      </c>
      <c r="B51">
        <v>1</v>
      </c>
      <c r="C51" s="2">
        <v>0.72899305555555605</v>
      </c>
      <c r="D51" s="2">
        <v>0.744571759259259</v>
      </c>
      <c r="E51">
        <v>23</v>
      </c>
      <c r="F51" t="s">
        <v>66</v>
      </c>
      <c r="G51" t="s">
        <v>28</v>
      </c>
      <c r="H51" t="s">
        <v>28</v>
      </c>
    </row>
    <row r="52" spans="1:8" ht="15" customHeight="1" x14ac:dyDescent="0.2">
      <c r="A52" s="1">
        <v>46237</v>
      </c>
      <c r="B52">
        <v>0</v>
      </c>
      <c r="C52" s="2">
        <v>0.22012731481481501</v>
      </c>
      <c r="D52" s="2">
        <v>0.26994212962962999</v>
      </c>
      <c r="E52">
        <v>72</v>
      </c>
      <c r="F52" t="s">
        <v>63</v>
      </c>
      <c r="G52" t="s">
        <v>34</v>
      </c>
      <c r="H52" t="s">
        <v>44</v>
      </c>
    </row>
    <row r="53" spans="1:8" ht="15" customHeight="1" x14ac:dyDescent="0.2">
      <c r="A53" s="1">
        <v>46237</v>
      </c>
      <c r="B53">
        <v>0</v>
      </c>
      <c r="C53" s="2">
        <v>0.23401620370370399</v>
      </c>
      <c r="D53" s="2">
        <v>0.34449074074074099</v>
      </c>
      <c r="E53">
        <v>160</v>
      </c>
      <c r="F53" t="s">
        <v>63</v>
      </c>
      <c r="G53" t="s">
        <v>28</v>
      </c>
      <c r="H53" t="s">
        <v>30</v>
      </c>
    </row>
    <row r="54" spans="1:8" ht="15" customHeight="1" x14ac:dyDescent="0.2">
      <c r="A54" s="1">
        <v>46238</v>
      </c>
      <c r="B54">
        <v>0</v>
      </c>
      <c r="C54" s="2">
        <v>0.292141203703704</v>
      </c>
      <c r="D54" s="2">
        <v>0.31445601851851901</v>
      </c>
      <c r="E54">
        <v>32</v>
      </c>
      <c r="F54" t="s">
        <v>63</v>
      </c>
      <c r="G54" t="s">
        <v>34</v>
      </c>
      <c r="H54" t="s">
        <v>30</v>
      </c>
    </row>
    <row r="55" spans="1:8" ht="15" customHeight="1" x14ac:dyDescent="0.2">
      <c r="A55" s="1">
        <v>46238</v>
      </c>
      <c r="B55">
        <v>0</v>
      </c>
      <c r="C55" s="2">
        <v>0.456354166666667</v>
      </c>
      <c r="D55" s="2">
        <v>0.53241898148148104</v>
      </c>
      <c r="E55">
        <v>109</v>
      </c>
      <c r="F55" t="s">
        <v>65</v>
      </c>
      <c r="G55" t="s">
        <v>28</v>
      </c>
      <c r="H55" t="s">
        <v>46</v>
      </c>
    </row>
    <row r="56" spans="1:8" ht="15" customHeight="1" x14ac:dyDescent="0.2">
      <c r="A56" s="1">
        <v>46238</v>
      </c>
      <c r="B56">
        <v>0</v>
      </c>
      <c r="C56" s="2">
        <v>0.23624999999999999</v>
      </c>
      <c r="D56" s="2">
        <v>0.29415509259259298</v>
      </c>
      <c r="E56">
        <v>83</v>
      </c>
      <c r="F56" t="s">
        <v>65</v>
      </c>
      <c r="G56" t="s">
        <v>28</v>
      </c>
      <c r="H56" t="s">
        <v>30</v>
      </c>
    </row>
    <row r="57" spans="1:8" ht="15" customHeight="1" x14ac:dyDescent="0.2">
      <c r="A57" s="1">
        <v>46238</v>
      </c>
      <c r="B57">
        <v>0</v>
      </c>
      <c r="C57" s="2">
        <v>0.33517361111111099</v>
      </c>
      <c r="D57" s="2">
        <v>0.35693287037037003</v>
      </c>
      <c r="E57">
        <v>31</v>
      </c>
      <c r="F57" t="s">
        <v>65</v>
      </c>
      <c r="G57" t="s">
        <v>28</v>
      </c>
      <c r="H57" t="s">
        <v>30</v>
      </c>
    </row>
    <row r="58" spans="1:8" ht="15" customHeight="1" x14ac:dyDescent="0.2">
      <c r="A58" s="1">
        <v>46238</v>
      </c>
      <c r="B58">
        <v>0</v>
      </c>
      <c r="C58" s="2">
        <v>0.431226851851852</v>
      </c>
      <c r="D58" s="2">
        <v>0.4715625</v>
      </c>
      <c r="E58">
        <v>59</v>
      </c>
      <c r="F58" t="s">
        <v>63</v>
      </c>
      <c r="G58" t="s">
        <v>28</v>
      </c>
      <c r="H58" t="s">
        <v>33</v>
      </c>
    </row>
    <row r="59" spans="1:8" ht="15" customHeight="1" x14ac:dyDescent="0.2">
      <c r="A59" s="1">
        <v>46238</v>
      </c>
      <c r="B59">
        <v>0</v>
      </c>
      <c r="C59" s="2">
        <v>0.44599537037037001</v>
      </c>
      <c r="D59" s="2">
        <v>0.52966435185185201</v>
      </c>
      <c r="E59">
        <v>120</v>
      </c>
      <c r="F59" t="s">
        <v>65</v>
      </c>
      <c r="G59" t="s">
        <v>28</v>
      </c>
      <c r="H59" t="s">
        <v>28</v>
      </c>
    </row>
    <row r="60" spans="1:8" ht="15" customHeight="1" x14ac:dyDescent="0.2">
      <c r="A60" s="1">
        <v>46238</v>
      </c>
      <c r="B60">
        <v>0</v>
      </c>
      <c r="C60" s="2">
        <v>0.27472222222222198</v>
      </c>
      <c r="D60" s="2">
        <v>0.31318287037037001</v>
      </c>
      <c r="E60">
        <v>55</v>
      </c>
      <c r="F60" t="s">
        <v>65</v>
      </c>
      <c r="G60" t="s">
        <v>28</v>
      </c>
      <c r="H60" t="s">
        <v>28</v>
      </c>
    </row>
    <row r="61" spans="1:8" ht="15" customHeight="1" x14ac:dyDescent="0.2">
      <c r="A61" s="1">
        <v>46238</v>
      </c>
      <c r="B61">
        <v>0</v>
      </c>
      <c r="C61" s="2">
        <v>0.22287037037037</v>
      </c>
      <c r="D61" s="2">
        <v>0.267627314814815</v>
      </c>
      <c r="E61">
        <v>65</v>
      </c>
      <c r="F61" t="s">
        <v>63</v>
      </c>
      <c r="G61" t="s">
        <v>34</v>
      </c>
      <c r="H61" t="s">
        <v>44</v>
      </c>
    </row>
    <row r="62" spans="1:8" ht="15" customHeight="1" x14ac:dyDescent="0.2">
      <c r="A62" s="1">
        <v>46238</v>
      </c>
      <c r="B62">
        <v>0</v>
      </c>
      <c r="C62" s="2">
        <v>0.47118055555555599</v>
      </c>
      <c r="D62" s="2">
        <v>0.530555555555556</v>
      </c>
      <c r="E62">
        <v>86</v>
      </c>
      <c r="F62" t="s">
        <v>65</v>
      </c>
      <c r="G62" t="s">
        <v>28</v>
      </c>
      <c r="H62" t="s">
        <v>30</v>
      </c>
    </row>
    <row r="63" spans="1:8" ht="15" customHeight="1" x14ac:dyDescent="0.2">
      <c r="A63" s="1">
        <v>46238</v>
      </c>
      <c r="B63">
        <v>0</v>
      </c>
      <c r="C63" s="2">
        <v>0.25487268518518502</v>
      </c>
      <c r="D63" s="2">
        <v>0.30780092592592601</v>
      </c>
      <c r="E63">
        <v>76</v>
      </c>
      <c r="F63" t="s">
        <v>63</v>
      </c>
      <c r="G63" t="s">
        <v>34</v>
      </c>
      <c r="H63" t="s">
        <v>33</v>
      </c>
    </row>
    <row r="64" spans="1:8" ht="15" customHeight="1" x14ac:dyDescent="0.2">
      <c r="A64" s="1">
        <v>46238</v>
      </c>
      <c r="B64">
        <v>0</v>
      </c>
      <c r="C64" s="2">
        <v>0.50141203703703696</v>
      </c>
      <c r="D64" s="2">
        <v>0.56535879629629604</v>
      </c>
      <c r="E64">
        <v>92</v>
      </c>
      <c r="F64" t="s">
        <v>65</v>
      </c>
      <c r="G64" t="s">
        <v>28</v>
      </c>
      <c r="H64" t="s">
        <v>46</v>
      </c>
    </row>
    <row r="65" spans="1:8" ht="15" customHeight="1" x14ac:dyDescent="0.2">
      <c r="A65" s="1">
        <v>46238</v>
      </c>
      <c r="B65">
        <v>0</v>
      </c>
      <c r="C65" s="2">
        <v>0.55350694444444404</v>
      </c>
      <c r="F65" t="s">
        <v>65</v>
      </c>
      <c r="G65" t="s">
        <v>28</v>
      </c>
      <c r="H65" t="s">
        <v>33</v>
      </c>
    </row>
    <row r="66" spans="1:8" ht="15" customHeight="1" x14ac:dyDescent="0.2">
      <c r="A66" s="1">
        <v>46238</v>
      </c>
      <c r="B66">
        <v>0</v>
      </c>
      <c r="C66" s="2">
        <v>0.54392361111111098</v>
      </c>
      <c r="D66" s="2">
        <v>0.60640046296296302</v>
      </c>
      <c r="E66">
        <v>90</v>
      </c>
      <c r="F66" t="s">
        <v>65</v>
      </c>
      <c r="G66" t="s">
        <v>38</v>
      </c>
      <c r="H66" t="s">
        <v>28</v>
      </c>
    </row>
    <row r="67" spans="1:8" ht="15" customHeight="1" x14ac:dyDescent="0.2">
      <c r="A67" s="1">
        <v>46238</v>
      </c>
      <c r="B67">
        <v>0</v>
      </c>
      <c r="C67" s="2">
        <v>0.26767361111111099</v>
      </c>
      <c r="D67" s="2">
        <v>0.320659722222222</v>
      </c>
      <c r="E67">
        <v>76</v>
      </c>
      <c r="F67" t="s">
        <v>66</v>
      </c>
      <c r="G67" t="s">
        <v>28</v>
      </c>
      <c r="H67" t="s">
        <v>49</v>
      </c>
    </row>
    <row r="68" spans="1:8" ht="15" customHeight="1" x14ac:dyDescent="0.2">
      <c r="A68" s="1">
        <v>46238</v>
      </c>
      <c r="B68">
        <v>0</v>
      </c>
      <c r="C68" s="2">
        <v>0.33217592592592599</v>
      </c>
      <c r="D68" s="2">
        <v>0.38938657407407401</v>
      </c>
      <c r="E68">
        <v>82</v>
      </c>
      <c r="F68" t="s">
        <v>67</v>
      </c>
      <c r="G68" t="s">
        <v>28</v>
      </c>
      <c r="H68" t="s">
        <v>28</v>
      </c>
    </row>
    <row r="69" spans="1:8" ht="15" customHeight="1" x14ac:dyDescent="0.2">
      <c r="A69" s="1">
        <v>46238</v>
      </c>
      <c r="B69">
        <v>0</v>
      </c>
      <c r="C69" s="2">
        <v>0.27410879629629598</v>
      </c>
      <c r="D69" s="2">
        <v>0.309305555555556</v>
      </c>
      <c r="E69">
        <v>51</v>
      </c>
      <c r="F69" t="s">
        <v>63</v>
      </c>
      <c r="G69" t="s">
        <v>28</v>
      </c>
      <c r="H69" t="s">
        <v>28</v>
      </c>
    </row>
    <row r="70" spans="1:8" ht="15" customHeight="1" x14ac:dyDescent="0.2">
      <c r="A70" s="1">
        <v>46238</v>
      </c>
      <c r="B70">
        <v>0</v>
      </c>
      <c r="C70" s="2">
        <v>0.41840277777777801</v>
      </c>
      <c r="D70" s="2">
        <v>0.46234953703703702</v>
      </c>
      <c r="E70">
        <v>63</v>
      </c>
      <c r="F70" t="s">
        <v>63</v>
      </c>
      <c r="G70" t="s">
        <v>28</v>
      </c>
      <c r="H70" t="s">
        <v>28</v>
      </c>
    </row>
    <row r="71" spans="1:8" ht="15" customHeight="1" x14ac:dyDescent="0.2">
      <c r="A71" s="1">
        <v>46238</v>
      </c>
      <c r="B71">
        <v>0</v>
      </c>
      <c r="C71" s="2">
        <v>0.36619212962962999</v>
      </c>
      <c r="D71" s="2">
        <v>0.41118055555555599</v>
      </c>
      <c r="E71">
        <v>65</v>
      </c>
      <c r="F71" t="s">
        <v>65</v>
      </c>
      <c r="G71" t="s">
        <v>28</v>
      </c>
      <c r="H71" t="s">
        <v>33</v>
      </c>
    </row>
    <row r="72" spans="1:8" ht="15" customHeight="1" x14ac:dyDescent="0.2">
      <c r="A72" s="1">
        <v>46238</v>
      </c>
      <c r="B72">
        <v>0</v>
      </c>
      <c r="C72" s="2">
        <v>0.25446759259259299</v>
      </c>
      <c r="D72" s="2">
        <v>0.30972222222222201</v>
      </c>
      <c r="E72">
        <v>80</v>
      </c>
      <c r="F72" t="s">
        <v>63</v>
      </c>
      <c r="G72" t="s">
        <v>28</v>
      </c>
      <c r="H72" t="s">
        <v>28</v>
      </c>
    </row>
    <row r="73" spans="1:8" ht="15" customHeight="1" x14ac:dyDescent="0.2">
      <c r="A73" s="1">
        <v>46238</v>
      </c>
      <c r="B73">
        <v>0</v>
      </c>
      <c r="C73" s="2">
        <v>0.43694444444444402</v>
      </c>
      <c r="D73" s="2">
        <v>0.46872685185185198</v>
      </c>
      <c r="E73">
        <v>45</v>
      </c>
      <c r="F73" t="s">
        <v>63</v>
      </c>
      <c r="G73" t="s">
        <v>28</v>
      </c>
      <c r="H73" t="s">
        <v>47</v>
      </c>
    </row>
    <row r="74" spans="1:8" ht="15" customHeight="1" x14ac:dyDescent="0.2">
      <c r="A74" s="1">
        <v>46238</v>
      </c>
      <c r="B74">
        <v>0</v>
      </c>
      <c r="C74" s="2">
        <v>0.51163194444444404</v>
      </c>
      <c r="D74" s="2">
        <v>0.59740740740740705</v>
      </c>
      <c r="E74">
        <v>124</v>
      </c>
      <c r="F74" t="s">
        <v>65</v>
      </c>
      <c r="G74" t="s">
        <v>34</v>
      </c>
      <c r="H74" t="s">
        <v>30</v>
      </c>
    </row>
    <row r="75" spans="1:8" ht="15" customHeight="1" x14ac:dyDescent="0.2">
      <c r="A75" s="1">
        <v>46238</v>
      </c>
      <c r="B75">
        <v>0</v>
      </c>
      <c r="C75" s="2">
        <v>0.388472222222222</v>
      </c>
      <c r="D75" s="2">
        <v>0.467094907407407</v>
      </c>
      <c r="E75">
        <v>113</v>
      </c>
      <c r="F75" t="s">
        <v>65</v>
      </c>
      <c r="G75" t="s">
        <v>28</v>
      </c>
      <c r="H75" t="s">
        <v>45</v>
      </c>
    </row>
    <row r="76" spans="1:8" ht="15" customHeight="1" x14ac:dyDescent="0.2">
      <c r="A76" s="1">
        <v>46238</v>
      </c>
      <c r="B76">
        <v>0</v>
      </c>
      <c r="C76" s="2">
        <v>0.359837962962963</v>
      </c>
      <c r="D76" s="2">
        <v>0.40208333333333302</v>
      </c>
      <c r="E76">
        <v>61</v>
      </c>
      <c r="F76" t="s">
        <v>63</v>
      </c>
      <c r="G76" t="s">
        <v>28</v>
      </c>
      <c r="H76" t="s">
        <v>44</v>
      </c>
    </row>
    <row r="77" spans="1:8" ht="15" customHeight="1" x14ac:dyDescent="0.2">
      <c r="A77" s="1">
        <v>46238</v>
      </c>
      <c r="B77">
        <v>0</v>
      </c>
      <c r="C77" s="2">
        <v>0.64895833333333297</v>
      </c>
      <c r="D77" s="2">
        <v>0.680150462962963</v>
      </c>
      <c r="E77">
        <v>45</v>
      </c>
      <c r="F77" t="s">
        <v>63</v>
      </c>
      <c r="G77" t="s">
        <v>38</v>
      </c>
      <c r="H77" t="s">
        <v>39</v>
      </c>
    </row>
    <row r="78" spans="1:8" ht="15" customHeight="1" x14ac:dyDescent="0.2">
      <c r="A78" s="1">
        <v>46238</v>
      </c>
      <c r="B78">
        <v>0</v>
      </c>
      <c r="C78" s="2">
        <v>0.61447916666666702</v>
      </c>
      <c r="D78" s="2">
        <v>0.62730324074074095</v>
      </c>
      <c r="E78">
        <v>19</v>
      </c>
      <c r="F78" t="s">
        <v>63</v>
      </c>
      <c r="G78" t="s">
        <v>28</v>
      </c>
      <c r="H78" t="s">
        <v>33</v>
      </c>
    </row>
    <row r="79" spans="1:8" ht="15" customHeight="1" x14ac:dyDescent="0.2">
      <c r="A79" s="1">
        <v>46238</v>
      </c>
      <c r="B79">
        <v>0</v>
      </c>
      <c r="C79" s="2">
        <v>0.553958333333333</v>
      </c>
      <c r="D79" s="2">
        <v>0.6</v>
      </c>
      <c r="E79">
        <v>67</v>
      </c>
      <c r="F79" t="s">
        <v>63</v>
      </c>
      <c r="G79" t="s">
        <v>34</v>
      </c>
      <c r="H79" t="s">
        <v>30</v>
      </c>
    </row>
    <row r="80" spans="1:8" ht="15" customHeight="1" x14ac:dyDescent="0.2">
      <c r="A80" s="1">
        <v>46238</v>
      </c>
      <c r="B80">
        <v>1</v>
      </c>
      <c r="C80" s="2">
        <v>0.66077546296296297</v>
      </c>
      <c r="D80" s="2">
        <v>0.67428240740740697</v>
      </c>
      <c r="E80">
        <v>19</v>
      </c>
      <c r="F80" t="s">
        <v>63</v>
      </c>
      <c r="G80" t="s">
        <v>28</v>
      </c>
      <c r="H80" t="s">
        <v>30</v>
      </c>
    </row>
    <row r="81" spans="1:8" ht="15" customHeight="1" x14ac:dyDescent="0.2">
      <c r="A81" s="1">
        <v>46238</v>
      </c>
      <c r="B81">
        <v>0</v>
      </c>
      <c r="C81" s="2">
        <v>0.331585648148148</v>
      </c>
      <c r="D81" s="2">
        <v>0.40615740740740702</v>
      </c>
      <c r="E81">
        <v>107</v>
      </c>
      <c r="F81" t="s">
        <v>65</v>
      </c>
      <c r="G81" t="s">
        <v>28</v>
      </c>
      <c r="H81" t="s">
        <v>28</v>
      </c>
    </row>
    <row r="82" spans="1:8" ht="15" customHeight="1" x14ac:dyDescent="0.2">
      <c r="A82" s="1">
        <v>46238</v>
      </c>
      <c r="B82">
        <v>1</v>
      </c>
      <c r="C82" s="2">
        <v>0.39859953703703699</v>
      </c>
      <c r="D82" s="2">
        <v>0.410486111111111</v>
      </c>
      <c r="E82">
        <v>18</v>
      </c>
      <c r="F82" t="s">
        <v>66</v>
      </c>
      <c r="G82" t="s">
        <v>28</v>
      </c>
      <c r="H82" t="s">
        <v>28</v>
      </c>
    </row>
    <row r="83" spans="1:8" ht="15" customHeight="1" x14ac:dyDescent="0.2">
      <c r="A83" s="1">
        <v>46238</v>
      </c>
      <c r="B83">
        <v>1</v>
      </c>
      <c r="C83" s="2">
        <v>0.49898148148148103</v>
      </c>
      <c r="D83" s="2">
        <v>0.53958333333333297</v>
      </c>
      <c r="E83">
        <v>59</v>
      </c>
      <c r="F83" t="s">
        <v>63</v>
      </c>
      <c r="G83" t="s">
        <v>34</v>
      </c>
      <c r="H83" t="s">
        <v>30</v>
      </c>
    </row>
    <row r="84" spans="1:8" ht="15" customHeight="1" x14ac:dyDescent="0.2">
      <c r="A84" s="1">
        <v>46238</v>
      </c>
      <c r="B84">
        <v>1</v>
      </c>
      <c r="C84" s="2">
        <v>0.70462962962963005</v>
      </c>
      <c r="D84" s="2">
        <v>0.74157407407407405</v>
      </c>
      <c r="E84">
        <v>53</v>
      </c>
      <c r="F84" t="s">
        <v>63</v>
      </c>
      <c r="G84" t="s">
        <v>28</v>
      </c>
      <c r="H84" t="s">
        <v>30</v>
      </c>
    </row>
    <row r="85" spans="1:8" ht="15" customHeight="1" x14ac:dyDescent="0.2">
      <c r="A85" s="1">
        <v>46238</v>
      </c>
      <c r="B85">
        <v>0</v>
      </c>
      <c r="C85" s="2">
        <v>0.36439814814814803</v>
      </c>
      <c r="D85" s="2">
        <v>0.45902777777777798</v>
      </c>
      <c r="E85">
        <v>137</v>
      </c>
      <c r="F85" t="s">
        <v>65</v>
      </c>
      <c r="G85" t="s">
        <v>34</v>
      </c>
      <c r="H85" t="s">
        <v>30</v>
      </c>
    </row>
    <row r="86" spans="1:8" ht="15" customHeight="1" x14ac:dyDescent="0.2">
      <c r="A86" s="1">
        <v>46238</v>
      </c>
      <c r="B86">
        <v>0</v>
      </c>
      <c r="C86" s="2">
        <v>0.27421296296296299</v>
      </c>
      <c r="D86" s="2">
        <v>0.31171296296296302</v>
      </c>
      <c r="E86">
        <v>54</v>
      </c>
      <c r="F86" t="s">
        <v>65</v>
      </c>
      <c r="G86" t="s">
        <v>28</v>
      </c>
      <c r="H86" t="s">
        <v>45</v>
      </c>
    </row>
    <row r="87" spans="1:8" ht="15" customHeight="1" x14ac:dyDescent="0.2">
      <c r="A87" s="1">
        <v>46238</v>
      </c>
      <c r="B87">
        <v>0</v>
      </c>
      <c r="C87" s="2">
        <v>0.56740740740740703</v>
      </c>
      <c r="D87" s="2">
        <v>0.61929398148148196</v>
      </c>
      <c r="E87">
        <v>74</v>
      </c>
      <c r="F87" t="s">
        <v>65</v>
      </c>
      <c r="G87" t="s">
        <v>28</v>
      </c>
      <c r="H87" t="s">
        <v>46</v>
      </c>
    </row>
    <row r="88" spans="1:8" ht="15" customHeight="1" x14ac:dyDescent="0.2">
      <c r="A88" s="1">
        <v>46238</v>
      </c>
      <c r="B88">
        <v>0</v>
      </c>
      <c r="C88" s="2">
        <v>0.29701388888888902</v>
      </c>
      <c r="D88" s="2">
        <v>0.355335648148148</v>
      </c>
      <c r="E88">
        <v>84</v>
      </c>
      <c r="F88" t="s">
        <v>65</v>
      </c>
      <c r="G88" t="s">
        <v>28</v>
      </c>
      <c r="H88" t="s">
        <v>45</v>
      </c>
    </row>
    <row r="89" spans="1:8" ht="15" customHeight="1" x14ac:dyDescent="0.2">
      <c r="A89" s="1">
        <v>46238</v>
      </c>
      <c r="B89">
        <v>0</v>
      </c>
      <c r="C89" s="2">
        <v>0.36719907407407398</v>
      </c>
      <c r="D89" s="2">
        <v>0.408020833333333</v>
      </c>
      <c r="E89">
        <v>59</v>
      </c>
      <c r="F89" t="s">
        <v>65</v>
      </c>
      <c r="G89" t="s">
        <v>28</v>
      </c>
      <c r="H89" t="s">
        <v>45</v>
      </c>
    </row>
    <row r="90" spans="1:8" ht="15" customHeight="1" x14ac:dyDescent="0.2">
      <c r="A90" s="1">
        <v>46238</v>
      </c>
      <c r="B90">
        <v>0</v>
      </c>
      <c r="C90" s="2">
        <v>0.32829861111111103</v>
      </c>
      <c r="D90" s="2">
        <v>0.37542824074074099</v>
      </c>
      <c r="E90">
        <v>68</v>
      </c>
      <c r="F90" t="s">
        <v>65</v>
      </c>
      <c r="G90" t="s">
        <v>28</v>
      </c>
      <c r="H90" t="s">
        <v>45</v>
      </c>
    </row>
    <row r="91" spans="1:8" ht="15" customHeight="1" x14ac:dyDescent="0.2">
      <c r="A91" s="1">
        <v>46238</v>
      </c>
      <c r="B91">
        <v>0</v>
      </c>
      <c r="C91" s="2">
        <v>0.23592592592592601</v>
      </c>
      <c r="D91" s="2">
        <v>0.31597222222222199</v>
      </c>
      <c r="E91">
        <v>116</v>
      </c>
      <c r="F91" t="s">
        <v>65</v>
      </c>
      <c r="G91" t="s">
        <v>28</v>
      </c>
      <c r="H91" t="s">
        <v>45</v>
      </c>
    </row>
    <row r="92" spans="1:8" ht="15" customHeight="1" x14ac:dyDescent="0.2">
      <c r="A92" s="1">
        <v>46239</v>
      </c>
      <c r="B92">
        <v>0</v>
      </c>
      <c r="C92" s="2">
        <v>0.2253125</v>
      </c>
      <c r="D92" s="2">
        <v>0.26730324074074102</v>
      </c>
      <c r="E92">
        <v>60</v>
      </c>
      <c r="F92" t="s">
        <v>63</v>
      </c>
      <c r="G92" t="s">
        <v>34</v>
      </c>
      <c r="H92" t="s">
        <v>44</v>
      </c>
    </row>
    <row r="93" spans="1:8" ht="15" customHeight="1" x14ac:dyDescent="0.2">
      <c r="A93" s="1">
        <v>46239</v>
      </c>
      <c r="B93">
        <v>0</v>
      </c>
      <c r="C93" s="2">
        <v>0.22164351851851899</v>
      </c>
      <c r="F93" t="s">
        <v>63</v>
      </c>
      <c r="G93" t="s">
        <v>28</v>
      </c>
      <c r="H93" t="s">
        <v>28</v>
      </c>
    </row>
    <row r="94" spans="1:8" ht="15" customHeight="1" x14ac:dyDescent="0.2">
      <c r="A94" s="1">
        <v>46239</v>
      </c>
      <c r="B94">
        <v>0</v>
      </c>
      <c r="C94" s="2">
        <v>0.33958333333333302</v>
      </c>
      <c r="D94" s="2">
        <v>0.42473379629629598</v>
      </c>
      <c r="E94">
        <v>122</v>
      </c>
      <c r="F94" t="s">
        <v>65</v>
      </c>
      <c r="G94" t="s">
        <v>28</v>
      </c>
      <c r="H94" t="s">
        <v>45</v>
      </c>
    </row>
    <row r="95" spans="1:8" ht="15" customHeight="1" x14ac:dyDescent="0.2">
      <c r="A95" s="1">
        <v>46239</v>
      </c>
      <c r="B95">
        <v>0</v>
      </c>
      <c r="C95" s="2">
        <v>0.257314814814815</v>
      </c>
      <c r="D95" s="2">
        <v>0.31159722222222203</v>
      </c>
      <c r="E95">
        <v>78</v>
      </c>
      <c r="F95" t="s">
        <v>65</v>
      </c>
      <c r="G95" t="s">
        <v>28</v>
      </c>
      <c r="H95" t="s">
        <v>45</v>
      </c>
    </row>
    <row r="96" spans="1:8" ht="15" customHeight="1" x14ac:dyDescent="0.2">
      <c r="A96" s="1">
        <v>46239</v>
      </c>
      <c r="B96">
        <v>0</v>
      </c>
      <c r="C96" s="2">
        <v>0.22944444444444401</v>
      </c>
      <c r="D96" s="2">
        <v>0.31083333333333302</v>
      </c>
      <c r="E96">
        <v>117</v>
      </c>
      <c r="F96" t="s">
        <v>65</v>
      </c>
      <c r="G96" t="s">
        <v>28</v>
      </c>
      <c r="H96" t="s">
        <v>28</v>
      </c>
    </row>
    <row r="97" spans="1:8" ht="15" customHeight="1" x14ac:dyDescent="0.2">
      <c r="A97" s="1">
        <v>46239</v>
      </c>
      <c r="B97">
        <v>0</v>
      </c>
      <c r="C97" s="2">
        <v>0.25597222222222199</v>
      </c>
      <c r="D97" s="2">
        <v>0.31874999999999998</v>
      </c>
      <c r="E97">
        <v>91</v>
      </c>
      <c r="F97" t="s">
        <v>65</v>
      </c>
      <c r="G97" t="s">
        <v>28</v>
      </c>
      <c r="H97" t="s">
        <v>28</v>
      </c>
    </row>
    <row r="98" spans="1:8" ht="15" customHeight="1" x14ac:dyDescent="0.2">
      <c r="A98" s="1">
        <v>46239</v>
      </c>
      <c r="B98">
        <v>0</v>
      </c>
      <c r="C98" s="2">
        <v>0.278206018518519</v>
      </c>
      <c r="D98" s="2">
        <v>0.37355324074074098</v>
      </c>
      <c r="E98">
        <v>137</v>
      </c>
      <c r="F98" t="s">
        <v>65</v>
      </c>
      <c r="G98" t="s">
        <v>28</v>
      </c>
      <c r="H98" t="s">
        <v>28</v>
      </c>
    </row>
    <row r="99" spans="1:8" ht="15" customHeight="1" x14ac:dyDescent="0.2">
      <c r="A99" s="1">
        <v>46239</v>
      </c>
      <c r="B99">
        <v>0</v>
      </c>
      <c r="C99" s="2">
        <v>0.42453703703703699</v>
      </c>
      <c r="D99" s="2">
        <v>0.505462962962963</v>
      </c>
      <c r="E99">
        <v>116</v>
      </c>
      <c r="F99" t="s">
        <v>65</v>
      </c>
      <c r="G99" t="s">
        <v>28</v>
      </c>
      <c r="H99" t="s">
        <v>45</v>
      </c>
    </row>
    <row r="100" spans="1:8" ht="15" customHeight="1" x14ac:dyDescent="0.2">
      <c r="A100" s="1">
        <v>46239</v>
      </c>
      <c r="B100">
        <v>0</v>
      </c>
      <c r="C100" s="2">
        <v>0.47081018518518503</v>
      </c>
      <c r="D100" s="2">
        <v>0.53162037037037002</v>
      </c>
      <c r="E100">
        <v>88</v>
      </c>
      <c r="F100" t="s">
        <v>63</v>
      </c>
      <c r="G100" t="s">
        <v>34</v>
      </c>
      <c r="H100" t="s">
        <v>28</v>
      </c>
    </row>
    <row r="101" spans="1:8" ht="15" customHeight="1" x14ac:dyDescent="0.2">
      <c r="A101" s="1">
        <v>46239</v>
      </c>
      <c r="B101">
        <v>0</v>
      </c>
      <c r="C101" s="2">
        <v>0.38108796296296299</v>
      </c>
      <c r="D101" s="2">
        <v>0.45599537037037002</v>
      </c>
      <c r="E101">
        <v>108</v>
      </c>
      <c r="F101" t="s">
        <v>65</v>
      </c>
      <c r="G101" t="s">
        <v>28</v>
      </c>
      <c r="H101" t="s">
        <v>28</v>
      </c>
    </row>
    <row r="102" spans="1:8" ht="15" customHeight="1" x14ac:dyDescent="0.2">
      <c r="A102" s="1">
        <v>46239</v>
      </c>
      <c r="B102">
        <v>0</v>
      </c>
      <c r="C102" s="2">
        <v>0.266087962962963</v>
      </c>
      <c r="D102" s="2">
        <v>0.30494212962963002</v>
      </c>
      <c r="E102">
        <v>56</v>
      </c>
      <c r="F102" t="s">
        <v>65</v>
      </c>
      <c r="G102" t="s">
        <v>28</v>
      </c>
      <c r="H102" t="s">
        <v>33</v>
      </c>
    </row>
    <row r="103" spans="1:8" ht="15" customHeight="1" x14ac:dyDescent="0.2">
      <c r="A103" s="1">
        <v>46239</v>
      </c>
      <c r="B103">
        <v>0</v>
      </c>
      <c r="C103" s="2">
        <v>0.33755787037036999</v>
      </c>
      <c r="D103" s="2">
        <v>0.45371527777777798</v>
      </c>
      <c r="E103">
        <v>167</v>
      </c>
      <c r="F103" t="s">
        <v>65</v>
      </c>
      <c r="G103" t="s">
        <v>28</v>
      </c>
      <c r="H103" t="s">
        <v>28</v>
      </c>
    </row>
    <row r="104" spans="1:8" ht="15" customHeight="1" x14ac:dyDescent="0.2">
      <c r="A104" s="1">
        <v>46239</v>
      </c>
      <c r="B104">
        <v>0</v>
      </c>
      <c r="C104" s="2">
        <v>0.281481481481481</v>
      </c>
      <c r="D104" s="2">
        <v>0.35293981481481501</v>
      </c>
      <c r="E104">
        <v>103</v>
      </c>
      <c r="F104" t="s">
        <v>65</v>
      </c>
      <c r="G104" t="s">
        <v>28</v>
      </c>
      <c r="H104" t="s">
        <v>33</v>
      </c>
    </row>
    <row r="105" spans="1:8" ht="15" customHeight="1" x14ac:dyDescent="0.2">
      <c r="A105" s="1">
        <v>46239</v>
      </c>
      <c r="B105">
        <v>0</v>
      </c>
      <c r="C105" s="2">
        <v>0.381770833333333</v>
      </c>
      <c r="D105" s="2">
        <v>0.53752314814814794</v>
      </c>
      <c r="E105">
        <v>225</v>
      </c>
      <c r="F105" t="s">
        <v>65</v>
      </c>
      <c r="G105" t="s">
        <v>34</v>
      </c>
      <c r="H105" t="s">
        <v>30</v>
      </c>
    </row>
    <row r="106" spans="1:8" ht="15" customHeight="1" x14ac:dyDescent="0.2">
      <c r="A106" s="1">
        <v>46239</v>
      </c>
      <c r="B106">
        <v>0</v>
      </c>
      <c r="C106" s="2">
        <v>0.526053240740741</v>
      </c>
      <c r="D106" s="2">
        <v>0.65707175925925898</v>
      </c>
      <c r="E106">
        <v>189</v>
      </c>
      <c r="F106" t="s">
        <v>65</v>
      </c>
      <c r="G106" t="s">
        <v>34</v>
      </c>
      <c r="H106" t="s">
        <v>30</v>
      </c>
    </row>
    <row r="107" spans="1:8" ht="15" customHeight="1" x14ac:dyDescent="0.2">
      <c r="A107" s="1">
        <v>46239</v>
      </c>
      <c r="B107">
        <v>0</v>
      </c>
      <c r="C107" s="2">
        <v>0.2628125</v>
      </c>
      <c r="D107" s="2">
        <v>0.30423611111111099</v>
      </c>
      <c r="E107">
        <v>60</v>
      </c>
      <c r="F107" t="s">
        <v>65</v>
      </c>
      <c r="G107" t="s">
        <v>28</v>
      </c>
      <c r="H107" t="s">
        <v>39</v>
      </c>
    </row>
    <row r="108" spans="1:8" ht="15" customHeight="1" x14ac:dyDescent="0.2">
      <c r="A108" s="1">
        <v>46239</v>
      </c>
      <c r="B108">
        <v>0</v>
      </c>
      <c r="C108" s="2">
        <v>0.23994212962962999</v>
      </c>
      <c r="D108" s="2">
        <v>0.29797453703703702</v>
      </c>
      <c r="E108">
        <v>84</v>
      </c>
      <c r="F108" t="s">
        <v>63</v>
      </c>
      <c r="G108" t="s">
        <v>28</v>
      </c>
      <c r="H108" t="s">
        <v>30</v>
      </c>
    </row>
    <row r="109" spans="1:8" ht="15" customHeight="1" x14ac:dyDescent="0.2">
      <c r="A109" s="1">
        <v>46239</v>
      </c>
      <c r="B109">
        <v>0</v>
      </c>
      <c r="C109" s="2">
        <v>0.42438657407407399</v>
      </c>
      <c r="D109" s="2">
        <v>0.50670138888888905</v>
      </c>
      <c r="E109">
        <v>118</v>
      </c>
      <c r="F109" t="s">
        <v>65</v>
      </c>
      <c r="G109" t="s">
        <v>28</v>
      </c>
      <c r="H109" t="s">
        <v>30</v>
      </c>
    </row>
    <row r="110" spans="1:8" ht="15" customHeight="1" x14ac:dyDescent="0.2">
      <c r="A110" s="1">
        <v>46239</v>
      </c>
      <c r="B110">
        <v>0</v>
      </c>
      <c r="C110" s="2">
        <v>0.33372685185185202</v>
      </c>
      <c r="D110" s="2">
        <v>0.40628472222222201</v>
      </c>
      <c r="E110">
        <v>105</v>
      </c>
      <c r="F110" t="s">
        <v>65</v>
      </c>
      <c r="G110" t="s">
        <v>28</v>
      </c>
      <c r="H110" t="s">
        <v>33</v>
      </c>
    </row>
    <row r="111" spans="1:8" ht="15" customHeight="1" x14ac:dyDescent="0.2">
      <c r="A111" s="1">
        <v>46239</v>
      </c>
      <c r="B111">
        <v>1</v>
      </c>
      <c r="C111" s="2">
        <v>0.66391203703703705</v>
      </c>
      <c r="D111" s="2">
        <v>0.68729166666666697</v>
      </c>
      <c r="E111">
        <v>33</v>
      </c>
      <c r="F111" t="s">
        <v>63</v>
      </c>
      <c r="G111" t="s">
        <v>28</v>
      </c>
      <c r="H111" t="s">
        <v>37</v>
      </c>
    </row>
    <row r="112" spans="1:8" ht="15" customHeight="1" x14ac:dyDescent="0.2">
      <c r="A112" s="1">
        <v>46239</v>
      </c>
      <c r="B112">
        <v>1</v>
      </c>
      <c r="C112" s="2">
        <v>0.58292824074074101</v>
      </c>
      <c r="D112" s="2">
        <v>0.61620370370370403</v>
      </c>
      <c r="E112">
        <v>48</v>
      </c>
      <c r="F112" t="s">
        <v>63</v>
      </c>
      <c r="G112" t="s">
        <v>28</v>
      </c>
      <c r="H112" t="s">
        <v>30</v>
      </c>
    </row>
    <row r="113" spans="1:8" ht="15" customHeight="1" x14ac:dyDescent="0.2">
      <c r="A113" s="1">
        <v>46239</v>
      </c>
      <c r="B113">
        <v>1</v>
      </c>
      <c r="C113" s="2">
        <v>0.69662037037036995</v>
      </c>
      <c r="D113" s="2">
        <v>0.73104166666666703</v>
      </c>
      <c r="E113">
        <v>49</v>
      </c>
      <c r="F113" t="s">
        <v>63</v>
      </c>
      <c r="G113" t="s">
        <v>28</v>
      </c>
      <c r="H113" t="s">
        <v>30</v>
      </c>
    </row>
    <row r="114" spans="1:8" ht="15" customHeight="1" x14ac:dyDescent="0.2">
      <c r="A114" s="1">
        <v>46239</v>
      </c>
      <c r="B114">
        <v>1</v>
      </c>
      <c r="C114" s="2">
        <v>0.613611111111111</v>
      </c>
      <c r="D114" s="2">
        <v>0.64709490740740705</v>
      </c>
      <c r="E114">
        <v>48</v>
      </c>
      <c r="F114" t="s">
        <v>63</v>
      </c>
      <c r="G114" t="s">
        <v>28</v>
      </c>
      <c r="H114" t="s">
        <v>28</v>
      </c>
    </row>
    <row r="115" spans="1:8" ht="15" customHeight="1" x14ac:dyDescent="0.2">
      <c r="A115" s="1">
        <v>46239</v>
      </c>
      <c r="B115">
        <v>1</v>
      </c>
      <c r="C115" s="2">
        <v>0.70671296296296304</v>
      </c>
      <c r="D115" s="2">
        <v>0.78138888888888902</v>
      </c>
      <c r="E115">
        <v>108</v>
      </c>
      <c r="F115" t="s">
        <v>63</v>
      </c>
      <c r="G115" t="s">
        <v>28</v>
      </c>
      <c r="H115" t="s">
        <v>28</v>
      </c>
    </row>
    <row r="116" spans="1:8" ht="15" customHeight="1" x14ac:dyDescent="0.2">
      <c r="A116" s="1">
        <v>46239</v>
      </c>
      <c r="B116">
        <v>0</v>
      </c>
      <c r="C116" s="2">
        <v>0.24467592592592599</v>
      </c>
      <c r="D116" s="2">
        <v>0.30972222222222201</v>
      </c>
      <c r="E116">
        <v>94</v>
      </c>
      <c r="F116" t="s">
        <v>65</v>
      </c>
      <c r="G116" t="s">
        <v>34</v>
      </c>
      <c r="H116" t="s">
        <v>30</v>
      </c>
    </row>
    <row r="117" spans="1:8" ht="15" customHeight="1" x14ac:dyDescent="0.2">
      <c r="A117" s="1">
        <v>46239</v>
      </c>
      <c r="B117">
        <v>0</v>
      </c>
      <c r="C117" s="2">
        <v>0.29822916666666699</v>
      </c>
      <c r="D117" s="2">
        <v>0.349178240740741</v>
      </c>
      <c r="E117">
        <v>73</v>
      </c>
      <c r="F117" t="s">
        <v>65</v>
      </c>
      <c r="G117" t="s">
        <v>28</v>
      </c>
      <c r="H117" t="s">
        <v>45</v>
      </c>
    </row>
    <row r="118" spans="1:8" ht="15" customHeight="1" x14ac:dyDescent="0.2">
      <c r="A118" s="1">
        <v>46239</v>
      </c>
      <c r="B118">
        <v>0</v>
      </c>
      <c r="C118" s="2">
        <v>0.44930555555555601</v>
      </c>
      <c r="D118" s="2">
        <v>0.50714120370370397</v>
      </c>
      <c r="E118">
        <v>83</v>
      </c>
      <c r="F118" t="s">
        <v>66</v>
      </c>
      <c r="G118" t="s">
        <v>28</v>
      </c>
      <c r="H118" t="s">
        <v>30</v>
      </c>
    </row>
    <row r="119" spans="1:8" ht="15" customHeight="1" x14ac:dyDescent="0.2">
      <c r="A119" s="1">
        <v>46240</v>
      </c>
      <c r="B119">
        <v>0</v>
      </c>
      <c r="C119" s="2">
        <v>0.291064814814815</v>
      </c>
      <c r="D119" s="2">
        <v>0.34785879629629601</v>
      </c>
      <c r="E119">
        <v>81</v>
      </c>
      <c r="F119" t="s">
        <v>65</v>
      </c>
      <c r="G119" t="s">
        <v>28</v>
      </c>
      <c r="H119" t="s">
        <v>33</v>
      </c>
    </row>
    <row r="120" spans="1:8" ht="15" customHeight="1" x14ac:dyDescent="0.2">
      <c r="A120" s="1">
        <v>46240</v>
      </c>
      <c r="B120">
        <v>0</v>
      </c>
      <c r="C120" s="2">
        <v>0.28594907407407399</v>
      </c>
      <c r="D120" s="2">
        <v>0.36208333333333298</v>
      </c>
      <c r="E120">
        <v>110</v>
      </c>
      <c r="F120" t="s">
        <v>65</v>
      </c>
      <c r="G120" t="s">
        <v>28</v>
      </c>
      <c r="H120" t="s">
        <v>33</v>
      </c>
    </row>
    <row r="121" spans="1:8" ht="15" customHeight="1" x14ac:dyDescent="0.2">
      <c r="A121" s="1">
        <v>46240</v>
      </c>
      <c r="B121">
        <v>0</v>
      </c>
      <c r="C121" s="2">
        <v>0.36122685185185199</v>
      </c>
      <c r="D121" s="2">
        <v>0.42825231481481502</v>
      </c>
      <c r="E121">
        <v>96</v>
      </c>
      <c r="F121" t="s">
        <v>65</v>
      </c>
      <c r="G121" t="s">
        <v>28</v>
      </c>
      <c r="H121" t="s">
        <v>33</v>
      </c>
    </row>
    <row r="122" spans="1:8" ht="15" customHeight="1" x14ac:dyDescent="0.2">
      <c r="A122" s="1">
        <v>46240</v>
      </c>
      <c r="B122">
        <v>0</v>
      </c>
      <c r="C122" s="2">
        <v>0.37184027777777801</v>
      </c>
      <c r="D122" s="2">
        <v>0.45364583333333303</v>
      </c>
      <c r="E122">
        <v>118</v>
      </c>
      <c r="F122" t="s">
        <v>68</v>
      </c>
      <c r="G122" t="s">
        <v>34</v>
      </c>
      <c r="H122" t="s">
        <v>30</v>
      </c>
    </row>
    <row r="123" spans="1:8" ht="15" customHeight="1" x14ac:dyDescent="0.2">
      <c r="A123" s="1">
        <v>46240</v>
      </c>
      <c r="B123">
        <v>0</v>
      </c>
      <c r="C123" s="2">
        <v>0.58778935185185199</v>
      </c>
      <c r="D123" s="2">
        <v>0.63888888888888895</v>
      </c>
      <c r="E123">
        <v>74</v>
      </c>
      <c r="F123" t="s">
        <v>63</v>
      </c>
      <c r="G123" t="s">
        <v>28</v>
      </c>
      <c r="H123" t="s">
        <v>33</v>
      </c>
    </row>
    <row r="124" spans="1:8" ht="15" customHeight="1" x14ac:dyDescent="0.2">
      <c r="A124" s="1">
        <v>46240</v>
      </c>
      <c r="B124">
        <v>0</v>
      </c>
      <c r="C124" s="2">
        <v>0.22317129629629601</v>
      </c>
      <c r="F124" t="s">
        <v>63</v>
      </c>
      <c r="G124" t="s">
        <v>28</v>
      </c>
      <c r="H124" t="s">
        <v>28</v>
      </c>
    </row>
    <row r="125" spans="1:8" ht="15" customHeight="1" x14ac:dyDescent="0.2">
      <c r="A125" s="1">
        <v>46240</v>
      </c>
      <c r="B125">
        <v>0</v>
      </c>
      <c r="C125" s="2">
        <v>0.44774305555555599</v>
      </c>
      <c r="D125" s="2">
        <v>0.478831018518519</v>
      </c>
      <c r="E125">
        <v>45</v>
      </c>
      <c r="F125" t="s">
        <v>65</v>
      </c>
      <c r="G125" t="s">
        <v>28</v>
      </c>
      <c r="H125" t="s">
        <v>33</v>
      </c>
    </row>
    <row r="126" spans="1:8" ht="15" customHeight="1" x14ac:dyDescent="0.2">
      <c r="A126" s="1">
        <v>46240</v>
      </c>
      <c r="B126">
        <v>0</v>
      </c>
      <c r="C126" s="2">
        <v>0.56738425925925895</v>
      </c>
      <c r="D126" s="2">
        <v>0.60555555555555596</v>
      </c>
      <c r="E126">
        <v>55</v>
      </c>
      <c r="F126" t="s">
        <v>65</v>
      </c>
      <c r="G126" t="s">
        <v>28</v>
      </c>
      <c r="H126" t="s">
        <v>33</v>
      </c>
    </row>
    <row r="127" spans="1:8" ht="15" customHeight="1" x14ac:dyDescent="0.2">
      <c r="A127" s="1">
        <v>46240</v>
      </c>
      <c r="B127">
        <v>0</v>
      </c>
      <c r="C127" s="2">
        <v>0.47508101851851903</v>
      </c>
      <c r="D127" s="2">
        <v>0.54050925925925897</v>
      </c>
      <c r="E127">
        <v>94</v>
      </c>
      <c r="F127" t="s">
        <v>65</v>
      </c>
      <c r="G127" t="s">
        <v>28</v>
      </c>
      <c r="H127" t="s">
        <v>33</v>
      </c>
    </row>
    <row r="128" spans="1:8" ht="15" customHeight="1" x14ac:dyDescent="0.2">
      <c r="A128" s="1">
        <v>46240</v>
      </c>
      <c r="B128">
        <v>0</v>
      </c>
      <c r="C128" s="2">
        <v>0.25148148148148097</v>
      </c>
      <c r="D128" s="2">
        <v>0.31399305555555601</v>
      </c>
      <c r="E128">
        <v>90</v>
      </c>
      <c r="F128" t="s">
        <v>68</v>
      </c>
      <c r="G128" t="s">
        <v>34</v>
      </c>
      <c r="H128" t="s">
        <v>30</v>
      </c>
    </row>
    <row r="129" spans="1:8" ht="15" customHeight="1" x14ac:dyDescent="0.2">
      <c r="A129" s="1">
        <v>46240</v>
      </c>
      <c r="B129">
        <v>0</v>
      </c>
      <c r="C129" s="2">
        <v>0.23958333333333301</v>
      </c>
      <c r="D129" s="2">
        <v>0.30379629629629601</v>
      </c>
      <c r="E129">
        <v>92</v>
      </c>
      <c r="F129" t="s">
        <v>66</v>
      </c>
      <c r="G129" t="s">
        <v>28</v>
      </c>
      <c r="H129" t="s">
        <v>33</v>
      </c>
    </row>
    <row r="130" spans="1:8" ht="15" customHeight="1" x14ac:dyDescent="0.2">
      <c r="A130" s="1">
        <v>46240</v>
      </c>
      <c r="B130">
        <v>0</v>
      </c>
      <c r="C130" s="2">
        <v>0.50265046296296301</v>
      </c>
      <c r="D130" s="2">
        <v>0.60293981481481496</v>
      </c>
      <c r="E130">
        <v>145</v>
      </c>
      <c r="F130" t="s">
        <v>67</v>
      </c>
      <c r="G130" t="s">
        <v>28</v>
      </c>
      <c r="H130" t="s">
        <v>33</v>
      </c>
    </row>
    <row r="131" spans="1:8" ht="15" customHeight="1" x14ac:dyDescent="0.2">
      <c r="A131" s="1">
        <v>46240</v>
      </c>
      <c r="B131">
        <v>0</v>
      </c>
      <c r="C131" s="2">
        <v>0.381157407407407</v>
      </c>
      <c r="D131" s="2">
        <v>0.44417824074074103</v>
      </c>
      <c r="E131">
        <v>91</v>
      </c>
      <c r="F131" t="s">
        <v>63</v>
      </c>
      <c r="G131" t="s">
        <v>28</v>
      </c>
      <c r="H131" t="s">
        <v>33</v>
      </c>
    </row>
    <row r="132" spans="1:8" ht="15" customHeight="1" x14ac:dyDescent="0.2">
      <c r="A132" s="1">
        <v>46240</v>
      </c>
      <c r="B132">
        <v>0</v>
      </c>
      <c r="C132" s="2">
        <v>0.52570601851851895</v>
      </c>
      <c r="D132" s="2">
        <v>0.58546296296296296</v>
      </c>
      <c r="E132">
        <v>86</v>
      </c>
      <c r="F132" t="s">
        <v>68</v>
      </c>
      <c r="G132" t="s">
        <v>28</v>
      </c>
      <c r="H132" t="s">
        <v>30</v>
      </c>
    </row>
    <row r="133" spans="1:8" ht="15" customHeight="1" x14ac:dyDescent="0.2">
      <c r="A133" s="1">
        <v>46240</v>
      </c>
      <c r="B133">
        <v>0</v>
      </c>
      <c r="C133" s="2">
        <v>0.31193287037036999</v>
      </c>
      <c r="D133" s="2">
        <v>0.31230324074074101</v>
      </c>
      <c r="E133">
        <v>0</v>
      </c>
      <c r="F133" t="s">
        <v>65</v>
      </c>
      <c r="G133" t="s">
        <v>28</v>
      </c>
      <c r="H133" t="s">
        <v>28</v>
      </c>
    </row>
    <row r="134" spans="1:8" ht="15" customHeight="1" x14ac:dyDescent="0.2">
      <c r="A134" s="1">
        <v>46240</v>
      </c>
      <c r="B134">
        <v>0</v>
      </c>
      <c r="C134" s="2">
        <v>0.22829861111111099</v>
      </c>
      <c r="D134" s="2">
        <v>0.260775462962963</v>
      </c>
      <c r="E134">
        <v>47</v>
      </c>
      <c r="F134" t="s">
        <v>63</v>
      </c>
      <c r="G134" t="s">
        <v>34</v>
      </c>
      <c r="H134" t="s">
        <v>44</v>
      </c>
    </row>
    <row r="135" spans="1:8" ht="15" customHeight="1" x14ac:dyDescent="0.2">
      <c r="A135" s="1">
        <v>46240</v>
      </c>
      <c r="B135">
        <v>0</v>
      </c>
      <c r="C135" s="2">
        <v>0.58804398148148196</v>
      </c>
      <c r="D135" s="2">
        <v>0.64040509259259304</v>
      </c>
      <c r="E135">
        <v>76</v>
      </c>
      <c r="F135" t="s">
        <v>65</v>
      </c>
      <c r="G135" t="s">
        <v>28</v>
      </c>
      <c r="H135" t="s">
        <v>33</v>
      </c>
    </row>
    <row r="136" spans="1:8" ht="15" customHeight="1" x14ac:dyDescent="0.2">
      <c r="A136" s="1">
        <v>46240</v>
      </c>
      <c r="B136">
        <v>0</v>
      </c>
      <c r="C136" s="2">
        <v>0.25031249999999999</v>
      </c>
      <c r="D136" s="2">
        <v>0.30855324074074097</v>
      </c>
      <c r="E136">
        <v>84</v>
      </c>
      <c r="F136" t="s">
        <v>68</v>
      </c>
      <c r="G136" t="s">
        <v>34</v>
      </c>
      <c r="H136" t="s">
        <v>30</v>
      </c>
    </row>
    <row r="137" spans="1:8" ht="15" customHeight="1" x14ac:dyDescent="0.2">
      <c r="A137" s="1">
        <v>46240</v>
      </c>
      <c r="B137">
        <v>0</v>
      </c>
      <c r="C137" s="2">
        <v>0.32302083333333298</v>
      </c>
      <c r="D137" s="2">
        <v>0.37464120370370402</v>
      </c>
      <c r="E137">
        <v>74</v>
      </c>
      <c r="F137" t="s">
        <v>65</v>
      </c>
      <c r="G137" t="s">
        <v>28</v>
      </c>
      <c r="H137" t="s">
        <v>28</v>
      </c>
    </row>
    <row r="138" spans="1:8" ht="15" customHeight="1" x14ac:dyDescent="0.2">
      <c r="A138" s="1">
        <v>46240</v>
      </c>
      <c r="B138">
        <v>0</v>
      </c>
      <c r="C138" s="2">
        <v>0.40072916666666702</v>
      </c>
      <c r="D138" s="2">
        <v>0.45413194444444399</v>
      </c>
      <c r="E138">
        <v>76</v>
      </c>
      <c r="F138" t="s">
        <v>65</v>
      </c>
      <c r="G138" t="s">
        <v>28</v>
      </c>
      <c r="H138" t="s">
        <v>28</v>
      </c>
    </row>
    <row r="139" spans="1:8" ht="15" customHeight="1" x14ac:dyDescent="0.2">
      <c r="A139" s="1">
        <v>46240</v>
      </c>
      <c r="B139">
        <v>0</v>
      </c>
      <c r="C139" s="2">
        <v>0.32280092592592602</v>
      </c>
      <c r="D139" s="2">
        <v>0.36961805555555599</v>
      </c>
      <c r="E139">
        <v>68</v>
      </c>
      <c r="F139" t="s">
        <v>65</v>
      </c>
      <c r="G139" t="s">
        <v>28</v>
      </c>
      <c r="H139" t="s">
        <v>28</v>
      </c>
    </row>
    <row r="140" spans="1:8" ht="15" customHeight="1" x14ac:dyDescent="0.2">
      <c r="A140" s="1">
        <v>46240</v>
      </c>
      <c r="B140">
        <v>0</v>
      </c>
      <c r="C140" s="2">
        <v>0.47123842592592602</v>
      </c>
      <c r="D140" s="2">
        <v>0.54652777777777795</v>
      </c>
      <c r="E140">
        <v>109</v>
      </c>
      <c r="F140" t="s">
        <v>65</v>
      </c>
      <c r="G140" t="s">
        <v>28</v>
      </c>
      <c r="H140" t="s">
        <v>28</v>
      </c>
    </row>
    <row r="141" spans="1:8" ht="15" customHeight="1" x14ac:dyDescent="0.2">
      <c r="A141" s="1">
        <v>46240</v>
      </c>
      <c r="B141">
        <v>0</v>
      </c>
      <c r="C141" s="2">
        <v>0.61574074074074103</v>
      </c>
      <c r="D141" s="2">
        <v>0.71177083333333302</v>
      </c>
      <c r="E141">
        <v>138</v>
      </c>
      <c r="F141" t="s">
        <v>65</v>
      </c>
      <c r="G141" t="s">
        <v>28</v>
      </c>
      <c r="H141" t="s">
        <v>33</v>
      </c>
    </row>
    <row r="142" spans="1:8" ht="15" customHeight="1" x14ac:dyDescent="0.2">
      <c r="A142" s="1">
        <v>46240</v>
      </c>
      <c r="B142">
        <v>0</v>
      </c>
      <c r="C142" s="2">
        <v>0.35399305555555599</v>
      </c>
      <c r="D142" s="2">
        <v>0.45</v>
      </c>
      <c r="E142">
        <v>139</v>
      </c>
      <c r="F142" t="s">
        <v>66</v>
      </c>
      <c r="G142" t="s">
        <v>34</v>
      </c>
      <c r="H142" t="s">
        <v>30</v>
      </c>
    </row>
    <row r="143" spans="1:8" ht="15" customHeight="1" x14ac:dyDescent="0.2">
      <c r="A143" s="1">
        <v>46240</v>
      </c>
      <c r="B143">
        <v>0</v>
      </c>
      <c r="C143" s="2">
        <v>0.25116898148148098</v>
      </c>
      <c r="D143" s="2">
        <v>0.31041666666666701</v>
      </c>
      <c r="E143">
        <v>86</v>
      </c>
      <c r="F143" t="s">
        <v>65</v>
      </c>
      <c r="G143" t="s">
        <v>28</v>
      </c>
      <c r="H143" t="s">
        <v>28</v>
      </c>
    </row>
    <row r="144" spans="1:8" ht="15" customHeight="1" x14ac:dyDescent="0.2">
      <c r="A144" s="1">
        <v>46240</v>
      </c>
      <c r="B144">
        <v>0</v>
      </c>
      <c r="C144" s="2">
        <v>0.38099537037037001</v>
      </c>
      <c r="D144" s="2">
        <v>0.526516203703704</v>
      </c>
      <c r="E144">
        <v>210</v>
      </c>
      <c r="F144" t="s">
        <v>66</v>
      </c>
      <c r="G144" t="s">
        <v>28</v>
      </c>
      <c r="H144" t="s">
        <v>28</v>
      </c>
    </row>
    <row r="145" spans="1:8" ht="15" customHeight="1" x14ac:dyDescent="0.2">
      <c r="A145" s="1">
        <v>46240</v>
      </c>
      <c r="B145">
        <v>0</v>
      </c>
      <c r="C145" s="2">
        <v>0.560810185185185</v>
      </c>
      <c r="D145" s="2">
        <v>0.625</v>
      </c>
      <c r="E145">
        <v>93</v>
      </c>
      <c r="F145" t="s">
        <v>63</v>
      </c>
      <c r="G145" t="s">
        <v>28</v>
      </c>
      <c r="H145" t="s">
        <v>41</v>
      </c>
    </row>
    <row r="146" spans="1:8" ht="15" customHeight="1" x14ac:dyDescent="0.2">
      <c r="A146" s="1">
        <v>46240</v>
      </c>
      <c r="B146">
        <v>0</v>
      </c>
      <c r="C146" s="2">
        <v>0.49478009259259298</v>
      </c>
      <c r="D146" s="2">
        <v>0.645393518518519</v>
      </c>
      <c r="E146">
        <v>217</v>
      </c>
      <c r="F146" t="s">
        <v>65</v>
      </c>
      <c r="G146" t="s">
        <v>28</v>
      </c>
      <c r="H146" t="s">
        <v>28</v>
      </c>
    </row>
    <row r="147" spans="1:8" ht="15" customHeight="1" x14ac:dyDescent="0.2">
      <c r="A147" s="1">
        <v>46240</v>
      </c>
      <c r="B147">
        <v>0</v>
      </c>
      <c r="C147" s="2">
        <v>0.42454861111111097</v>
      </c>
      <c r="D147" s="2">
        <v>0.44290509259259297</v>
      </c>
      <c r="E147">
        <v>26</v>
      </c>
      <c r="F147" t="s">
        <v>63</v>
      </c>
      <c r="G147" t="s">
        <v>28</v>
      </c>
      <c r="H147" t="s">
        <v>28</v>
      </c>
    </row>
    <row r="148" spans="1:8" ht="15" customHeight="1" x14ac:dyDescent="0.2">
      <c r="A148" s="1">
        <v>46240</v>
      </c>
      <c r="B148">
        <v>0</v>
      </c>
      <c r="C148" s="2">
        <v>0.28333333333333299</v>
      </c>
      <c r="D148" s="2">
        <v>0.31111111111111101</v>
      </c>
      <c r="E148">
        <v>40</v>
      </c>
      <c r="F148" t="s">
        <v>63</v>
      </c>
      <c r="G148" t="s">
        <v>28</v>
      </c>
      <c r="H148" t="s">
        <v>30</v>
      </c>
    </row>
    <row r="149" spans="1:8" ht="15" customHeight="1" x14ac:dyDescent="0.2">
      <c r="A149" s="1">
        <v>46240</v>
      </c>
      <c r="B149">
        <v>0</v>
      </c>
      <c r="C149" s="2">
        <v>0.388854166666667</v>
      </c>
      <c r="D149" s="2">
        <v>0.42292824074074098</v>
      </c>
      <c r="E149">
        <v>50</v>
      </c>
      <c r="F149" t="s">
        <v>63</v>
      </c>
      <c r="G149" t="s">
        <v>28</v>
      </c>
      <c r="H149" t="s">
        <v>32</v>
      </c>
    </row>
    <row r="150" spans="1:8" ht="15" customHeight="1" x14ac:dyDescent="0.2">
      <c r="A150" s="1">
        <v>46240</v>
      </c>
      <c r="B150">
        <v>0</v>
      </c>
      <c r="C150" s="2">
        <v>0.48725694444444401</v>
      </c>
      <c r="D150" s="2">
        <v>0.54513888888888895</v>
      </c>
      <c r="E150">
        <v>84</v>
      </c>
      <c r="F150" t="s">
        <v>63</v>
      </c>
      <c r="G150" t="s">
        <v>28</v>
      </c>
      <c r="H150" t="s">
        <v>30</v>
      </c>
    </row>
    <row r="151" spans="1:8" ht="15" customHeight="1" x14ac:dyDescent="0.2">
      <c r="A151" s="1">
        <v>46240</v>
      </c>
      <c r="B151">
        <v>0</v>
      </c>
      <c r="C151" s="2">
        <v>0.58016203703703695</v>
      </c>
      <c r="D151" s="2">
        <v>0.59583333333333299</v>
      </c>
      <c r="E151">
        <v>23</v>
      </c>
      <c r="F151" t="s">
        <v>63</v>
      </c>
      <c r="G151" t="s">
        <v>34</v>
      </c>
      <c r="H151" t="s">
        <v>39</v>
      </c>
    </row>
    <row r="152" spans="1:8" ht="15" customHeight="1" x14ac:dyDescent="0.2">
      <c r="A152" s="1">
        <v>46240</v>
      </c>
      <c r="B152">
        <v>1</v>
      </c>
      <c r="C152" s="2">
        <v>0.67567129629629596</v>
      </c>
      <c r="D152" s="2">
        <v>0.710439814814815</v>
      </c>
      <c r="E152">
        <v>51</v>
      </c>
      <c r="F152" t="s">
        <v>63</v>
      </c>
      <c r="G152" t="s">
        <v>28</v>
      </c>
      <c r="H152" t="s">
        <v>33</v>
      </c>
    </row>
    <row r="153" spans="1:8" ht="15" customHeight="1" x14ac:dyDescent="0.2">
      <c r="A153" s="1">
        <v>46240</v>
      </c>
      <c r="B153">
        <v>1</v>
      </c>
      <c r="C153" s="2">
        <v>0.71965277777777803</v>
      </c>
      <c r="D153" s="2">
        <v>0.74380787037036999</v>
      </c>
      <c r="E153">
        <v>35</v>
      </c>
      <c r="F153" t="s">
        <v>63</v>
      </c>
      <c r="G153" t="s">
        <v>28</v>
      </c>
      <c r="H153" t="s">
        <v>28</v>
      </c>
    </row>
    <row r="154" spans="1:8" ht="15" customHeight="1" x14ac:dyDescent="0.2">
      <c r="A154" s="1">
        <v>46240</v>
      </c>
      <c r="B154">
        <v>0</v>
      </c>
      <c r="C154" s="2">
        <v>0.30516203703703698</v>
      </c>
      <c r="D154" s="2">
        <v>0.30527777777777798</v>
      </c>
      <c r="E154">
        <v>0</v>
      </c>
      <c r="F154" t="s">
        <v>66</v>
      </c>
      <c r="G154" t="s">
        <v>28</v>
      </c>
      <c r="H154" t="s">
        <v>33</v>
      </c>
    </row>
    <row r="155" spans="1:8" ht="15" customHeight="1" x14ac:dyDescent="0.2">
      <c r="A155" s="1">
        <v>46240</v>
      </c>
      <c r="B155">
        <v>0</v>
      </c>
      <c r="C155" s="2">
        <v>0.36739583333333298</v>
      </c>
      <c r="D155" s="2">
        <v>0.40056712962962998</v>
      </c>
      <c r="E155">
        <v>47</v>
      </c>
      <c r="F155" t="s">
        <v>66</v>
      </c>
      <c r="G155" t="s">
        <v>28</v>
      </c>
      <c r="H155" t="s">
        <v>33</v>
      </c>
    </row>
    <row r="156" spans="1:8" ht="15" customHeight="1" x14ac:dyDescent="0.2">
      <c r="A156" s="1">
        <v>46240</v>
      </c>
      <c r="B156">
        <v>0</v>
      </c>
      <c r="C156" s="2">
        <v>0.47057870370370403</v>
      </c>
      <c r="D156" s="2">
        <v>0.50913194444444398</v>
      </c>
      <c r="E156">
        <v>56</v>
      </c>
      <c r="F156" t="s">
        <v>65</v>
      </c>
      <c r="G156" t="s">
        <v>28</v>
      </c>
      <c r="H156" t="s">
        <v>33</v>
      </c>
    </row>
    <row r="157" spans="1:8" ht="15" customHeight="1" x14ac:dyDescent="0.2">
      <c r="A157" s="1">
        <v>46240</v>
      </c>
      <c r="B157">
        <v>0</v>
      </c>
      <c r="C157" s="2">
        <v>0.26484953703703701</v>
      </c>
      <c r="D157" s="2">
        <v>0.31704861111111099</v>
      </c>
      <c r="E157">
        <v>75</v>
      </c>
      <c r="F157" t="s">
        <v>65</v>
      </c>
      <c r="G157" t="s">
        <v>28</v>
      </c>
      <c r="H157" t="s">
        <v>33</v>
      </c>
    </row>
    <row r="158" spans="1:8" ht="15" customHeight="1" x14ac:dyDescent="0.2">
      <c r="A158" s="1">
        <v>46240</v>
      </c>
      <c r="B158">
        <v>0</v>
      </c>
      <c r="C158" s="2">
        <v>0.52657407407407397</v>
      </c>
      <c r="D158" s="2">
        <v>0.57798611111111098</v>
      </c>
      <c r="E158">
        <v>74</v>
      </c>
      <c r="F158" t="s">
        <v>65</v>
      </c>
      <c r="G158" t="s">
        <v>28</v>
      </c>
      <c r="H158" t="s">
        <v>33</v>
      </c>
    </row>
    <row r="159" spans="1:8" ht="15" customHeight="1" x14ac:dyDescent="0.2">
      <c r="A159" s="1">
        <v>46241</v>
      </c>
      <c r="B159">
        <v>0</v>
      </c>
      <c r="C159" s="2">
        <v>0.40204861111111101</v>
      </c>
      <c r="D159" s="2">
        <v>0.43991898148148201</v>
      </c>
      <c r="E159">
        <v>55</v>
      </c>
      <c r="F159" t="s">
        <v>63</v>
      </c>
      <c r="G159" t="s">
        <v>28</v>
      </c>
      <c r="H159" t="s">
        <v>33</v>
      </c>
    </row>
    <row r="160" spans="1:8" ht="15" customHeight="1" x14ac:dyDescent="0.2">
      <c r="A160" s="1">
        <v>46241</v>
      </c>
      <c r="B160">
        <v>0</v>
      </c>
      <c r="C160" s="2">
        <v>0.51569444444444401</v>
      </c>
      <c r="D160" s="2">
        <v>0.56805555555555598</v>
      </c>
      <c r="E160">
        <v>76</v>
      </c>
      <c r="F160" t="s">
        <v>66</v>
      </c>
      <c r="G160" t="s">
        <v>28</v>
      </c>
      <c r="H160" t="s">
        <v>33</v>
      </c>
    </row>
    <row r="161" spans="1:8" ht="15" customHeight="1" x14ac:dyDescent="0.2">
      <c r="A161" s="1">
        <v>46241</v>
      </c>
      <c r="B161">
        <v>0</v>
      </c>
      <c r="C161" s="2">
        <v>0.24475694444444401</v>
      </c>
      <c r="D161" s="2">
        <v>0.31565972222222199</v>
      </c>
      <c r="E161">
        <v>102</v>
      </c>
      <c r="F161" t="s">
        <v>65</v>
      </c>
      <c r="G161" t="s">
        <v>28</v>
      </c>
      <c r="H161" t="s">
        <v>49</v>
      </c>
    </row>
    <row r="162" spans="1:8" ht="15" customHeight="1" x14ac:dyDescent="0.2">
      <c r="A162" s="1">
        <v>46241</v>
      </c>
      <c r="B162">
        <v>0</v>
      </c>
      <c r="C162" s="2">
        <v>0.44806712962963002</v>
      </c>
      <c r="D162" s="2">
        <v>0.50624999999999998</v>
      </c>
      <c r="E162">
        <v>84</v>
      </c>
      <c r="F162" t="s">
        <v>65</v>
      </c>
      <c r="G162" t="s">
        <v>28</v>
      </c>
      <c r="H162" t="s">
        <v>28</v>
      </c>
    </row>
    <row r="163" spans="1:8" ht="15" customHeight="1" x14ac:dyDescent="0.2">
      <c r="A163" s="1">
        <v>46241</v>
      </c>
      <c r="B163">
        <v>0</v>
      </c>
      <c r="C163" s="2">
        <v>0.2459375</v>
      </c>
      <c r="D163" s="2">
        <v>0.313194444444444</v>
      </c>
      <c r="E163">
        <v>97</v>
      </c>
      <c r="F163" t="s">
        <v>65</v>
      </c>
      <c r="G163" t="s">
        <v>28</v>
      </c>
      <c r="H163" t="s">
        <v>28</v>
      </c>
    </row>
    <row r="164" spans="1:8" ht="15" customHeight="1" x14ac:dyDescent="0.2">
      <c r="A164" s="1">
        <v>46241</v>
      </c>
      <c r="B164">
        <v>0</v>
      </c>
      <c r="C164" s="2">
        <v>0.34483796296296299</v>
      </c>
      <c r="D164" s="2">
        <v>0.42111111111111099</v>
      </c>
      <c r="E164">
        <v>110</v>
      </c>
      <c r="F164" t="s">
        <v>68</v>
      </c>
      <c r="G164" t="s">
        <v>34</v>
      </c>
      <c r="H164" t="s">
        <v>30</v>
      </c>
    </row>
    <row r="165" spans="1:8" ht="15" customHeight="1" x14ac:dyDescent="0.2">
      <c r="A165" s="1">
        <v>46241</v>
      </c>
      <c r="B165">
        <v>0</v>
      </c>
      <c r="C165" s="2">
        <v>0.27516203703703701</v>
      </c>
      <c r="D165" s="2">
        <v>0.30902777777777801</v>
      </c>
      <c r="E165">
        <v>49</v>
      </c>
      <c r="F165" t="s">
        <v>65</v>
      </c>
      <c r="G165" t="s">
        <v>28</v>
      </c>
      <c r="H165" t="s">
        <v>39</v>
      </c>
    </row>
    <row r="166" spans="1:8" ht="15" customHeight="1" x14ac:dyDescent="0.2">
      <c r="A166" s="1">
        <v>46241</v>
      </c>
      <c r="B166">
        <v>0</v>
      </c>
      <c r="C166" s="2">
        <v>0.22635416666666699</v>
      </c>
      <c r="D166" s="2">
        <v>0.3125</v>
      </c>
      <c r="E166">
        <v>125</v>
      </c>
      <c r="F166" t="s">
        <v>65</v>
      </c>
      <c r="G166" t="s">
        <v>28</v>
      </c>
      <c r="H166" t="s">
        <v>33</v>
      </c>
    </row>
    <row r="167" spans="1:8" ht="15" customHeight="1" x14ac:dyDescent="0.2">
      <c r="A167" s="1">
        <v>46241</v>
      </c>
      <c r="B167">
        <v>0</v>
      </c>
      <c r="C167" s="2">
        <v>0.32605324074074099</v>
      </c>
      <c r="D167" s="2">
        <v>0.377384259259259</v>
      </c>
      <c r="E167">
        <v>74</v>
      </c>
      <c r="F167" t="s">
        <v>63</v>
      </c>
      <c r="G167" t="s">
        <v>28</v>
      </c>
      <c r="H167" t="s">
        <v>33</v>
      </c>
    </row>
    <row r="168" spans="1:8" ht="15" customHeight="1" x14ac:dyDescent="0.2">
      <c r="A168" s="1">
        <v>46241</v>
      </c>
      <c r="B168">
        <v>0</v>
      </c>
      <c r="C168" s="2">
        <v>0.388854166666667</v>
      </c>
      <c r="D168" s="2">
        <v>0.47777777777777802</v>
      </c>
      <c r="E168">
        <v>129</v>
      </c>
      <c r="F168" t="s">
        <v>65</v>
      </c>
      <c r="G168" t="s">
        <v>28</v>
      </c>
      <c r="H168" t="s">
        <v>33</v>
      </c>
    </row>
    <row r="169" spans="1:8" ht="15" customHeight="1" x14ac:dyDescent="0.2">
      <c r="A169" s="1">
        <v>46241</v>
      </c>
      <c r="B169">
        <v>0</v>
      </c>
      <c r="C169" s="2">
        <v>0.47236111111111101</v>
      </c>
      <c r="D169" s="2">
        <v>0.55770833333333303</v>
      </c>
      <c r="E169">
        <v>123</v>
      </c>
      <c r="F169" t="s">
        <v>65</v>
      </c>
      <c r="G169" t="s">
        <v>28</v>
      </c>
      <c r="H169" t="s">
        <v>33</v>
      </c>
    </row>
    <row r="170" spans="1:8" ht="15" customHeight="1" x14ac:dyDescent="0.2">
      <c r="A170" s="1">
        <v>46241</v>
      </c>
      <c r="B170">
        <v>0</v>
      </c>
      <c r="C170" s="2">
        <v>0.33055555555555599</v>
      </c>
      <c r="D170" s="2">
        <v>0.36736111111111103</v>
      </c>
      <c r="E170">
        <v>53</v>
      </c>
      <c r="F170" t="s">
        <v>65</v>
      </c>
      <c r="G170" t="s">
        <v>28</v>
      </c>
      <c r="H170" t="s">
        <v>28</v>
      </c>
    </row>
    <row r="171" spans="1:8" ht="15" customHeight="1" x14ac:dyDescent="0.2">
      <c r="A171" s="1">
        <v>46241</v>
      </c>
      <c r="B171">
        <v>0</v>
      </c>
      <c r="C171" s="2">
        <v>0.424108796296296</v>
      </c>
      <c r="D171" s="2">
        <v>0.44018518518518501</v>
      </c>
      <c r="E171">
        <v>23</v>
      </c>
      <c r="F171" t="s">
        <v>65</v>
      </c>
      <c r="G171" t="s">
        <v>28</v>
      </c>
      <c r="H171" t="s">
        <v>28</v>
      </c>
    </row>
    <row r="172" spans="1:8" ht="15" customHeight="1" x14ac:dyDescent="0.2">
      <c r="A172" s="1">
        <v>46241</v>
      </c>
      <c r="B172">
        <v>0</v>
      </c>
      <c r="C172" s="2">
        <v>0.24519675925925899</v>
      </c>
      <c r="D172" s="2">
        <v>0.312962962962963</v>
      </c>
      <c r="E172">
        <v>97</v>
      </c>
      <c r="F172" t="s">
        <v>63</v>
      </c>
      <c r="G172" t="s">
        <v>28</v>
      </c>
      <c r="H172" t="s">
        <v>30</v>
      </c>
    </row>
    <row r="173" spans="1:8" ht="15" customHeight="1" x14ac:dyDescent="0.2">
      <c r="A173" s="1">
        <v>46241</v>
      </c>
      <c r="B173">
        <v>0</v>
      </c>
      <c r="C173" s="2">
        <v>0.22767361111111101</v>
      </c>
      <c r="D173" s="2">
        <v>0.314155092592593</v>
      </c>
      <c r="E173">
        <v>125</v>
      </c>
      <c r="F173" t="s">
        <v>65</v>
      </c>
      <c r="G173" t="s">
        <v>28</v>
      </c>
      <c r="H173" t="s">
        <v>28</v>
      </c>
    </row>
    <row r="174" spans="1:8" ht="15" customHeight="1" x14ac:dyDescent="0.2">
      <c r="A174" s="1">
        <v>46241</v>
      </c>
      <c r="B174">
        <v>0</v>
      </c>
      <c r="C174" s="2">
        <v>0.379618055555556</v>
      </c>
      <c r="D174" s="2">
        <v>0.42166666666666702</v>
      </c>
      <c r="E174">
        <v>61</v>
      </c>
      <c r="F174" t="s">
        <v>65</v>
      </c>
      <c r="G174" t="s">
        <v>28</v>
      </c>
      <c r="H174" t="s">
        <v>30</v>
      </c>
    </row>
    <row r="175" spans="1:8" ht="15" customHeight="1" x14ac:dyDescent="0.2">
      <c r="A175" s="1">
        <v>46241</v>
      </c>
      <c r="B175">
        <v>0</v>
      </c>
      <c r="C175" s="2">
        <v>0.52491898148148197</v>
      </c>
      <c r="D175" s="2">
        <v>0.54405092592592597</v>
      </c>
      <c r="E175">
        <v>28</v>
      </c>
      <c r="F175" t="s">
        <v>63</v>
      </c>
      <c r="G175" t="s">
        <v>28</v>
      </c>
      <c r="H175" t="s">
        <v>28</v>
      </c>
    </row>
    <row r="176" spans="1:8" ht="15" customHeight="1" x14ac:dyDescent="0.2">
      <c r="A176" s="1">
        <v>46241</v>
      </c>
      <c r="B176">
        <v>0</v>
      </c>
      <c r="C176" s="2">
        <v>0.32712962962962999</v>
      </c>
      <c r="D176" s="2">
        <v>0.35489583333333302</v>
      </c>
      <c r="E176">
        <v>40</v>
      </c>
      <c r="F176" t="s">
        <v>65</v>
      </c>
      <c r="G176" t="s">
        <v>28</v>
      </c>
      <c r="H176" t="s">
        <v>39</v>
      </c>
    </row>
    <row r="177" spans="1:8" ht="15" customHeight="1" x14ac:dyDescent="0.2">
      <c r="A177" s="1">
        <v>46241</v>
      </c>
      <c r="B177">
        <v>0</v>
      </c>
      <c r="C177" s="2">
        <v>0.32509259259259299</v>
      </c>
      <c r="D177" s="2">
        <v>0.36728009259259298</v>
      </c>
      <c r="E177">
        <v>60</v>
      </c>
      <c r="F177" t="s">
        <v>65</v>
      </c>
      <c r="G177" t="s">
        <v>28</v>
      </c>
      <c r="H177" t="s">
        <v>33</v>
      </c>
    </row>
    <row r="178" spans="1:8" ht="15" customHeight="1" x14ac:dyDescent="0.2">
      <c r="A178" s="1">
        <v>46241</v>
      </c>
      <c r="B178">
        <v>0</v>
      </c>
      <c r="C178" s="2">
        <v>0.37954861111111099</v>
      </c>
      <c r="D178" s="2">
        <v>0.44799768518518501</v>
      </c>
      <c r="E178">
        <v>99</v>
      </c>
      <c r="F178" t="s">
        <v>65</v>
      </c>
      <c r="G178" t="s">
        <v>28</v>
      </c>
      <c r="H178" t="s">
        <v>39</v>
      </c>
    </row>
    <row r="179" spans="1:8" ht="15" customHeight="1" x14ac:dyDescent="0.2">
      <c r="A179" s="1">
        <v>46241</v>
      </c>
      <c r="B179">
        <v>0</v>
      </c>
      <c r="C179" s="2">
        <v>0.47521990740740699</v>
      </c>
      <c r="D179" s="2">
        <v>0.55763888888888902</v>
      </c>
      <c r="E179">
        <v>119</v>
      </c>
      <c r="F179" t="s">
        <v>65</v>
      </c>
      <c r="G179" t="s">
        <v>28</v>
      </c>
      <c r="H179" t="s">
        <v>28</v>
      </c>
    </row>
    <row r="180" spans="1:8" ht="15" customHeight="1" x14ac:dyDescent="0.2">
      <c r="A180" s="1">
        <v>46241</v>
      </c>
      <c r="B180">
        <v>0</v>
      </c>
      <c r="C180" s="2">
        <v>0.28000000000000003</v>
      </c>
      <c r="D180" s="2">
        <v>0.30208333333333298</v>
      </c>
      <c r="E180">
        <v>32</v>
      </c>
      <c r="F180" t="s">
        <v>63</v>
      </c>
      <c r="G180" t="s">
        <v>28</v>
      </c>
      <c r="H180" t="s">
        <v>47</v>
      </c>
    </row>
    <row r="181" spans="1:8" ht="15" customHeight="1" x14ac:dyDescent="0.2">
      <c r="A181" s="1">
        <v>46241</v>
      </c>
      <c r="B181">
        <v>0</v>
      </c>
      <c r="C181" s="2">
        <v>0.51384259259259302</v>
      </c>
      <c r="D181" s="2">
        <v>0.61190972222222195</v>
      </c>
      <c r="E181">
        <v>142</v>
      </c>
      <c r="F181" t="s">
        <v>63</v>
      </c>
      <c r="G181" t="s">
        <v>28</v>
      </c>
      <c r="H181" t="s">
        <v>33</v>
      </c>
    </row>
    <row r="182" spans="1:8" ht="15" customHeight="1" x14ac:dyDescent="0.2">
      <c r="A182" s="1">
        <v>46241</v>
      </c>
      <c r="B182">
        <v>0</v>
      </c>
      <c r="C182" s="2">
        <v>0.28628472222222201</v>
      </c>
      <c r="D182" s="2">
        <v>0.31111111111111101</v>
      </c>
      <c r="E182">
        <v>36</v>
      </c>
      <c r="F182" t="s">
        <v>63</v>
      </c>
      <c r="G182" t="s">
        <v>28</v>
      </c>
      <c r="H182" t="s">
        <v>30</v>
      </c>
    </row>
    <row r="183" spans="1:8" ht="15" customHeight="1" x14ac:dyDescent="0.2">
      <c r="A183" s="1">
        <v>46241</v>
      </c>
      <c r="B183">
        <v>0</v>
      </c>
      <c r="C183" s="2">
        <v>0.56017361111111097</v>
      </c>
      <c r="D183" s="2">
        <v>0.58930555555555597</v>
      </c>
      <c r="E183">
        <v>42</v>
      </c>
      <c r="F183" t="s">
        <v>63</v>
      </c>
      <c r="G183" t="s">
        <v>28</v>
      </c>
      <c r="H183" t="s">
        <v>41</v>
      </c>
    </row>
    <row r="184" spans="1:8" ht="15" customHeight="1" x14ac:dyDescent="0.2">
      <c r="A184" s="1">
        <v>46241</v>
      </c>
      <c r="B184">
        <v>0</v>
      </c>
      <c r="C184" s="2">
        <v>0.25480324074074101</v>
      </c>
      <c r="D184" s="2">
        <v>0.307384259259259</v>
      </c>
      <c r="E184">
        <v>76</v>
      </c>
      <c r="F184" t="s">
        <v>63</v>
      </c>
      <c r="G184" t="s">
        <v>34</v>
      </c>
      <c r="H184" t="s">
        <v>44</v>
      </c>
    </row>
    <row r="185" spans="1:8" ht="15" customHeight="1" x14ac:dyDescent="0.2">
      <c r="A185" s="1">
        <v>46241</v>
      </c>
      <c r="B185">
        <v>1</v>
      </c>
      <c r="C185" s="2">
        <v>0.59228009259259295</v>
      </c>
      <c r="D185" s="2">
        <v>0.62746527777777805</v>
      </c>
      <c r="E185">
        <v>51</v>
      </c>
      <c r="F185" t="s">
        <v>63</v>
      </c>
      <c r="G185" t="s">
        <v>28</v>
      </c>
      <c r="H185" t="s">
        <v>33</v>
      </c>
    </row>
    <row r="186" spans="1:8" ht="15" customHeight="1" x14ac:dyDescent="0.2">
      <c r="A186" s="1">
        <v>46241</v>
      </c>
      <c r="B186">
        <v>1</v>
      </c>
      <c r="C186" s="2">
        <v>0.62803240740740696</v>
      </c>
      <c r="D186" s="2">
        <v>0.65734953703703702</v>
      </c>
      <c r="E186">
        <v>42</v>
      </c>
      <c r="F186" t="s">
        <v>63</v>
      </c>
      <c r="G186" t="s">
        <v>28</v>
      </c>
      <c r="H186" t="s">
        <v>33</v>
      </c>
    </row>
    <row r="187" spans="1:8" ht="15" customHeight="1" x14ac:dyDescent="0.2">
      <c r="A187" s="1">
        <v>46241</v>
      </c>
      <c r="B187">
        <v>1</v>
      </c>
      <c r="C187" s="2">
        <v>0.65324074074074101</v>
      </c>
      <c r="D187" s="2">
        <v>0.70208333333333295</v>
      </c>
      <c r="E187">
        <v>71</v>
      </c>
      <c r="F187" t="s">
        <v>66</v>
      </c>
      <c r="G187" t="s">
        <v>28</v>
      </c>
      <c r="H187" t="s">
        <v>33</v>
      </c>
    </row>
    <row r="188" spans="1:8" ht="15" customHeight="1" x14ac:dyDescent="0.2">
      <c r="A188" s="1">
        <v>46241</v>
      </c>
      <c r="B188">
        <v>1</v>
      </c>
      <c r="C188" s="2">
        <v>0.39476851851851902</v>
      </c>
      <c r="D188" s="2">
        <v>0.44131944444444399</v>
      </c>
      <c r="E188">
        <v>67</v>
      </c>
      <c r="F188" t="s">
        <v>63</v>
      </c>
      <c r="G188" t="s">
        <v>28</v>
      </c>
      <c r="H188" t="s">
        <v>30</v>
      </c>
    </row>
    <row r="189" spans="1:8" ht="15" customHeight="1" x14ac:dyDescent="0.2">
      <c r="A189" s="1">
        <v>46241</v>
      </c>
      <c r="B189">
        <v>1</v>
      </c>
      <c r="C189" s="2">
        <v>0.43170138888888898</v>
      </c>
      <c r="D189" s="2">
        <v>0.44975694444444397</v>
      </c>
      <c r="E189">
        <v>26</v>
      </c>
      <c r="F189" t="s">
        <v>66</v>
      </c>
      <c r="G189" t="s">
        <v>28</v>
      </c>
      <c r="H189" t="s">
        <v>28</v>
      </c>
    </row>
    <row r="190" spans="1:8" ht="15" customHeight="1" x14ac:dyDescent="0.2">
      <c r="A190" s="1">
        <v>46241</v>
      </c>
      <c r="B190">
        <v>1</v>
      </c>
      <c r="C190" s="2">
        <v>0.52785879629629595</v>
      </c>
      <c r="D190" s="2">
        <v>0.54171296296296301</v>
      </c>
      <c r="E190">
        <v>20</v>
      </c>
      <c r="F190" t="s">
        <v>63</v>
      </c>
      <c r="G190" t="s">
        <v>28</v>
      </c>
      <c r="H190" t="s">
        <v>28</v>
      </c>
    </row>
    <row r="191" spans="1:8" ht="15" customHeight="1" x14ac:dyDescent="0.2">
      <c r="A191" s="1">
        <v>46241</v>
      </c>
      <c r="B191">
        <v>1</v>
      </c>
      <c r="C191" s="2">
        <v>0.70540509259259299</v>
      </c>
      <c r="D191" s="2">
        <v>0.74060185185185201</v>
      </c>
      <c r="E191">
        <v>51</v>
      </c>
      <c r="F191" t="s">
        <v>63</v>
      </c>
      <c r="G191" t="s">
        <v>28</v>
      </c>
      <c r="H191" t="s">
        <v>33</v>
      </c>
    </row>
    <row r="192" spans="1:8" ht="15" customHeight="1" x14ac:dyDescent="0.2">
      <c r="A192" s="1">
        <v>46241</v>
      </c>
      <c r="B192">
        <v>0</v>
      </c>
      <c r="C192" s="2">
        <v>0.33402777777777798</v>
      </c>
      <c r="D192" s="2">
        <v>0.375</v>
      </c>
      <c r="E192">
        <v>59</v>
      </c>
      <c r="F192" t="s">
        <v>65</v>
      </c>
      <c r="G192" t="s">
        <v>34</v>
      </c>
      <c r="H192" t="s">
        <v>28</v>
      </c>
    </row>
    <row r="193" spans="1:8" ht="15" customHeight="1" x14ac:dyDescent="0.2">
      <c r="A193" s="1">
        <v>46241</v>
      </c>
      <c r="B193">
        <v>0</v>
      </c>
      <c r="C193" s="2">
        <v>0.51364583333333302</v>
      </c>
      <c r="D193" s="2">
        <v>0.554189814814815</v>
      </c>
      <c r="E193">
        <v>59</v>
      </c>
      <c r="F193" t="s">
        <v>65</v>
      </c>
      <c r="G193" t="s">
        <v>28</v>
      </c>
      <c r="H193" t="s">
        <v>28</v>
      </c>
    </row>
    <row r="194" spans="1:8" ht="15" customHeight="1" x14ac:dyDescent="0.2">
      <c r="A194" s="1">
        <v>46241</v>
      </c>
      <c r="B194">
        <v>0</v>
      </c>
      <c r="C194" s="2">
        <v>0.44932870370370398</v>
      </c>
      <c r="F194" t="s">
        <v>65</v>
      </c>
      <c r="G194" t="s">
        <v>28</v>
      </c>
      <c r="H194" t="s">
        <v>28</v>
      </c>
    </row>
    <row r="195" spans="1:8" ht="15" customHeight="1" x14ac:dyDescent="0.2">
      <c r="A195" s="1">
        <v>46241</v>
      </c>
      <c r="B195">
        <v>0</v>
      </c>
      <c r="C195" s="2">
        <v>0.24552083333333299</v>
      </c>
      <c r="D195" s="2">
        <v>0.30723379629629599</v>
      </c>
      <c r="E195">
        <v>89</v>
      </c>
      <c r="F195" t="s">
        <v>63</v>
      </c>
      <c r="G195" t="s">
        <v>34</v>
      </c>
      <c r="H195" t="s">
        <v>30</v>
      </c>
    </row>
    <row r="196" spans="1:8" ht="15" customHeight="1" x14ac:dyDescent="0.2">
      <c r="A196" s="1">
        <v>46242</v>
      </c>
      <c r="B196">
        <v>0</v>
      </c>
      <c r="C196" s="2">
        <v>0.30267361111111102</v>
      </c>
      <c r="D196" s="2">
        <v>0.30888888888888899</v>
      </c>
      <c r="E196">
        <v>9</v>
      </c>
      <c r="F196" t="s">
        <v>63</v>
      </c>
      <c r="G196" t="s">
        <v>34</v>
      </c>
      <c r="H196" t="s">
        <v>30</v>
      </c>
    </row>
    <row r="197" spans="1:8" ht="15" customHeight="1" x14ac:dyDescent="0.2">
      <c r="A197" s="1">
        <v>46242</v>
      </c>
      <c r="B197">
        <v>1</v>
      </c>
      <c r="C197" s="2">
        <v>0.52652777777777804</v>
      </c>
      <c r="D197" s="2">
        <v>0.57638888888888895</v>
      </c>
      <c r="E197">
        <v>72</v>
      </c>
      <c r="F197" t="s">
        <v>63</v>
      </c>
      <c r="G197" t="s">
        <v>34</v>
      </c>
      <c r="H197" t="s">
        <v>30</v>
      </c>
    </row>
    <row r="198" spans="1:8" ht="15" customHeight="1" x14ac:dyDescent="0.2">
      <c r="A198" s="1">
        <v>46242</v>
      </c>
      <c r="B198">
        <v>1</v>
      </c>
      <c r="C198" s="2">
        <v>0.64812499999999995</v>
      </c>
      <c r="D198" s="2">
        <v>0.700775462962963</v>
      </c>
      <c r="E198">
        <v>76</v>
      </c>
      <c r="F198" t="s">
        <v>63</v>
      </c>
      <c r="G198" t="s">
        <v>34</v>
      </c>
      <c r="H198" t="s">
        <v>30</v>
      </c>
    </row>
    <row r="199" spans="1:8" ht="15" customHeight="1" x14ac:dyDescent="0.2">
      <c r="A199" s="1">
        <v>46242</v>
      </c>
      <c r="B199">
        <v>1</v>
      </c>
      <c r="C199" s="2">
        <v>0.68373842592592604</v>
      </c>
      <c r="D199" s="2">
        <v>0.70968750000000003</v>
      </c>
      <c r="E199">
        <v>37</v>
      </c>
      <c r="F199" t="s">
        <v>66</v>
      </c>
      <c r="G199" t="s">
        <v>28</v>
      </c>
      <c r="H199" t="s">
        <v>30</v>
      </c>
    </row>
    <row r="200" spans="1:8" ht="15" customHeight="1" x14ac:dyDescent="0.2">
      <c r="A200" s="1">
        <v>46243</v>
      </c>
      <c r="B200">
        <v>1</v>
      </c>
      <c r="C200" s="2">
        <v>0.272824074074074</v>
      </c>
      <c r="D200" s="2">
        <v>0.30763888888888902</v>
      </c>
      <c r="E200">
        <v>51</v>
      </c>
      <c r="F200" t="s">
        <v>63</v>
      </c>
      <c r="G200" t="s">
        <v>28</v>
      </c>
      <c r="H200" t="s">
        <v>30</v>
      </c>
    </row>
    <row r="201" spans="1:8" ht="15" customHeight="1" x14ac:dyDescent="0.2">
      <c r="A201" s="1">
        <v>46243</v>
      </c>
      <c r="B201">
        <v>1</v>
      </c>
      <c r="C201" s="2">
        <v>0.28472222222222199</v>
      </c>
      <c r="D201" s="2">
        <v>0.31041666666666701</v>
      </c>
      <c r="E201">
        <v>37</v>
      </c>
      <c r="F201" t="s">
        <v>63</v>
      </c>
      <c r="G201" t="s">
        <v>28</v>
      </c>
      <c r="H201" t="s">
        <v>33</v>
      </c>
    </row>
    <row r="202" spans="1:8" ht="15" customHeight="1" x14ac:dyDescent="0.2">
      <c r="A202" s="1">
        <v>46243</v>
      </c>
      <c r="B202">
        <v>1</v>
      </c>
      <c r="C202" s="2">
        <v>0.32155092592592599</v>
      </c>
      <c r="D202" s="2">
        <v>0.36232638888888902</v>
      </c>
      <c r="E202">
        <v>58</v>
      </c>
      <c r="F202" t="s">
        <v>63</v>
      </c>
      <c r="G202" t="s">
        <v>28</v>
      </c>
      <c r="H202" t="s">
        <v>28</v>
      </c>
    </row>
    <row r="203" spans="1:8" ht="15" customHeight="1" x14ac:dyDescent="0.2">
      <c r="A203" s="1">
        <v>46243</v>
      </c>
      <c r="B203">
        <v>1</v>
      </c>
      <c r="C203" s="2">
        <v>0.51736111111111105</v>
      </c>
      <c r="D203" s="2">
        <v>0.54930555555555605</v>
      </c>
      <c r="E203">
        <v>46</v>
      </c>
      <c r="F203" t="s">
        <v>66</v>
      </c>
      <c r="G203" t="s">
        <v>28</v>
      </c>
      <c r="H203" t="s">
        <v>33</v>
      </c>
    </row>
    <row r="204" spans="1:8" ht="15" customHeight="1" x14ac:dyDescent="0.2">
      <c r="A204" s="1">
        <v>46244</v>
      </c>
      <c r="B204">
        <v>0</v>
      </c>
      <c r="C204" s="2">
        <v>0.55185185185185204</v>
      </c>
      <c r="D204" s="2">
        <v>0.62299768518518495</v>
      </c>
      <c r="E204">
        <v>103</v>
      </c>
      <c r="F204" t="s">
        <v>63</v>
      </c>
      <c r="G204" t="s">
        <v>28</v>
      </c>
      <c r="H204" t="s">
        <v>30</v>
      </c>
    </row>
    <row r="205" spans="1:8" ht="15" customHeight="1" x14ac:dyDescent="0.2">
      <c r="A205" s="1">
        <v>46244</v>
      </c>
      <c r="B205">
        <v>0</v>
      </c>
      <c r="C205" s="2">
        <v>0.44762731481481499</v>
      </c>
      <c r="D205" s="2">
        <v>0.489953703703704</v>
      </c>
      <c r="E205">
        <v>61</v>
      </c>
      <c r="F205" t="s">
        <v>65</v>
      </c>
      <c r="G205" t="s">
        <v>28</v>
      </c>
      <c r="H205" t="s">
        <v>46</v>
      </c>
    </row>
    <row r="206" spans="1:8" ht="15" customHeight="1" x14ac:dyDescent="0.2">
      <c r="A206" s="1">
        <v>46244</v>
      </c>
      <c r="B206">
        <v>0</v>
      </c>
      <c r="C206" s="2">
        <v>0.34800925925925902</v>
      </c>
      <c r="D206" s="2">
        <v>0.41209490740740701</v>
      </c>
      <c r="E206">
        <v>92</v>
      </c>
      <c r="F206" t="s">
        <v>63</v>
      </c>
      <c r="G206" t="s">
        <v>28</v>
      </c>
      <c r="H206" t="s">
        <v>30</v>
      </c>
    </row>
    <row r="207" spans="1:8" ht="15" customHeight="1" x14ac:dyDescent="0.2">
      <c r="A207" s="1">
        <v>46244</v>
      </c>
      <c r="B207">
        <v>0</v>
      </c>
      <c r="C207" s="2">
        <v>0.23465277777777799</v>
      </c>
      <c r="D207" s="2">
        <v>0.32638888888888901</v>
      </c>
      <c r="E207">
        <v>133</v>
      </c>
      <c r="F207" t="s">
        <v>65</v>
      </c>
      <c r="G207" t="s">
        <v>28</v>
      </c>
      <c r="H207" t="s">
        <v>30</v>
      </c>
    </row>
    <row r="208" spans="1:8" ht="15" customHeight="1" x14ac:dyDescent="0.2">
      <c r="A208" s="1">
        <v>46244</v>
      </c>
      <c r="B208">
        <v>0</v>
      </c>
      <c r="C208" s="2">
        <v>0.35142361111111098</v>
      </c>
      <c r="D208" s="2">
        <v>0.39210648148148097</v>
      </c>
      <c r="E208">
        <v>58</v>
      </c>
      <c r="F208" t="s">
        <v>65</v>
      </c>
      <c r="G208" t="s">
        <v>28</v>
      </c>
      <c r="H208" t="s">
        <v>45</v>
      </c>
    </row>
    <row r="209" spans="1:8" ht="15" customHeight="1" x14ac:dyDescent="0.2">
      <c r="A209" s="1">
        <v>46244</v>
      </c>
      <c r="B209">
        <v>0</v>
      </c>
      <c r="C209" s="2">
        <v>0.25762731481481499</v>
      </c>
      <c r="D209" s="2">
        <v>0.33446759259259301</v>
      </c>
      <c r="E209">
        <v>111</v>
      </c>
      <c r="F209" t="s">
        <v>63</v>
      </c>
      <c r="G209" t="s">
        <v>34</v>
      </c>
      <c r="H209" t="s">
        <v>33</v>
      </c>
    </row>
    <row r="210" spans="1:8" ht="15" customHeight="1" x14ac:dyDescent="0.2">
      <c r="A210" s="1">
        <v>46244</v>
      </c>
      <c r="B210">
        <v>0</v>
      </c>
      <c r="C210" s="2">
        <v>0.253078703703704</v>
      </c>
      <c r="D210" s="2">
        <v>0.337939814814815</v>
      </c>
      <c r="E210">
        <v>122</v>
      </c>
      <c r="F210" t="s">
        <v>65</v>
      </c>
      <c r="G210" t="s">
        <v>28</v>
      </c>
      <c r="H210" t="s">
        <v>30</v>
      </c>
    </row>
    <row r="211" spans="1:8" ht="15" customHeight="1" x14ac:dyDescent="0.2">
      <c r="A211" s="1">
        <v>46244</v>
      </c>
      <c r="B211">
        <v>0</v>
      </c>
      <c r="C211" s="2">
        <v>0.330821759259259</v>
      </c>
      <c r="D211" s="2">
        <v>0.35953703703703699</v>
      </c>
      <c r="E211">
        <v>41</v>
      </c>
      <c r="F211" t="s">
        <v>65</v>
      </c>
      <c r="G211" t="s">
        <v>28</v>
      </c>
      <c r="H211" t="s">
        <v>30</v>
      </c>
    </row>
    <row r="212" spans="1:8" ht="15" customHeight="1" x14ac:dyDescent="0.2">
      <c r="A212" s="1">
        <v>46244</v>
      </c>
      <c r="B212">
        <v>0</v>
      </c>
      <c r="C212" s="2">
        <v>0.39431712962963</v>
      </c>
      <c r="D212" s="2">
        <v>0.45555555555555599</v>
      </c>
      <c r="E212">
        <v>89</v>
      </c>
      <c r="F212" t="s">
        <v>65</v>
      </c>
      <c r="G212" t="s">
        <v>28</v>
      </c>
      <c r="H212" t="s">
        <v>45</v>
      </c>
    </row>
    <row r="213" spans="1:8" ht="15" customHeight="1" x14ac:dyDescent="0.2">
      <c r="A213" s="1">
        <v>46244</v>
      </c>
      <c r="B213">
        <v>0</v>
      </c>
      <c r="C213" s="2">
        <v>0.466018518518518</v>
      </c>
      <c r="D213" s="2">
        <v>0.52599537037037003</v>
      </c>
      <c r="E213">
        <v>86</v>
      </c>
      <c r="F213" t="s">
        <v>63</v>
      </c>
      <c r="G213" t="s">
        <v>28</v>
      </c>
      <c r="H213" t="s">
        <v>30</v>
      </c>
    </row>
    <row r="214" spans="1:8" ht="15" customHeight="1" x14ac:dyDescent="0.2">
      <c r="A214" s="1">
        <v>46244</v>
      </c>
      <c r="B214">
        <v>0</v>
      </c>
      <c r="C214" s="2">
        <v>0.37399305555555601</v>
      </c>
      <c r="D214" s="2">
        <v>0.44791666666666702</v>
      </c>
      <c r="E214">
        <v>107</v>
      </c>
      <c r="F214" t="s">
        <v>63</v>
      </c>
      <c r="G214" t="s">
        <v>28</v>
      </c>
      <c r="H214" t="s">
        <v>28</v>
      </c>
    </row>
    <row r="215" spans="1:8" ht="15" customHeight="1" x14ac:dyDescent="0.2">
      <c r="A215" s="1">
        <v>46244</v>
      </c>
      <c r="B215">
        <v>0</v>
      </c>
      <c r="C215" s="2">
        <v>0.259699074074074</v>
      </c>
      <c r="D215" s="2">
        <v>0.33152777777777798</v>
      </c>
      <c r="E215">
        <v>104</v>
      </c>
      <c r="F215" t="s">
        <v>63</v>
      </c>
      <c r="G215" t="s">
        <v>28</v>
      </c>
      <c r="H215" t="s">
        <v>28</v>
      </c>
    </row>
    <row r="216" spans="1:8" ht="15" customHeight="1" x14ac:dyDescent="0.2">
      <c r="A216" s="1">
        <v>46244</v>
      </c>
      <c r="B216">
        <v>0</v>
      </c>
      <c r="C216" s="2">
        <v>0.46049768518518502</v>
      </c>
      <c r="D216" s="2">
        <v>0.53125</v>
      </c>
      <c r="E216">
        <v>102</v>
      </c>
      <c r="F216" t="s">
        <v>63</v>
      </c>
      <c r="G216" t="s">
        <v>28</v>
      </c>
      <c r="H216" t="s">
        <v>28</v>
      </c>
    </row>
    <row r="217" spans="1:8" ht="15" customHeight="1" x14ac:dyDescent="0.2">
      <c r="A217" s="1">
        <v>46244</v>
      </c>
      <c r="B217">
        <v>0</v>
      </c>
      <c r="C217" s="2">
        <v>0.57489583333333305</v>
      </c>
      <c r="D217" s="2">
        <v>0.61805555555555602</v>
      </c>
      <c r="E217">
        <v>63</v>
      </c>
      <c r="F217" t="s">
        <v>63</v>
      </c>
      <c r="G217" t="s">
        <v>34</v>
      </c>
      <c r="H217" t="s">
        <v>33</v>
      </c>
    </row>
    <row r="218" spans="1:8" ht="15" customHeight="1" x14ac:dyDescent="0.2">
      <c r="A218" s="1">
        <v>46244</v>
      </c>
      <c r="B218">
        <v>0</v>
      </c>
      <c r="C218" s="2">
        <v>0.47777777777777802</v>
      </c>
      <c r="D218" s="2">
        <v>0.53062500000000001</v>
      </c>
      <c r="E218">
        <v>76</v>
      </c>
      <c r="F218" t="s">
        <v>63</v>
      </c>
      <c r="G218" t="s">
        <v>28</v>
      </c>
      <c r="H218" t="s">
        <v>41</v>
      </c>
    </row>
    <row r="219" spans="1:8" ht="15" customHeight="1" x14ac:dyDescent="0.2">
      <c r="A219" s="1">
        <v>46244</v>
      </c>
      <c r="B219">
        <v>0</v>
      </c>
      <c r="C219" s="2">
        <v>0.28851851851851901</v>
      </c>
      <c r="D219" s="2">
        <v>0.33180555555555602</v>
      </c>
      <c r="E219">
        <v>62</v>
      </c>
      <c r="F219" t="s">
        <v>63</v>
      </c>
      <c r="G219" t="s">
        <v>34</v>
      </c>
      <c r="H219" t="s">
        <v>44</v>
      </c>
    </row>
    <row r="220" spans="1:8" ht="15" customHeight="1" x14ac:dyDescent="0.2">
      <c r="A220" s="1">
        <v>46244</v>
      </c>
      <c r="B220">
        <v>1</v>
      </c>
      <c r="C220" s="2">
        <v>0.54277777777777803</v>
      </c>
      <c r="D220" s="2">
        <v>0.61068287037036995</v>
      </c>
      <c r="E220">
        <v>98</v>
      </c>
      <c r="F220" t="s">
        <v>63</v>
      </c>
      <c r="G220" t="s">
        <v>34</v>
      </c>
      <c r="H220" t="s">
        <v>30</v>
      </c>
    </row>
    <row r="221" spans="1:8" ht="15" customHeight="1" x14ac:dyDescent="0.2">
      <c r="A221" s="1">
        <v>46244</v>
      </c>
      <c r="B221">
        <v>1</v>
      </c>
      <c r="C221" s="2">
        <v>0.63834490740740701</v>
      </c>
      <c r="D221" s="2">
        <v>0.68055555555555602</v>
      </c>
      <c r="E221">
        <v>61</v>
      </c>
      <c r="F221" t="s">
        <v>63</v>
      </c>
      <c r="G221" t="s">
        <v>28</v>
      </c>
      <c r="H221" t="s">
        <v>30</v>
      </c>
    </row>
    <row r="222" spans="1:8" ht="15" customHeight="1" x14ac:dyDescent="0.2">
      <c r="A222" s="1">
        <v>46244</v>
      </c>
      <c r="B222">
        <v>1</v>
      </c>
      <c r="C222" s="2">
        <v>0.29267361111111101</v>
      </c>
      <c r="D222" s="2">
        <v>0.30833333333333302</v>
      </c>
      <c r="E222">
        <v>23</v>
      </c>
      <c r="F222" t="s">
        <v>63</v>
      </c>
      <c r="G222" t="s">
        <v>28</v>
      </c>
      <c r="H222" t="s">
        <v>45</v>
      </c>
    </row>
    <row r="223" spans="1:8" ht="15" customHeight="1" x14ac:dyDescent="0.2">
      <c r="A223" s="1">
        <v>46244</v>
      </c>
      <c r="B223">
        <v>1</v>
      </c>
      <c r="C223" s="2">
        <v>0.52924768518518495</v>
      </c>
      <c r="D223" s="2">
        <v>0.55385416666666698</v>
      </c>
      <c r="E223">
        <v>35</v>
      </c>
      <c r="F223" t="s">
        <v>69</v>
      </c>
      <c r="G223" t="s">
        <v>28</v>
      </c>
      <c r="H223" t="s">
        <v>33</v>
      </c>
    </row>
    <row r="224" spans="1:8" ht="15" customHeight="1" x14ac:dyDescent="0.2">
      <c r="A224" s="1">
        <v>46244</v>
      </c>
      <c r="B224">
        <v>0</v>
      </c>
      <c r="C224" s="2">
        <v>0.23515046296296299</v>
      </c>
      <c r="D224" s="2">
        <v>0.33923611111111102</v>
      </c>
      <c r="E224">
        <v>150</v>
      </c>
      <c r="F224" t="s">
        <v>65</v>
      </c>
      <c r="G224" t="s">
        <v>28</v>
      </c>
      <c r="H224" t="s">
        <v>45</v>
      </c>
    </row>
    <row r="225" spans="1:8" ht="15" customHeight="1" x14ac:dyDescent="0.2">
      <c r="A225" s="1">
        <v>46244</v>
      </c>
      <c r="B225">
        <v>0</v>
      </c>
      <c r="C225" s="2">
        <v>0.269664351851852</v>
      </c>
      <c r="D225" s="2">
        <v>0.32986111111111099</v>
      </c>
      <c r="E225">
        <v>87</v>
      </c>
      <c r="F225" t="s">
        <v>65</v>
      </c>
      <c r="G225" t="s">
        <v>38</v>
      </c>
      <c r="H225" t="s">
        <v>30</v>
      </c>
    </row>
    <row r="226" spans="1:8" ht="15" customHeight="1" x14ac:dyDescent="0.2">
      <c r="A226" s="1">
        <v>46244</v>
      </c>
      <c r="B226">
        <v>0</v>
      </c>
      <c r="C226" s="2">
        <v>0.49266203703703698</v>
      </c>
      <c r="D226" s="2">
        <v>0.52990740740740705</v>
      </c>
      <c r="E226">
        <v>54</v>
      </c>
      <c r="F226" t="s">
        <v>65</v>
      </c>
      <c r="G226" t="s">
        <v>28</v>
      </c>
      <c r="H226" t="s">
        <v>46</v>
      </c>
    </row>
    <row r="227" spans="1:8" ht="15" customHeight="1" x14ac:dyDescent="0.2">
      <c r="A227" s="1">
        <v>46244</v>
      </c>
      <c r="B227">
        <v>0</v>
      </c>
      <c r="C227" s="2">
        <v>0.26013888888888897</v>
      </c>
      <c r="D227" s="2">
        <v>0.33054398148148201</v>
      </c>
      <c r="E227">
        <v>101</v>
      </c>
      <c r="F227" t="s">
        <v>68</v>
      </c>
      <c r="G227" t="s">
        <v>28</v>
      </c>
      <c r="H227" t="s">
        <v>30</v>
      </c>
    </row>
    <row r="228" spans="1:8" ht="15" customHeight="1" x14ac:dyDescent="0.2">
      <c r="A228" s="1">
        <v>46244</v>
      </c>
      <c r="B228">
        <v>0</v>
      </c>
      <c r="C228" s="2">
        <v>0.22174768518518501</v>
      </c>
      <c r="D228" s="2">
        <v>0.25833333333333303</v>
      </c>
      <c r="E228">
        <v>53</v>
      </c>
      <c r="F228" t="s">
        <v>63</v>
      </c>
      <c r="G228" t="s">
        <v>34</v>
      </c>
      <c r="H228" t="s">
        <v>44</v>
      </c>
    </row>
    <row r="229" spans="1:8" ht="15" customHeight="1" x14ac:dyDescent="0.2">
      <c r="A229" s="1">
        <v>46245</v>
      </c>
      <c r="B229">
        <v>0</v>
      </c>
      <c r="C229" s="2">
        <v>0.51061342592592596</v>
      </c>
      <c r="D229" s="2">
        <v>0.56458333333333299</v>
      </c>
      <c r="E229">
        <v>78</v>
      </c>
      <c r="F229" t="s">
        <v>65</v>
      </c>
      <c r="G229" t="s">
        <v>34</v>
      </c>
      <c r="H229" t="s">
        <v>30</v>
      </c>
    </row>
    <row r="230" spans="1:8" ht="15" customHeight="1" x14ac:dyDescent="0.2">
      <c r="A230" s="1">
        <v>46245</v>
      </c>
      <c r="B230">
        <v>0</v>
      </c>
      <c r="C230" s="2">
        <v>0.250462962962963</v>
      </c>
      <c r="D230" s="2">
        <v>0.31458333333333299</v>
      </c>
      <c r="E230">
        <v>93</v>
      </c>
      <c r="F230" t="s">
        <v>65</v>
      </c>
      <c r="G230" t="s">
        <v>28</v>
      </c>
      <c r="H230" t="s">
        <v>33</v>
      </c>
    </row>
    <row r="231" spans="1:8" ht="15" customHeight="1" x14ac:dyDescent="0.2">
      <c r="A231" s="1">
        <v>46245</v>
      </c>
      <c r="B231">
        <v>0</v>
      </c>
      <c r="C231" s="2">
        <v>0.249155092592593</v>
      </c>
      <c r="D231" s="2">
        <v>0.309039351851852</v>
      </c>
      <c r="E231">
        <v>87</v>
      </c>
      <c r="F231" t="s">
        <v>66</v>
      </c>
      <c r="G231" t="s">
        <v>28</v>
      </c>
      <c r="H231" t="s">
        <v>49</v>
      </c>
    </row>
    <row r="232" spans="1:8" ht="15" customHeight="1" x14ac:dyDescent="0.2">
      <c r="A232" s="1">
        <v>46245</v>
      </c>
      <c r="B232">
        <v>0</v>
      </c>
      <c r="C232" s="2">
        <v>0.54290509259259301</v>
      </c>
      <c r="D232" s="2">
        <v>0.58549768518518497</v>
      </c>
      <c r="E232">
        <v>62</v>
      </c>
      <c r="F232" t="s">
        <v>63</v>
      </c>
      <c r="G232" t="s">
        <v>34</v>
      </c>
      <c r="H232" t="s">
        <v>30</v>
      </c>
    </row>
    <row r="233" spans="1:8" ht="15" customHeight="1" x14ac:dyDescent="0.2">
      <c r="A233" s="1">
        <v>46245</v>
      </c>
      <c r="B233">
        <v>0</v>
      </c>
      <c r="C233" s="2">
        <v>0.26879629629629598</v>
      </c>
      <c r="D233" s="2">
        <v>0.3</v>
      </c>
      <c r="E233">
        <v>45</v>
      </c>
      <c r="F233" t="s">
        <v>65</v>
      </c>
      <c r="G233" t="s">
        <v>38</v>
      </c>
      <c r="H233" t="s">
        <v>30</v>
      </c>
    </row>
    <row r="234" spans="1:8" ht="15" customHeight="1" x14ac:dyDescent="0.2">
      <c r="A234" s="1">
        <v>46245</v>
      </c>
      <c r="B234">
        <v>0</v>
      </c>
      <c r="C234" s="2">
        <v>0.36474537037037003</v>
      </c>
      <c r="D234" s="2">
        <v>0.42916666666666697</v>
      </c>
      <c r="E234">
        <v>93</v>
      </c>
      <c r="F234" t="s">
        <v>63</v>
      </c>
      <c r="G234" t="s">
        <v>28</v>
      </c>
      <c r="H234" t="s">
        <v>45</v>
      </c>
    </row>
    <row r="235" spans="1:8" ht="15" customHeight="1" x14ac:dyDescent="0.2">
      <c r="A235" s="1">
        <v>46245</v>
      </c>
      <c r="B235">
        <v>0</v>
      </c>
      <c r="C235" s="2">
        <v>0.576701388888889</v>
      </c>
      <c r="D235" s="2">
        <v>0.64356481481481498</v>
      </c>
      <c r="E235">
        <v>96</v>
      </c>
      <c r="F235" t="s">
        <v>66</v>
      </c>
      <c r="G235" t="s">
        <v>34</v>
      </c>
      <c r="H235" t="s">
        <v>30</v>
      </c>
    </row>
    <row r="236" spans="1:8" ht="15" customHeight="1" x14ac:dyDescent="0.2">
      <c r="A236" s="1">
        <v>46245</v>
      </c>
      <c r="B236">
        <v>0</v>
      </c>
      <c r="C236" s="2">
        <v>0.37219907407407399</v>
      </c>
      <c r="D236" s="2">
        <v>0.44166666666666698</v>
      </c>
      <c r="E236">
        <v>101</v>
      </c>
      <c r="F236" t="s">
        <v>65</v>
      </c>
      <c r="G236" t="s">
        <v>28</v>
      </c>
      <c r="H236" t="s">
        <v>30</v>
      </c>
    </row>
    <row r="237" spans="1:8" ht="15" customHeight="1" x14ac:dyDescent="0.2">
      <c r="A237" s="1">
        <v>46245</v>
      </c>
      <c r="B237">
        <v>0</v>
      </c>
      <c r="C237" s="2">
        <v>0.35820601851851902</v>
      </c>
      <c r="D237" s="2">
        <v>0.39722222222222198</v>
      </c>
      <c r="E237">
        <v>57</v>
      </c>
      <c r="F237" t="s">
        <v>65</v>
      </c>
      <c r="G237" t="s">
        <v>28</v>
      </c>
      <c r="H237" t="s">
        <v>33</v>
      </c>
    </row>
    <row r="238" spans="1:8" ht="15" customHeight="1" x14ac:dyDescent="0.2">
      <c r="A238" s="1">
        <v>46245</v>
      </c>
      <c r="B238">
        <v>0</v>
      </c>
      <c r="C238" s="2">
        <v>0.26334490740740701</v>
      </c>
      <c r="D238" s="2">
        <v>0.311805555555556</v>
      </c>
      <c r="E238">
        <v>70</v>
      </c>
      <c r="F238" t="s">
        <v>63</v>
      </c>
      <c r="G238" t="s">
        <v>28</v>
      </c>
      <c r="H238" t="s">
        <v>33</v>
      </c>
    </row>
    <row r="239" spans="1:8" ht="15" customHeight="1" x14ac:dyDescent="0.2">
      <c r="A239" s="1">
        <v>46245</v>
      </c>
      <c r="B239">
        <v>0</v>
      </c>
      <c r="C239" s="2">
        <v>0.34584490740740698</v>
      </c>
      <c r="D239" s="2">
        <v>0.44067129629629598</v>
      </c>
      <c r="E239">
        <v>136</v>
      </c>
      <c r="F239" t="s">
        <v>65</v>
      </c>
      <c r="G239" t="s">
        <v>28</v>
      </c>
      <c r="H239" t="s">
        <v>33</v>
      </c>
    </row>
    <row r="240" spans="1:8" ht="15" customHeight="1" x14ac:dyDescent="0.2">
      <c r="A240" s="1">
        <v>46245</v>
      </c>
      <c r="B240">
        <v>0</v>
      </c>
      <c r="C240" s="2">
        <v>0.31516203703703699</v>
      </c>
      <c r="D240" s="2">
        <v>0.41008101851851902</v>
      </c>
      <c r="E240">
        <v>137</v>
      </c>
      <c r="F240" t="s">
        <v>66</v>
      </c>
      <c r="G240" t="s">
        <v>28</v>
      </c>
      <c r="H240" t="s">
        <v>49</v>
      </c>
    </row>
    <row r="241" spans="1:8" ht="15" customHeight="1" x14ac:dyDescent="0.2">
      <c r="A241" s="1">
        <v>46245</v>
      </c>
      <c r="B241">
        <v>0</v>
      </c>
      <c r="C241" s="2">
        <v>0.31171296296296302</v>
      </c>
      <c r="D241" s="2">
        <v>0.40277777777777801</v>
      </c>
      <c r="E241">
        <v>132</v>
      </c>
      <c r="F241" t="s">
        <v>65</v>
      </c>
      <c r="G241" t="s">
        <v>28</v>
      </c>
      <c r="H241" t="s">
        <v>45</v>
      </c>
    </row>
    <row r="242" spans="1:8" ht="15" customHeight="1" x14ac:dyDescent="0.2">
      <c r="A242" s="1">
        <v>46245</v>
      </c>
      <c r="B242">
        <v>0</v>
      </c>
      <c r="C242" s="2">
        <v>0.234027777777778</v>
      </c>
      <c r="D242" s="2">
        <v>0.299375</v>
      </c>
      <c r="E242">
        <v>94</v>
      </c>
      <c r="F242" t="s">
        <v>63</v>
      </c>
      <c r="G242" t="s">
        <v>28</v>
      </c>
      <c r="H242" t="s">
        <v>49</v>
      </c>
    </row>
    <row r="243" spans="1:8" ht="15" customHeight="1" x14ac:dyDescent="0.2">
      <c r="A243" s="1">
        <v>46245</v>
      </c>
      <c r="B243">
        <v>0</v>
      </c>
      <c r="C243" s="2">
        <v>0.46112268518518501</v>
      </c>
      <c r="D243" s="2">
        <v>0.51041666666666696</v>
      </c>
      <c r="E243">
        <v>71</v>
      </c>
      <c r="F243" t="s">
        <v>65</v>
      </c>
      <c r="G243" t="s">
        <v>28</v>
      </c>
      <c r="H243" t="s">
        <v>49</v>
      </c>
    </row>
    <row r="244" spans="1:8" ht="15" customHeight="1" x14ac:dyDescent="0.2">
      <c r="A244" s="1">
        <v>46245</v>
      </c>
      <c r="B244">
        <v>0</v>
      </c>
      <c r="C244" s="2">
        <v>0.26474537037036999</v>
      </c>
      <c r="D244" s="2">
        <v>0.31666666666666698</v>
      </c>
      <c r="E244">
        <v>75</v>
      </c>
      <c r="F244" t="s">
        <v>66</v>
      </c>
      <c r="G244" t="s">
        <v>28</v>
      </c>
      <c r="H244" t="s">
        <v>28</v>
      </c>
    </row>
    <row r="245" spans="1:8" ht="15" customHeight="1" x14ac:dyDescent="0.2">
      <c r="A245" s="1">
        <v>46245</v>
      </c>
      <c r="B245">
        <v>0</v>
      </c>
      <c r="C245" s="2">
        <v>0.42723379629629599</v>
      </c>
      <c r="D245" s="2">
        <v>0.5625</v>
      </c>
      <c r="E245">
        <v>195</v>
      </c>
      <c r="F245" t="s">
        <v>63</v>
      </c>
      <c r="G245" t="s">
        <v>28</v>
      </c>
      <c r="H245" t="s">
        <v>28</v>
      </c>
    </row>
    <row r="246" spans="1:8" ht="15" customHeight="1" x14ac:dyDescent="0.2">
      <c r="A246" s="1">
        <v>46245</v>
      </c>
      <c r="B246">
        <v>0</v>
      </c>
      <c r="C246" s="2">
        <v>0.31972222222222202</v>
      </c>
      <c r="D246" s="2">
        <v>0.438194444444444</v>
      </c>
      <c r="E246">
        <v>171</v>
      </c>
      <c r="F246" t="s">
        <v>63</v>
      </c>
      <c r="G246" t="s">
        <v>28</v>
      </c>
      <c r="H246" t="s">
        <v>28</v>
      </c>
    </row>
    <row r="247" spans="1:8" ht="15" customHeight="1" x14ac:dyDescent="0.2">
      <c r="A247" s="1">
        <v>46245</v>
      </c>
      <c r="B247">
        <v>0</v>
      </c>
      <c r="C247" s="2">
        <v>0.29287037037037</v>
      </c>
      <c r="D247" s="2">
        <v>0.35314814814814799</v>
      </c>
      <c r="E247">
        <v>87</v>
      </c>
      <c r="F247" t="s">
        <v>65</v>
      </c>
      <c r="G247" t="s">
        <v>28</v>
      </c>
      <c r="H247" t="s">
        <v>33</v>
      </c>
    </row>
    <row r="248" spans="1:8" ht="15" customHeight="1" x14ac:dyDescent="0.2">
      <c r="A248" s="1">
        <v>46245</v>
      </c>
      <c r="B248">
        <v>0</v>
      </c>
      <c r="C248" s="2">
        <v>0.42593750000000002</v>
      </c>
      <c r="D248" s="2">
        <v>0.50184027777777795</v>
      </c>
      <c r="E248">
        <v>109</v>
      </c>
      <c r="F248" t="s">
        <v>65</v>
      </c>
      <c r="G248" t="s">
        <v>38</v>
      </c>
      <c r="H248" t="s">
        <v>30</v>
      </c>
    </row>
    <row r="249" spans="1:8" ht="15" customHeight="1" x14ac:dyDescent="0.2">
      <c r="A249" s="1">
        <v>46245</v>
      </c>
      <c r="B249">
        <v>0</v>
      </c>
      <c r="C249" s="2">
        <v>0.48925925925925901</v>
      </c>
      <c r="D249" s="2">
        <v>0.52798611111111104</v>
      </c>
      <c r="E249">
        <v>56</v>
      </c>
      <c r="F249" t="s">
        <v>63</v>
      </c>
      <c r="G249" t="s">
        <v>28</v>
      </c>
      <c r="H249" t="s">
        <v>30</v>
      </c>
    </row>
    <row r="250" spans="1:8" ht="15" customHeight="1" x14ac:dyDescent="0.2">
      <c r="A250" s="1">
        <v>46245</v>
      </c>
      <c r="B250">
        <v>0</v>
      </c>
      <c r="C250" s="2">
        <v>0.26495370370370402</v>
      </c>
      <c r="D250" s="2">
        <v>0.31666666666666698</v>
      </c>
      <c r="E250">
        <v>75</v>
      </c>
      <c r="F250" t="s">
        <v>65</v>
      </c>
      <c r="G250" t="s">
        <v>28</v>
      </c>
      <c r="H250" t="s">
        <v>45</v>
      </c>
    </row>
    <row r="251" spans="1:8" ht="15" customHeight="1" x14ac:dyDescent="0.2">
      <c r="A251" s="1">
        <v>46245</v>
      </c>
      <c r="B251">
        <v>0</v>
      </c>
      <c r="C251" s="2">
        <v>0.282407407407407</v>
      </c>
      <c r="D251" s="2">
        <v>0.31013888888888902</v>
      </c>
      <c r="E251">
        <v>40</v>
      </c>
      <c r="F251" t="s">
        <v>63</v>
      </c>
      <c r="G251" t="s">
        <v>28</v>
      </c>
      <c r="H251" t="s">
        <v>47</v>
      </c>
    </row>
    <row r="252" spans="1:8" ht="15" customHeight="1" x14ac:dyDescent="0.2">
      <c r="A252" s="1">
        <v>46245</v>
      </c>
      <c r="B252">
        <v>0</v>
      </c>
      <c r="C252" s="2">
        <v>0.56920138888888905</v>
      </c>
      <c r="D252" s="2">
        <v>0.62777777777777799</v>
      </c>
      <c r="E252">
        <v>85</v>
      </c>
      <c r="F252" t="s">
        <v>63</v>
      </c>
      <c r="G252" t="s">
        <v>34</v>
      </c>
      <c r="H252" t="s">
        <v>33</v>
      </c>
    </row>
    <row r="253" spans="1:8" ht="15" customHeight="1" x14ac:dyDescent="0.2">
      <c r="A253" s="1">
        <v>46245</v>
      </c>
      <c r="B253">
        <v>0</v>
      </c>
      <c r="C253" s="2">
        <v>0.235416666666667</v>
      </c>
      <c r="D253" s="2">
        <v>0.25694444444444398</v>
      </c>
      <c r="E253">
        <v>31</v>
      </c>
      <c r="F253" t="s">
        <v>63</v>
      </c>
      <c r="G253" t="s">
        <v>34</v>
      </c>
      <c r="H253" t="s">
        <v>44</v>
      </c>
    </row>
    <row r="254" spans="1:8" ht="15" customHeight="1" x14ac:dyDescent="0.2">
      <c r="A254" s="1">
        <v>46245</v>
      </c>
      <c r="B254">
        <v>0</v>
      </c>
      <c r="C254" s="2">
        <v>0.54177083333333298</v>
      </c>
      <c r="D254" s="2">
        <v>0.57013888888888897</v>
      </c>
      <c r="E254">
        <v>41</v>
      </c>
      <c r="F254" t="s">
        <v>63</v>
      </c>
      <c r="G254" t="s">
        <v>28</v>
      </c>
      <c r="H254" t="s">
        <v>47</v>
      </c>
    </row>
    <row r="255" spans="1:8" ht="15" customHeight="1" x14ac:dyDescent="0.2">
      <c r="A255" s="1">
        <v>46245</v>
      </c>
      <c r="B255">
        <v>1</v>
      </c>
      <c r="C255" s="2">
        <v>0.40726851851851897</v>
      </c>
      <c r="D255" s="2">
        <v>0.44879629629629603</v>
      </c>
      <c r="E255">
        <v>60</v>
      </c>
      <c r="F255" t="s">
        <v>63</v>
      </c>
      <c r="G255" t="s">
        <v>28</v>
      </c>
      <c r="H255" t="s">
        <v>33</v>
      </c>
    </row>
    <row r="256" spans="1:8" ht="15" customHeight="1" x14ac:dyDescent="0.2">
      <c r="A256" s="1">
        <v>46245</v>
      </c>
      <c r="B256">
        <v>1</v>
      </c>
      <c r="C256" s="2">
        <v>0.62638888888888899</v>
      </c>
      <c r="D256" s="2">
        <v>0.6875</v>
      </c>
      <c r="E256">
        <v>88</v>
      </c>
      <c r="F256" t="s">
        <v>63</v>
      </c>
      <c r="G256" t="s">
        <v>28</v>
      </c>
      <c r="H256" t="s">
        <v>30</v>
      </c>
    </row>
    <row r="257" spans="1:8" ht="15" customHeight="1" x14ac:dyDescent="0.2">
      <c r="A257" s="1">
        <v>46245</v>
      </c>
      <c r="B257">
        <v>1</v>
      </c>
      <c r="C257" s="2">
        <v>0.72668981481481498</v>
      </c>
      <c r="D257" s="2">
        <v>0.74357638888888899</v>
      </c>
      <c r="E257">
        <v>24</v>
      </c>
      <c r="F257" t="s">
        <v>63</v>
      </c>
      <c r="G257" t="s">
        <v>28</v>
      </c>
      <c r="H257" t="s">
        <v>30</v>
      </c>
    </row>
    <row r="258" spans="1:8" ht="15" customHeight="1" x14ac:dyDescent="0.2">
      <c r="A258" s="1">
        <v>46245</v>
      </c>
      <c r="B258">
        <v>0</v>
      </c>
      <c r="C258" s="2">
        <v>0.27796296296296302</v>
      </c>
      <c r="D258" s="2">
        <v>0.320659722222222</v>
      </c>
      <c r="E258">
        <v>61</v>
      </c>
      <c r="F258" t="s">
        <v>65</v>
      </c>
      <c r="G258" t="s">
        <v>28</v>
      </c>
      <c r="H258" t="s">
        <v>45</v>
      </c>
    </row>
    <row r="259" spans="1:8" ht="15" customHeight="1" x14ac:dyDescent="0.2">
      <c r="A259" s="1">
        <v>46245</v>
      </c>
      <c r="B259">
        <v>0</v>
      </c>
      <c r="C259" s="2">
        <v>0.55508101851851899</v>
      </c>
      <c r="D259" s="2">
        <v>0.58807870370370396</v>
      </c>
      <c r="E259">
        <v>47</v>
      </c>
      <c r="F259" t="s">
        <v>65</v>
      </c>
      <c r="G259" t="s">
        <v>28</v>
      </c>
      <c r="H259" t="s">
        <v>28</v>
      </c>
    </row>
    <row r="260" spans="1:8" ht="15" customHeight="1" x14ac:dyDescent="0.2">
      <c r="A260" s="1">
        <v>46245</v>
      </c>
      <c r="B260">
        <v>0</v>
      </c>
      <c r="C260" s="2">
        <v>0.40872685185185198</v>
      </c>
      <c r="D260" s="2">
        <v>0.55134259259259299</v>
      </c>
      <c r="E260">
        <v>205</v>
      </c>
      <c r="F260" t="s">
        <v>65</v>
      </c>
      <c r="G260" t="s">
        <v>28</v>
      </c>
      <c r="H260" t="s">
        <v>28</v>
      </c>
    </row>
    <row r="261" spans="1:8" ht="15" customHeight="1" x14ac:dyDescent="0.2">
      <c r="A261" s="1">
        <v>46245</v>
      </c>
      <c r="B261">
        <v>0</v>
      </c>
      <c r="C261" s="2">
        <v>0.25116898148148098</v>
      </c>
      <c r="D261" s="2">
        <v>0.31458333333333299</v>
      </c>
      <c r="E261">
        <v>92</v>
      </c>
      <c r="F261" t="s">
        <v>63</v>
      </c>
      <c r="G261" t="s">
        <v>28</v>
      </c>
      <c r="H261" t="s">
        <v>28</v>
      </c>
    </row>
    <row r="262" spans="1:8" ht="15" customHeight="1" x14ac:dyDescent="0.2">
      <c r="A262" s="1">
        <v>46245</v>
      </c>
      <c r="B262">
        <v>0</v>
      </c>
      <c r="C262" s="2">
        <v>0.49932870370370402</v>
      </c>
      <c r="D262" s="2">
        <v>0.566041666666667</v>
      </c>
      <c r="E262">
        <v>96</v>
      </c>
      <c r="F262" t="s">
        <v>65</v>
      </c>
      <c r="G262" t="s">
        <v>28</v>
      </c>
      <c r="H262" t="s">
        <v>45</v>
      </c>
    </row>
    <row r="263" spans="1:8" ht="15" customHeight="1" x14ac:dyDescent="0.2">
      <c r="A263" s="1">
        <v>46245</v>
      </c>
      <c r="B263">
        <v>0</v>
      </c>
      <c r="C263" s="2">
        <v>0.62047453703703703</v>
      </c>
      <c r="D263" s="2">
        <v>0.67585648148148103</v>
      </c>
      <c r="E263">
        <v>80</v>
      </c>
      <c r="F263" t="s">
        <v>65</v>
      </c>
      <c r="G263" t="s">
        <v>28</v>
      </c>
      <c r="H263" t="s">
        <v>28</v>
      </c>
    </row>
    <row r="264" spans="1:8" ht="15" customHeight="1" x14ac:dyDescent="0.2">
      <c r="A264" s="1">
        <v>46245</v>
      </c>
      <c r="B264">
        <v>0</v>
      </c>
      <c r="C264" s="2">
        <v>0.228912037037037</v>
      </c>
      <c r="D264" s="2">
        <v>0.26041666666666702</v>
      </c>
      <c r="E264">
        <v>46</v>
      </c>
      <c r="F264" t="s">
        <v>63</v>
      </c>
      <c r="G264" t="s">
        <v>34</v>
      </c>
      <c r="H264" t="s">
        <v>44</v>
      </c>
    </row>
    <row r="265" spans="1:8" ht="15" customHeight="1" x14ac:dyDescent="0.2">
      <c r="A265" s="1">
        <v>46246</v>
      </c>
      <c r="B265">
        <v>0</v>
      </c>
      <c r="C265" s="2">
        <v>0.38192129629629601</v>
      </c>
      <c r="D265" s="2">
        <v>0.42077546296296298</v>
      </c>
      <c r="E265">
        <v>56</v>
      </c>
      <c r="F265" t="s">
        <v>63</v>
      </c>
      <c r="G265" t="s">
        <v>28</v>
      </c>
      <c r="H265" t="s">
        <v>28</v>
      </c>
    </row>
    <row r="266" spans="1:8" ht="15" customHeight="1" x14ac:dyDescent="0.2">
      <c r="A266" s="1">
        <v>46246</v>
      </c>
      <c r="B266">
        <v>0</v>
      </c>
      <c r="C266" s="2">
        <v>0.22280092592592601</v>
      </c>
      <c r="F266" t="s">
        <v>63</v>
      </c>
      <c r="G266" t="s">
        <v>34</v>
      </c>
      <c r="H266" t="s">
        <v>44</v>
      </c>
    </row>
    <row r="267" spans="1:8" ht="15" customHeight="1" x14ac:dyDescent="0.2">
      <c r="A267" s="1">
        <v>46246</v>
      </c>
      <c r="B267">
        <v>0</v>
      </c>
      <c r="C267" s="2">
        <v>0.26748842592592598</v>
      </c>
      <c r="D267" s="2">
        <v>0.30905092592592598</v>
      </c>
      <c r="E267">
        <v>60</v>
      </c>
      <c r="F267" t="s">
        <v>63</v>
      </c>
      <c r="G267" t="s">
        <v>28</v>
      </c>
      <c r="H267" t="s">
        <v>28</v>
      </c>
    </row>
    <row r="268" spans="1:8" ht="15" customHeight="1" x14ac:dyDescent="0.2">
      <c r="A268" s="1">
        <v>46246</v>
      </c>
      <c r="B268">
        <v>0</v>
      </c>
      <c r="C268" s="2">
        <v>0.27504629629629601</v>
      </c>
      <c r="D268" s="2">
        <v>0.32430555555555601</v>
      </c>
      <c r="E268">
        <v>71</v>
      </c>
      <c r="F268" t="s">
        <v>63</v>
      </c>
      <c r="G268" t="s">
        <v>28</v>
      </c>
      <c r="H268" t="s">
        <v>45</v>
      </c>
    </row>
    <row r="269" spans="1:8" ht="15" customHeight="1" x14ac:dyDescent="0.2">
      <c r="A269" s="1">
        <v>46246</v>
      </c>
      <c r="B269">
        <v>0</v>
      </c>
      <c r="C269" s="2">
        <v>0.23557870370370401</v>
      </c>
      <c r="D269" s="2">
        <v>0.31138888888888899</v>
      </c>
      <c r="E269">
        <v>109</v>
      </c>
      <c r="F269" t="s">
        <v>65</v>
      </c>
      <c r="G269" t="s">
        <v>28</v>
      </c>
      <c r="H269" t="s">
        <v>30</v>
      </c>
    </row>
    <row r="270" spans="1:8" ht="15" customHeight="1" x14ac:dyDescent="0.2">
      <c r="A270" s="1">
        <v>46246</v>
      </c>
      <c r="B270">
        <v>0</v>
      </c>
      <c r="C270" s="2">
        <v>0.34547453703703701</v>
      </c>
      <c r="D270" s="2">
        <v>0.42318287037037</v>
      </c>
      <c r="E270">
        <v>112</v>
      </c>
      <c r="F270" t="s">
        <v>65</v>
      </c>
      <c r="G270" t="s">
        <v>28</v>
      </c>
      <c r="H270" t="s">
        <v>33</v>
      </c>
    </row>
    <row r="271" spans="1:8" ht="15" customHeight="1" x14ac:dyDescent="0.2">
      <c r="A271" s="1">
        <v>46246</v>
      </c>
      <c r="B271">
        <v>0</v>
      </c>
      <c r="C271" s="2">
        <v>0.38406249999999997</v>
      </c>
      <c r="D271" s="2">
        <v>0.51027777777777805</v>
      </c>
      <c r="E271">
        <v>181</v>
      </c>
      <c r="F271" t="s">
        <v>65</v>
      </c>
      <c r="G271" t="s">
        <v>28</v>
      </c>
      <c r="H271" t="s">
        <v>33</v>
      </c>
    </row>
    <row r="272" spans="1:8" ht="15" customHeight="1" x14ac:dyDescent="0.2">
      <c r="A272" s="1">
        <v>46246</v>
      </c>
      <c r="B272">
        <v>0</v>
      </c>
      <c r="C272" s="2">
        <v>0.43674768518518498</v>
      </c>
      <c r="D272" s="2">
        <v>0.51896990740740701</v>
      </c>
      <c r="E272">
        <v>119</v>
      </c>
      <c r="F272" t="s">
        <v>65</v>
      </c>
      <c r="G272" t="s">
        <v>28</v>
      </c>
      <c r="H272" t="s">
        <v>33</v>
      </c>
    </row>
    <row r="273" spans="1:8" ht="15" customHeight="1" x14ac:dyDescent="0.2">
      <c r="A273" s="1">
        <v>46246</v>
      </c>
      <c r="B273">
        <v>0</v>
      </c>
      <c r="C273" s="2">
        <v>0.55484953703703699</v>
      </c>
      <c r="D273" s="2">
        <v>0.59412037037037002</v>
      </c>
      <c r="E273">
        <v>57</v>
      </c>
      <c r="F273" t="s">
        <v>65</v>
      </c>
      <c r="G273" t="s">
        <v>28</v>
      </c>
      <c r="H273" t="s">
        <v>33</v>
      </c>
    </row>
    <row r="274" spans="1:8" ht="15" customHeight="1" x14ac:dyDescent="0.2">
      <c r="A274" s="1">
        <v>46246</v>
      </c>
      <c r="B274">
        <v>0</v>
      </c>
      <c r="C274" s="2">
        <v>0.24325231481481499</v>
      </c>
      <c r="D274" s="2">
        <v>0.31861111111111101</v>
      </c>
      <c r="E274">
        <v>108</v>
      </c>
      <c r="F274" t="s">
        <v>65</v>
      </c>
      <c r="G274" t="s">
        <v>28</v>
      </c>
      <c r="H274" t="s">
        <v>33</v>
      </c>
    </row>
    <row r="275" spans="1:8" ht="15" customHeight="1" x14ac:dyDescent="0.2">
      <c r="A275" s="1">
        <v>46246</v>
      </c>
      <c r="B275">
        <v>0</v>
      </c>
      <c r="C275" s="2">
        <v>0.25994212962962998</v>
      </c>
      <c r="D275" s="2">
        <v>0.31623842592592599</v>
      </c>
      <c r="E275">
        <v>81</v>
      </c>
      <c r="F275" t="s">
        <v>63</v>
      </c>
      <c r="G275" t="s">
        <v>28</v>
      </c>
      <c r="H275" t="s">
        <v>49</v>
      </c>
    </row>
    <row r="276" spans="1:8" ht="15" customHeight="1" x14ac:dyDescent="0.2">
      <c r="A276" s="1">
        <v>46246</v>
      </c>
      <c r="B276">
        <v>0</v>
      </c>
      <c r="C276" s="2">
        <v>0.242627314814815</v>
      </c>
      <c r="D276" s="2">
        <v>0.318622685185185</v>
      </c>
      <c r="E276">
        <v>109</v>
      </c>
      <c r="F276" t="s">
        <v>63</v>
      </c>
      <c r="G276" t="s">
        <v>34</v>
      </c>
      <c r="H276" t="s">
        <v>30</v>
      </c>
    </row>
    <row r="277" spans="1:8" ht="15" customHeight="1" x14ac:dyDescent="0.2">
      <c r="A277" s="1">
        <v>46246</v>
      </c>
      <c r="B277">
        <v>0</v>
      </c>
      <c r="C277" s="2">
        <v>0.365266203703704</v>
      </c>
      <c r="D277" s="2">
        <v>0.44890046296296299</v>
      </c>
      <c r="E277">
        <v>121</v>
      </c>
      <c r="F277" t="s">
        <v>66</v>
      </c>
      <c r="G277" t="s">
        <v>28</v>
      </c>
      <c r="H277" t="s">
        <v>30</v>
      </c>
    </row>
    <row r="278" spans="1:8" ht="15" customHeight="1" x14ac:dyDescent="0.2">
      <c r="A278" s="1">
        <v>46246</v>
      </c>
      <c r="B278">
        <v>0</v>
      </c>
      <c r="C278" s="2">
        <v>0.236319444444444</v>
      </c>
      <c r="D278" s="2">
        <v>0.32222222222222202</v>
      </c>
      <c r="E278">
        <v>124</v>
      </c>
      <c r="F278" t="s">
        <v>65</v>
      </c>
      <c r="G278" t="s">
        <v>28</v>
      </c>
      <c r="H278" t="s">
        <v>28</v>
      </c>
    </row>
    <row r="279" spans="1:8" ht="15" customHeight="1" x14ac:dyDescent="0.2">
      <c r="A279" s="1">
        <v>46246</v>
      </c>
      <c r="B279">
        <v>0</v>
      </c>
      <c r="C279" s="2">
        <v>0.27831018518518502</v>
      </c>
      <c r="D279" s="2">
        <v>0.3125</v>
      </c>
      <c r="E279">
        <v>50</v>
      </c>
      <c r="F279" t="s">
        <v>63</v>
      </c>
      <c r="G279" t="s">
        <v>34</v>
      </c>
      <c r="H279" t="s">
        <v>28</v>
      </c>
    </row>
    <row r="280" spans="1:8" ht="15" customHeight="1" x14ac:dyDescent="0.2">
      <c r="A280" s="1">
        <v>46246</v>
      </c>
      <c r="B280">
        <v>0</v>
      </c>
      <c r="C280" s="2">
        <v>0.38567129629629598</v>
      </c>
      <c r="D280" s="2">
        <v>0.44922453703703702</v>
      </c>
      <c r="E280">
        <v>91</v>
      </c>
      <c r="F280" t="s">
        <v>65</v>
      </c>
      <c r="G280" t="s">
        <v>34</v>
      </c>
      <c r="H280" t="s">
        <v>30</v>
      </c>
    </row>
    <row r="281" spans="1:8" ht="15" customHeight="1" x14ac:dyDescent="0.2">
      <c r="A281" s="1">
        <v>46246</v>
      </c>
      <c r="B281">
        <v>0</v>
      </c>
      <c r="C281" s="2">
        <v>0.33934027777777798</v>
      </c>
      <c r="D281" s="2">
        <v>0.38252314814814797</v>
      </c>
      <c r="E281">
        <v>62</v>
      </c>
      <c r="F281" t="s">
        <v>65</v>
      </c>
      <c r="G281" t="s">
        <v>34</v>
      </c>
      <c r="H281" t="s">
        <v>30</v>
      </c>
    </row>
    <row r="282" spans="1:8" ht="15" customHeight="1" x14ac:dyDescent="0.2">
      <c r="A282" s="1">
        <v>46246</v>
      </c>
      <c r="B282">
        <v>0</v>
      </c>
      <c r="D282" s="2">
        <v>0.311805555555556</v>
      </c>
      <c r="F282" t="s">
        <v>65</v>
      </c>
      <c r="G282" t="s">
        <v>28</v>
      </c>
      <c r="H282" t="s">
        <v>33</v>
      </c>
    </row>
    <row r="283" spans="1:8" ht="15" customHeight="1" x14ac:dyDescent="0.2">
      <c r="A283" s="1">
        <v>46246</v>
      </c>
      <c r="B283">
        <v>0</v>
      </c>
      <c r="C283" s="2">
        <v>0.58445601851851803</v>
      </c>
      <c r="D283" s="2">
        <v>0.64934027777777803</v>
      </c>
      <c r="E283">
        <v>94</v>
      </c>
      <c r="F283" t="s">
        <v>63</v>
      </c>
      <c r="G283" t="s">
        <v>28</v>
      </c>
      <c r="H283" t="s">
        <v>33</v>
      </c>
    </row>
    <row r="284" spans="1:8" ht="15" customHeight="1" x14ac:dyDescent="0.2">
      <c r="A284" s="1">
        <v>46246</v>
      </c>
      <c r="B284">
        <v>0</v>
      </c>
      <c r="C284" s="2">
        <v>0.59612268518518496</v>
      </c>
      <c r="F284" t="s">
        <v>63</v>
      </c>
      <c r="G284" t="s">
        <v>34</v>
      </c>
      <c r="H284" t="s">
        <v>30</v>
      </c>
    </row>
    <row r="285" spans="1:8" ht="15" customHeight="1" x14ac:dyDescent="0.2">
      <c r="A285" s="1">
        <v>46246</v>
      </c>
      <c r="B285">
        <v>0</v>
      </c>
      <c r="C285" s="2">
        <v>0.33831018518518502</v>
      </c>
      <c r="D285" s="2">
        <v>0.40275462962962999</v>
      </c>
      <c r="E285">
        <v>92</v>
      </c>
      <c r="F285" t="s">
        <v>65</v>
      </c>
      <c r="G285" t="s">
        <v>28</v>
      </c>
      <c r="H285" t="s">
        <v>30</v>
      </c>
    </row>
    <row r="286" spans="1:8" ht="15" customHeight="1" x14ac:dyDescent="0.2">
      <c r="A286" s="1">
        <v>46246</v>
      </c>
      <c r="B286">
        <v>0</v>
      </c>
      <c r="C286" s="2">
        <v>0.50988425925925895</v>
      </c>
      <c r="D286" s="2">
        <v>0.56596064814814795</v>
      </c>
      <c r="E286">
        <v>80</v>
      </c>
      <c r="F286" t="s">
        <v>63</v>
      </c>
      <c r="G286" t="s">
        <v>28</v>
      </c>
      <c r="H286" t="s">
        <v>47</v>
      </c>
    </row>
    <row r="287" spans="1:8" ht="15" customHeight="1" x14ac:dyDescent="0.2">
      <c r="A287" s="1">
        <v>46246</v>
      </c>
      <c r="B287">
        <v>0</v>
      </c>
      <c r="C287" s="2">
        <v>0.36320601851851902</v>
      </c>
      <c r="F287" t="s">
        <v>63</v>
      </c>
      <c r="G287" t="s">
        <v>28</v>
      </c>
      <c r="H287" t="s">
        <v>28</v>
      </c>
    </row>
    <row r="288" spans="1:8" ht="15" customHeight="1" x14ac:dyDescent="0.2">
      <c r="A288" s="1">
        <v>46246</v>
      </c>
      <c r="B288">
        <v>0</v>
      </c>
      <c r="C288" s="2">
        <v>0.28888888888888897</v>
      </c>
      <c r="D288" s="2">
        <v>0.31111111111111101</v>
      </c>
      <c r="E288">
        <v>32</v>
      </c>
      <c r="F288" t="s">
        <v>63</v>
      </c>
      <c r="G288" t="s">
        <v>28</v>
      </c>
      <c r="H288" t="s">
        <v>30</v>
      </c>
    </row>
    <row r="289" spans="1:8" ht="15" customHeight="1" x14ac:dyDescent="0.2">
      <c r="A289" s="1">
        <v>46246</v>
      </c>
      <c r="B289">
        <v>0</v>
      </c>
      <c r="C289" s="2">
        <v>0.43777777777777799</v>
      </c>
      <c r="D289" s="2">
        <v>0.47361111111111098</v>
      </c>
      <c r="E289">
        <v>52</v>
      </c>
      <c r="F289" t="s">
        <v>63</v>
      </c>
      <c r="G289" t="s">
        <v>28</v>
      </c>
      <c r="H289" t="s">
        <v>30</v>
      </c>
    </row>
    <row r="290" spans="1:8" ht="15" customHeight="1" x14ac:dyDescent="0.2">
      <c r="A290" s="1">
        <v>46246</v>
      </c>
      <c r="B290">
        <v>0</v>
      </c>
      <c r="C290" s="2">
        <v>0.42322916666666699</v>
      </c>
      <c r="D290" s="2">
        <v>0.46835648148148101</v>
      </c>
      <c r="E290">
        <v>65</v>
      </c>
      <c r="F290" t="s">
        <v>63</v>
      </c>
      <c r="G290" t="s">
        <v>28</v>
      </c>
      <c r="H290" t="s">
        <v>39</v>
      </c>
    </row>
    <row r="291" spans="1:8" ht="15" customHeight="1" x14ac:dyDescent="0.2">
      <c r="A291" s="1">
        <v>46246</v>
      </c>
      <c r="B291">
        <v>0</v>
      </c>
      <c r="C291" s="2">
        <v>0.51171296296296298</v>
      </c>
      <c r="D291" s="2">
        <v>0.53059027777777801</v>
      </c>
      <c r="E291">
        <v>28</v>
      </c>
      <c r="F291" t="s">
        <v>63</v>
      </c>
      <c r="G291" t="s">
        <v>28</v>
      </c>
      <c r="H291" t="s">
        <v>39</v>
      </c>
    </row>
    <row r="292" spans="1:8" ht="15" customHeight="1" x14ac:dyDescent="0.2">
      <c r="A292" s="1">
        <v>46246</v>
      </c>
      <c r="B292">
        <v>0</v>
      </c>
      <c r="C292" s="2">
        <v>0.55572916666666705</v>
      </c>
      <c r="D292" s="2">
        <v>0.60365740740740703</v>
      </c>
      <c r="E292">
        <v>69</v>
      </c>
      <c r="F292" t="s">
        <v>63</v>
      </c>
      <c r="G292" t="s">
        <v>28</v>
      </c>
      <c r="H292" t="s">
        <v>30</v>
      </c>
    </row>
    <row r="293" spans="1:8" ht="15" customHeight="1" x14ac:dyDescent="0.2">
      <c r="A293" s="1">
        <v>46246</v>
      </c>
      <c r="B293">
        <v>1</v>
      </c>
      <c r="C293" s="2">
        <v>0.70094907407407403</v>
      </c>
      <c r="D293" s="2">
        <v>0.80560185185185196</v>
      </c>
      <c r="E293">
        <v>151</v>
      </c>
      <c r="F293" t="s">
        <v>63</v>
      </c>
      <c r="G293" t="s">
        <v>28</v>
      </c>
      <c r="H293" t="s">
        <v>30</v>
      </c>
    </row>
    <row r="294" spans="1:8" ht="15" customHeight="1" x14ac:dyDescent="0.2">
      <c r="A294" s="1">
        <v>46246</v>
      </c>
      <c r="B294">
        <v>1</v>
      </c>
      <c r="C294" s="2">
        <v>0.66378472222222196</v>
      </c>
      <c r="D294" s="2">
        <v>0.69761574074074095</v>
      </c>
      <c r="E294">
        <v>49</v>
      </c>
      <c r="F294" t="s">
        <v>63</v>
      </c>
      <c r="G294" t="s">
        <v>34</v>
      </c>
      <c r="H294" t="s">
        <v>30</v>
      </c>
    </row>
    <row r="295" spans="1:8" ht="15" customHeight="1" x14ac:dyDescent="0.2">
      <c r="A295" s="1">
        <v>46246</v>
      </c>
      <c r="B295">
        <v>1</v>
      </c>
      <c r="C295" s="2">
        <v>0.45275462962962998</v>
      </c>
      <c r="D295" s="2">
        <v>0.50814814814814802</v>
      </c>
      <c r="E295">
        <v>80</v>
      </c>
      <c r="F295" t="s">
        <v>63</v>
      </c>
      <c r="G295" t="s">
        <v>28</v>
      </c>
      <c r="H295" t="s">
        <v>28</v>
      </c>
    </row>
    <row r="296" spans="1:8" ht="15" customHeight="1" x14ac:dyDescent="0.2">
      <c r="A296" s="1">
        <v>46246</v>
      </c>
      <c r="B296">
        <v>1</v>
      </c>
      <c r="C296" s="2">
        <v>0.47995370370370399</v>
      </c>
      <c r="D296" s="2">
        <v>0.54180555555555598</v>
      </c>
      <c r="E296">
        <v>89</v>
      </c>
      <c r="F296" t="s">
        <v>63</v>
      </c>
      <c r="G296" t="s">
        <v>28</v>
      </c>
      <c r="H296" t="s">
        <v>30</v>
      </c>
    </row>
    <row r="297" spans="1:8" ht="15" customHeight="1" x14ac:dyDescent="0.2">
      <c r="A297" s="1">
        <v>46246</v>
      </c>
      <c r="B297">
        <v>1</v>
      </c>
      <c r="C297" s="2">
        <v>0.48958333333333298</v>
      </c>
      <c r="D297" s="2">
        <v>0.52011574074074096</v>
      </c>
      <c r="E297">
        <v>43</v>
      </c>
      <c r="F297" t="s">
        <v>63</v>
      </c>
      <c r="G297" t="s">
        <v>28</v>
      </c>
      <c r="H297" t="s">
        <v>28</v>
      </c>
    </row>
    <row r="298" spans="1:8" ht="15" customHeight="1" x14ac:dyDescent="0.2">
      <c r="A298" s="1">
        <v>46246</v>
      </c>
      <c r="B298">
        <v>1</v>
      </c>
      <c r="C298" s="2">
        <v>0.72167824074074105</v>
      </c>
      <c r="D298" s="2">
        <v>0.77083333333333304</v>
      </c>
      <c r="E298">
        <v>71</v>
      </c>
      <c r="F298" t="s">
        <v>63</v>
      </c>
      <c r="G298" t="s">
        <v>28</v>
      </c>
      <c r="H298" t="s">
        <v>30</v>
      </c>
    </row>
    <row r="299" spans="1:8" ht="15" customHeight="1" x14ac:dyDescent="0.2">
      <c r="A299" s="1">
        <v>46246</v>
      </c>
      <c r="B299">
        <v>0</v>
      </c>
      <c r="C299" s="2">
        <v>0.50479166666666697</v>
      </c>
      <c r="D299" s="2">
        <v>0.58274305555555606</v>
      </c>
      <c r="E299">
        <v>113</v>
      </c>
      <c r="F299" t="s">
        <v>68</v>
      </c>
      <c r="G299" t="s">
        <v>34</v>
      </c>
      <c r="H299" t="s">
        <v>30</v>
      </c>
    </row>
    <row r="300" spans="1:8" ht="15" customHeight="1" x14ac:dyDescent="0.2">
      <c r="A300" s="1">
        <v>46247</v>
      </c>
      <c r="B300">
        <v>0</v>
      </c>
      <c r="C300" s="2">
        <v>0.32913194444444399</v>
      </c>
      <c r="D300" s="2">
        <v>0.40637731481481498</v>
      </c>
      <c r="E300">
        <v>112</v>
      </c>
      <c r="F300" t="s">
        <v>63</v>
      </c>
      <c r="G300" t="s">
        <v>28</v>
      </c>
      <c r="H300" t="s">
        <v>28</v>
      </c>
    </row>
    <row r="301" spans="1:8" ht="15" customHeight="1" x14ac:dyDescent="0.2">
      <c r="A301" s="1">
        <v>46247</v>
      </c>
      <c r="B301">
        <v>0</v>
      </c>
      <c r="C301" s="2">
        <v>0.24359953703703699</v>
      </c>
      <c r="D301" s="2">
        <v>0.31353009259259301</v>
      </c>
      <c r="E301">
        <v>101</v>
      </c>
      <c r="F301" t="s">
        <v>66</v>
      </c>
      <c r="G301" t="s">
        <v>28</v>
      </c>
      <c r="H301" t="s">
        <v>49</v>
      </c>
    </row>
    <row r="302" spans="1:8" ht="15" customHeight="1" x14ac:dyDescent="0.2">
      <c r="A302" s="1">
        <v>46247</v>
      </c>
      <c r="B302">
        <v>0</v>
      </c>
      <c r="C302" s="2">
        <v>0.26934027777777803</v>
      </c>
      <c r="D302" s="2">
        <v>0.32361111111111102</v>
      </c>
      <c r="E302">
        <v>79</v>
      </c>
      <c r="F302" t="s">
        <v>65</v>
      </c>
      <c r="G302" t="s">
        <v>28</v>
      </c>
      <c r="H302" t="s">
        <v>45</v>
      </c>
    </row>
    <row r="303" spans="1:8" ht="15" customHeight="1" x14ac:dyDescent="0.2">
      <c r="A303" s="1">
        <v>46247</v>
      </c>
      <c r="B303">
        <v>0</v>
      </c>
      <c r="C303" s="2">
        <v>0.24085648148148101</v>
      </c>
      <c r="D303" s="2">
        <v>0.30246527777777799</v>
      </c>
      <c r="E303">
        <v>89</v>
      </c>
      <c r="F303" t="s">
        <v>68</v>
      </c>
      <c r="G303" t="s">
        <v>34</v>
      </c>
      <c r="H303" t="s">
        <v>30</v>
      </c>
    </row>
    <row r="304" spans="1:8" ht="15" customHeight="1" x14ac:dyDescent="0.2">
      <c r="A304" s="1">
        <v>46247</v>
      </c>
      <c r="B304">
        <v>0</v>
      </c>
      <c r="C304" s="2">
        <v>0.40833333333333299</v>
      </c>
      <c r="D304" s="2">
        <v>0.464513888888889</v>
      </c>
      <c r="E304">
        <v>80</v>
      </c>
      <c r="F304" t="s">
        <v>65</v>
      </c>
      <c r="G304" t="s">
        <v>28</v>
      </c>
      <c r="H304" t="s">
        <v>45</v>
      </c>
    </row>
    <row r="305" spans="1:8" ht="15" customHeight="1" x14ac:dyDescent="0.2">
      <c r="A305" s="1">
        <v>46247</v>
      </c>
      <c r="B305">
        <v>0</v>
      </c>
      <c r="C305" s="2">
        <v>0.36987268518518501</v>
      </c>
      <c r="D305" s="2">
        <v>0.447199074074074</v>
      </c>
      <c r="E305">
        <v>111</v>
      </c>
      <c r="F305" t="s">
        <v>68</v>
      </c>
      <c r="G305" t="s">
        <v>34</v>
      </c>
      <c r="H305" t="s">
        <v>30</v>
      </c>
    </row>
    <row r="306" spans="1:8" ht="15" customHeight="1" x14ac:dyDescent="0.2">
      <c r="A306" s="1">
        <v>46247</v>
      </c>
      <c r="B306">
        <v>0</v>
      </c>
      <c r="C306" s="2">
        <v>0.327662037037037</v>
      </c>
      <c r="D306" s="2">
        <v>0.397511574074074</v>
      </c>
      <c r="E306">
        <v>101</v>
      </c>
      <c r="F306" t="s">
        <v>66</v>
      </c>
      <c r="G306" t="s">
        <v>28</v>
      </c>
      <c r="H306" t="s">
        <v>49</v>
      </c>
    </row>
    <row r="307" spans="1:8" ht="15" customHeight="1" x14ac:dyDescent="0.2">
      <c r="A307" s="1">
        <v>46247</v>
      </c>
      <c r="B307">
        <v>0</v>
      </c>
      <c r="C307" s="2">
        <v>0.45163194444444399</v>
      </c>
      <c r="D307" s="2">
        <v>0.58043981481481499</v>
      </c>
      <c r="E307">
        <v>185</v>
      </c>
      <c r="F307" t="s">
        <v>65</v>
      </c>
      <c r="G307" t="s">
        <v>28</v>
      </c>
      <c r="H307" t="s">
        <v>33</v>
      </c>
    </row>
    <row r="308" spans="1:8" ht="15" customHeight="1" x14ac:dyDescent="0.2">
      <c r="A308" s="1">
        <v>46247</v>
      </c>
      <c r="B308">
        <v>0</v>
      </c>
      <c r="C308" s="2">
        <v>0.369421296296296</v>
      </c>
      <c r="D308" s="2">
        <v>0.40223379629629602</v>
      </c>
      <c r="E308">
        <v>48</v>
      </c>
      <c r="F308" t="s">
        <v>68</v>
      </c>
      <c r="G308" t="s">
        <v>34</v>
      </c>
      <c r="H308" t="s">
        <v>28</v>
      </c>
    </row>
    <row r="309" spans="1:8" ht="15" customHeight="1" x14ac:dyDescent="0.2">
      <c r="A309" s="1">
        <v>46247</v>
      </c>
      <c r="B309">
        <v>0</v>
      </c>
      <c r="C309" s="2">
        <v>0.24408564814814801</v>
      </c>
      <c r="D309" s="2">
        <v>0.31041666666666701</v>
      </c>
      <c r="E309">
        <v>96</v>
      </c>
      <c r="F309" t="s">
        <v>65</v>
      </c>
      <c r="G309" t="s">
        <v>28</v>
      </c>
      <c r="H309" t="s">
        <v>28</v>
      </c>
    </row>
    <row r="310" spans="1:8" ht="15" customHeight="1" x14ac:dyDescent="0.2">
      <c r="A310" s="1">
        <v>46247</v>
      </c>
      <c r="B310">
        <v>0</v>
      </c>
      <c r="C310" s="2">
        <v>0.51238425925925901</v>
      </c>
      <c r="D310" s="2">
        <v>0.57472222222222202</v>
      </c>
      <c r="E310">
        <v>90</v>
      </c>
      <c r="F310" t="s">
        <v>68</v>
      </c>
      <c r="G310" t="s">
        <v>34</v>
      </c>
      <c r="H310" t="s">
        <v>30</v>
      </c>
    </row>
    <row r="311" spans="1:8" ht="15" customHeight="1" x14ac:dyDescent="0.2">
      <c r="A311" s="1">
        <v>46247</v>
      </c>
      <c r="B311">
        <v>0</v>
      </c>
      <c r="C311" s="2">
        <v>0.342789351851852</v>
      </c>
      <c r="D311" s="2">
        <v>0.46609953703703699</v>
      </c>
      <c r="E311">
        <v>178</v>
      </c>
      <c r="F311" t="s">
        <v>63</v>
      </c>
      <c r="G311" t="s">
        <v>28</v>
      </c>
      <c r="H311" t="s">
        <v>33</v>
      </c>
    </row>
    <row r="312" spans="1:8" ht="15" customHeight="1" x14ac:dyDescent="0.2">
      <c r="A312" s="1">
        <v>46247</v>
      </c>
      <c r="B312">
        <v>0</v>
      </c>
      <c r="C312" s="2">
        <v>0.41004629629629602</v>
      </c>
      <c r="D312" s="2">
        <v>0.46918981481481498</v>
      </c>
      <c r="E312">
        <v>85</v>
      </c>
      <c r="F312" t="s">
        <v>63</v>
      </c>
      <c r="G312" t="s">
        <v>28</v>
      </c>
      <c r="H312" t="s">
        <v>49</v>
      </c>
    </row>
    <row r="313" spans="1:8" ht="15" customHeight="1" x14ac:dyDescent="0.2">
      <c r="A313" s="1">
        <v>46247</v>
      </c>
      <c r="B313">
        <v>0</v>
      </c>
      <c r="C313" s="2">
        <v>0.33446759259259301</v>
      </c>
      <c r="D313" s="2">
        <v>0.36629629629629601</v>
      </c>
      <c r="E313">
        <v>46</v>
      </c>
      <c r="F313" t="s">
        <v>65</v>
      </c>
      <c r="G313" t="s">
        <v>28</v>
      </c>
      <c r="H313" t="s">
        <v>45</v>
      </c>
    </row>
    <row r="314" spans="1:8" ht="15" customHeight="1" x14ac:dyDescent="0.2">
      <c r="A314" s="1">
        <v>46247</v>
      </c>
      <c r="B314">
        <v>0</v>
      </c>
      <c r="C314" s="2">
        <v>0.24295138888888901</v>
      </c>
      <c r="D314" s="2">
        <v>0.30893518518518498</v>
      </c>
      <c r="E314">
        <v>95</v>
      </c>
      <c r="F314" t="s">
        <v>66</v>
      </c>
      <c r="G314" t="s">
        <v>28</v>
      </c>
      <c r="H314" t="s">
        <v>33</v>
      </c>
    </row>
    <row r="315" spans="1:8" ht="15" customHeight="1" x14ac:dyDescent="0.2">
      <c r="A315" s="1">
        <v>46247</v>
      </c>
      <c r="B315">
        <v>0</v>
      </c>
      <c r="C315" s="2">
        <v>0.50903935185185201</v>
      </c>
      <c r="D315" s="2">
        <v>0.53716435185185196</v>
      </c>
      <c r="E315">
        <v>40</v>
      </c>
      <c r="F315" t="s">
        <v>65</v>
      </c>
      <c r="G315" t="s">
        <v>28</v>
      </c>
      <c r="H315" t="s">
        <v>33</v>
      </c>
    </row>
    <row r="316" spans="1:8" ht="15" customHeight="1" x14ac:dyDescent="0.2">
      <c r="A316" s="1">
        <v>46247</v>
      </c>
      <c r="B316">
        <v>0</v>
      </c>
      <c r="C316" s="2">
        <v>0.24249999999999999</v>
      </c>
      <c r="D316" s="2">
        <v>0.30898148148148102</v>
      </c>
      <c r="E316">
        <v>95</v>
      </c>
      <c r="F316" t="s">
        <v>66</v>
      </c>
      <c r="G316" t="s">
        <v>28</v>
      </c>
      <c r="H316" t="s">
        <v>33</v>
      </c>
    </row>
    <row r="317" spans="1:8" ht="15" customHeight="1" x14ac:dyDescent="0.2">
      <c r="A317" s="1">
        <v>46247</v>
      </c>
      <c r="B317">
        <v>0</v>
      </c>
      <c r="C317" s="2">
        <v>0.55855324074074097</v>
      </c>
      <c r="D317" s="2">
        <v>0.60797453703703697</v>
      </c>
      <c r="E317">
        <v>71</v>
      </c>
      <c r="F317" t="s">
        <v>65</v>
      </c>
      <c r="G317" t="s">
        <v>28</v>
      </c>
      <c r="H317" t="s">
        <v>33</v>
      </c>
    </row>
    <row r="318" spans="1:8" ht="15" customHeight="1" x14ac:dyDescent="0.2">
      <c r="A318" s="1">
        <v>46247</v>
      </c>
      <c r="B318">
        <v>0</v>
      </c>
      <c r="C318" s="2">
        <v>0.336747685185185</v>
      </c>
      <c r="D318" s="2">
        <v>0.38865740740740701</v>
      </c>
      <c r="E318">
        <v>75</v>
      </c>
      <c r="F318" t="s">
        <v>65</v>
      </c>
      <c r="G318" t="s">
        <v>28</v>
      </c>
      <c r="H318" t="s">
        <v>28</v>
      </c>
    </row>
    <row r="319" spans="1:8" ht="15" customHeight="1" x14ac:dyDescent="0.2">
      <c r="A319" s="1">
        <v>46247</v>
      </c>
      <c r="B319">
        <v>0</v>
      </c>
      <c r="C319" s="2">
        <v>0.49706018518518502</v>
      </c>
      <c r="D319" s="2">
        <v>0.58190972222222204</v>
      </c>
      <c r="E319">
        <v>122</v>
      </c>
      <c r="F319" t="s">
        <v>68</v>
      </c>
      <c r="G319" t="s">
        <v>28</v>
      </c>
      <c r="H319" t="s">
        <v>49</v>
      </c>
    </row>
    <row r="320" spans="1:8" ht="15" customHeight="1" x14ac:dyDescent="0.2">
      <c r="A320" s="1">
        <v>46247</v>
      </c>
      <c r="B320">
        <v>0</v>
      </c>
      <c r="C320" s="2">
        <v>0.241782407407407</v>
      </c>
      <c r="D320" s="2">
        <v>0.30173611111111098</v>
      </c>
      <c r="E320">
        <v>86</v>
      </c>
      <c r="F320" t="s">
        <v>65</v>
      </c>
      <c r="G320" t="s">
        <v>28</v>
      </c>
      <c r="H320" t="s">
        <v>28</v>
      </c>
    </row>
    <row r="321" spans="1:8" ht="15" customHeight="1" x14ac:dyDescent="0.2">
      <c r="A321" s="1">
        <v>46247</v>
      </c>
      <c r="B321">
        <v>0</v>
      </c>
      <c r="C321" s="2">
        <v>0.412291666666667</v>
      </c>
      <c r="D321" s="2">
        <v>0.44870370370370399</v>
      </c>
      <c r="E321">
        <v>53</v>
      </c>
      <c r="F321" t="s">
        <v>65</v>
      </c>
      <c r="G321" t="s">
        <v>28</v>
      </c>
      <c r="H321" t="s">
        <v>28</v>
      </c>
    </row>
    <row r="322" spans="1:8" ht="15" customHeight="1" x14ac:dyDescent="0.2">
      <c r="A322" s="1">
        <v>46247</v>
      </c>
      <c r="B322">
        <v>0</v>
      </c>
      <c r="C322" s="2">
        <v>0.24493055555555601</v>
      </c>
      <c r="D322" s="2">
        <v>0.307731481481481</v>
      </c>
      <c r="E322">
        <v>91</v>
      </c>
      <c r="F322" t="s">
        <v>65</v>
      </c>
      <c r="G322" t="s">
        <v>28</v>
      </c>
      <c r="H322" t="s">
        <v>28</v>
      </c>
    </row>
    <row r="323" spans="1:8" ht="15" customHeight="1" x14ac:dyDescent="0.2">
      <c r="A323" s="1">
        <v>46247</v>
      </c>
      <c r="B323">
        <v>0</v>
      </c>
      <c r="C323" s="2">
        <v>0.35942129629629599</v>
      </c>
      <c r="D323" s="2">
        <v>0.40505787037037</v>
      </c>
      <c r="E323">
        <v>66</v>
      </c>
      <c r="F323" t="s">
        <v>65</v>
      </c>
      <c r="G323" t="s">
        <v>28</v>
      </c>
      <c r="H323" t="s">
        <v>28</v>
      </c>
    </row>
    <row r="324" spans="1:8" ht="15" customHeight="1" x14ac:dyDescent="0.2">
      <c r="A324" s="1">
        <v>46247</v>
      </c>
      <c r="B324">
        <v>0</v>
      </c>
      <c r="C324" s="2">
        <v>0.48298611111111101</v>
      </c>
      <c r="D324" s="2">
        <v>0.56115740740740705</v>
      </c>
      <c r="E324">
        <v>113</v>
      </c>
      <c r="F324" t="s">
        <v>65</v>
      </c>
      <c r="G324" t="s">
        <v>28</v>
      </c>
      <c r="H324" t="s">
        <v>28</v>
      </c>
    </row>
    <row r="325" spans="1:8" ht="15" customHeight="1" x14ac:dyDescent="0.2">
      <c r="A325" s="1">
        <v>46247</v>
      </c>
      <c r="B325">
        <v>0</v>
      </c>
      <c r="C325" s="2">
        <v>0.56868055555555597</v>
      </c>
      <c r="D325" s="2">
        <v>0.64319444444444396</v>
      </c>
      <c r="E325">
        <v>108</v>
      </c>
      <c r="F325" t="s">
        <v>65</v>
      </c>
      <c r="G325" t="s">
        <v>28</v>
      </c>
      <c r="H325" t="s">
        <v>33</v>
      </c>
    </row>
    <row r="326" spans="1:8" ht="15" customHeight="1" x14ac:dyDescent="0.2">
      <c r="A326" s="1">
        <v>46247</v>
      </c>
      <c r="B326">
        <v>0</v>
      </c>
      <c r="C326" s="2">
        <v>0.23180555555555599</v>
      </c>
      <c r="D326" s="2">
        <v>0.31716435185185199</v>
      </c>
      <c r="E326">
        <v>123</v>
      </c>
      <c r="F326" t="s">
        <v>65</v>
      </c>
      <c r="G326" t="s">
        <v>28</v>
      </c>
      <c r="H326" t="s">
        <v>28</v>
      </c>
    </row>
    <row r="327" spans="1:8" ht="15" customHeight="1" x14ac:dyDescent="0.2">
      <c r="A327" s="1">
        <v>46247</v>
      </c>
      <c r="B327">
        <v>0</v>
      </c>
      <c r="C327" s="2">
        <v>0.531979166666667</v>
      </c>
      <c r="D327" s="2">
        <v>0.55876157407407401</v>
      </c>
      <c r="E327">
        <v>38</v>
      </c>
      <c r="F327" t="s">
        <v>63</v>
      </c>
      <c r="G327" t="s">
        <v>28</v>
      </c>
      <c r="H327" t="s">
        <v>32</v>
      </c>
    </row>
    <row r="328" spans="1:8" ht="15" customHeight="1" x14ac:dyDescent="0.2">
      <c r="A328" s="1">
        <v>46247</v>
      </c>
      <c r="B328">
        <v>0</v>
      </c>
      <c r="C328" s="2">
        <v>0.396898148148148</v>
      </c>
      <c r="D328" s="2">
        <v>0.42726851851851799</v>
      </c>
      <c r="E328">
        <v>44</v>
      </c>
      <c r="F328" t="s">
        <v>65</v>
      </c>
      <c r="G328" t="s">
        <v>28</v>
      </c>
      <c r="H328" t="s">
        <v>33</v>
      </c>
    </row>
    <row r="329" spans="1:8" ht="15" customHeight="1" x14ac:dyDescent="0.2">
      <c r="A329" s="1">
        <v>46247</v>
      </c>
      <c r="B329">
        <v>0</v>
      </c>
      <c r="C329" s="2">
        <v>0.23263888888888901</v>
      </c>
      <c r="D329" s="2">
        <v>0.27083333333333298</v>
      </c>
      <c r="E329">
        <v>55</v>
      </c>
      <c r="F329" t="s">
        <v>63</v>
      </c>
      <c r="G329" t="s">
        <v>34</v>
      </c>
      <c r="H329" t="s">
        <v>44</v>
      </c>
    </row>
    <row r="330" spans="1:8" ht="15" customHeight="1" x14ac:dyDescent="0.2">
      <c r="A330" s="1">
        <v>46247</v>
      </c>
      <c r="B330">
        <v>0</v>
      </c>
      <c r="C330" s="2">
        <v>0.62496527777777799</v>
      </c>
      <c r="D330" s="2">
        <v>0.66645833333333304</v>
      </c>
      <c r="E330">
        <v>60</v>
      </c>
      <c r="F330" t="s">
        <v>63</v>
      </c>
      <c r="G330" t="s">
        <v>28</v>
      </c>
      <c r="H330" t="s">
        <v>47</v>
      </c>
    </row>
    <row r="331" spans="1:8" ht="15" customHeight="1" x14ac:dyDescent="0.2">
      <c r="A331" s="1">
        <v>46247</v>
      </c>
      <c r="B331">
        <v>0</v>
      </c>
      <c r="C331" s="2">
        <v>0.60100694444444402</v>
      </c>
      <c r="D331" s="2">
        <v>0.63471064814814804</v>
      </c>
      <c r="E331">
        <v>48</v>
      </c>
      <c r="F331" t="s">
        <v>63</v>
      </c>
      <c r="G331" t="s">
        <v>28</v>
      </c>
      <c r="H331" t="s">
        <v>30</v>
      </c>
    </row>
    <row r="332" spans="1:8" ht="15" customHeight="1" x14ac:dyDescent="0.2">
      <c r="A332" s="1">
        <v>46247</v>
      </c>
      <c r="B332">
        <v>0</v>
      </c>
      <c r="C332" s="2">
        <v>0.44274305555555599</v>
      </c>
      <c r="D332" s="2">
        <v>0.48334490740740699</v>
      </c>
      <c r="E332">
        <v>59</v>
      </c>
      <c r="F332" t="s">
        <v>63</v>
      </c>
      <c r="G332" t="s">
        <v>28</v>
      </c>
      <c r="H332" t="s">
        <v>30</v>
      </c>
    </row>
    <row r="333" spans="1:8" ht="15" customHeight="1" x14ac:dyDescent="0.2">
      <c r="A333" s="1">
        <v>46247</v>
      </c>
      <c r="B333">
        <v>0</v>
      </c>
      <c r="C333" s="2">
        <v>0.49302083333333302</v>
      </c>
      <c r="D333" s="2">
        <v>0.54274305555555602</v>
      </c>
      <c r="E333">
        <v>72</v>
      </c>
      <c r="F333" t="s">
        <v>63</v>
      </c>
      <c r="G333" t="s">
        <v>28</v>
      </c>
      <c r="H333" t="s">
        <v>28</v>
      </c>
    </row>
    <row r="334" spans="1:8" ht="15" customHeight="1" x14ac:dyDescent="0.2">
      <c r="A334" s="1">
        <v>46247</v>
      </c>
      <c r="B334">
        <v>1</v>
      </c>
      <c r="C334" s="2">
        <v>0.33699074074074098</v>
      </c>
      <c r="D334" s="2">
        <v>0.372615740740741</v>
      </c>
      <c r="E334">
        <v>51</v>
      </c>
      <c r="F334" t="s">
        <v>63</v>
      </c>
      <c r="G334" t="s">
        <v>28</v>
      </c>
      <c r="H334" t="s">
        <v>33</v>
      </c>
    </row>
    <row r="335" spans="1:8" ht="15" customHeight="1" x14ac:dyDescent="0.2">
      <c r="A335" s="1">
        <v>46247</v>
      </c>
      <c r="B335">
        <v>1</v>
      </c>
      <c r="C335" s="2">
        <v>0.60288194444444398</v>
      </c>
      <c r="D335" s="2">
        <v>0.627118055555556</v>
      </c>
      <c r="E335">
        <v>35</v>
      </c>
      <c r="F335" t="s">
        <v>63</v>
      </c>
      <c r="G335" t="s">
        <v>28</v>
      </c>
      <c r="H335" t="s">
        <v>28</v>
      </c>
    </row>
    <row r="336" spans="1:8" ht="15" customHeight="1" x14ac:dyDescent="0.2">
      <c r="A336" s="1">
        <v>46247</v>
      </c>
      <c r="B336">
        <v>1</v>
      </c>
      <c r="C336" s="2">
        <v>0.54901620370370396</v>
      </c>
      <c r="D336" s="2">
        <v>0.569386574074074</v>
      </c>
      <c r="E336">
        <v>29</v>
      </c>
      <c r="F336" t="s">
        <v>66</v>
      </c>
      <c r="G336" t="s">
        <v>38</v>
      </c>
      <c r="H336" t="s">
        <v>30</v>
      </c>
    </row>
    <row r="337" spans="1:8" ht="15" customHeight="1" x14ac:dyDescent="0.2">
      <c r="A337" s="1">
        <v>46247</v>
      </c>
      <c r="B337">
        <v>0</v>
      </c>
      <c r="C337" s="2">
        <v>0.562997685185185</v>
      </c>
      <c r="F337" t="s">
        <v>65</v>
      </c>
      <c r="G337" t="s">
        <v>28</v>
      </c>
      <c r="H337" t="s">
        <v>33</v>
      </c>
    </row>
    <row r="338" spans="1:8" ht="15" customHeight="1" x14ac:dyDescent="0.2">
      <c r="A338" s="1">
        <v>46247</v>
      </c>
      <c r="B338">
        <v>0</v>
      </c>
      <c r="C338" s="2">
        <v>0.43222222222222201</v>
      </c>
      <c r="D338" s="2">
        <v>0.50815972222222205</v>
      </c>
      <c r="E338">
        <v>109</v>
      </c>
      <c r="F338" t="s">
        <v>65</v>
      </c>
      <c r="G338" t="s">
        <v>28</v>
      </c>
      <c r="H338" t="s">
        <v>33</v>
      </c>
    </row>
    <row r="339" spans="1:8" ht="15" customHeight="1" x14ac:dyDescent="0.2">
      <c r="A339" s="1">
        <v>46248</v>
      </c>
      <c r="B339">
        <v>0</v>
      </c>
      <c r="C339" s="2">
        <v>0.34355324074074101</v>
      </c>
      <c r="F339" t="s">
        <v>65</v>
      </c>
      <c r="G339" t="s">
        <v>28</v>
      </c>
      <c r="H339" t="s">
        <v>37</v>
      </c>
    </row>
    <row r="340" spans="1:8" ht="15" customHeight="1" x14ac:dyDescent="0.2">
      <c r="A340" s="1">
        <v>46248</v>
      </c>
      <c r="B340">
        <v>0</v>
      </c>
      <c r="C340" s="2">
        <v>0.42706018518518502</v>
      </c>
      <c r="D340" s="2">
        <v>0.50300925925925899</v>
      </c>
      <c r="E340">
        <v>110</v>
      </c>
      <c r="F340" t="s">
        <v>65</v>
      </c>
      <c r="G340" t="s">
        <v>28</v>
      </c>
      <c r="H340" t="s">
        <v>33</v>
      </c>
    </row>
    <row r="341" spans="1:8" ht="15" customHeight="1" x14ac:dyDescent="0.2">
      <c r="A341" s="1">
        <v>46248</v>
      </c>
      <c r="B341">
        <v>0</v>
      </c>
      <c r="C341" s="2">
        <v>0.32023148148148201</v>
      </c>
      <c r="D341" s="2">
        <v>0.40945601851851898</v>
      </c>
      <c r="E341">
        <v>128</v>
      </c>
      <c r="F341" t="s">
        <v>65</v>
      </c>
      <c r="G341" t="s">
        <v>28</v>
      </c>
      <c r="H341" t="s">
        <v>33</v>
      </c>
    </row>
    <row r="342" spans="1:8" ht="15" customHeight="1" x14ac:dyDescent="0.2">
      <c r="A342" s="1">
        <v>46248</v>
      </c>
      <c r="B342">
        <v>0</v>
      </c>
      <c r="C342" s="2">
        <v>0.415601851851852</v>
      </c>
      <c r="D342" s="2">
        <v>0.5</v>
      </c>
      <c r="E342">
        <v>122</v>
      </c>
      <c r="F342" t="s">
        <v>65</v>
      </c>
      <c r="G342" t="s">
        <v>28</v>
      </c>
      <c r="H342" t="s">
        <v>28</v>
      </c>
    </row>
    <row r="343" spans="1:8" ht="15" customHeight="1" x14ac:dyDescent="0.2">
      <c r="A343" s="1">
        <v>46248</v>
      </c>
      <c r="B343">
        <v>0</v>
      </c>
      <c r="C343" s="2">
        <v>0.25828703703703698</v>
      </c>
      <c r="D343" s="2">
        <v>0.31583333333333302</v>
      </c>
      <c r="E343">
        <v>83</v>
      </c>
      <c r="F343" t="s">
        <v>63</v>
      </c>
      <c r="G343" t="s">
        <v>34</v>
      </c>
      <c r="H343" t="s">
        <v>30</v>
      </c>
    </row>
    <row r="344" spans="1:8" ht="15" customHeight="1" x14ac:dyDescent="0.2">
      <c r="A344" s="1">
        <v>46248</v>
      </c>
      <c r="B344">
        <v>0</v>
      </c>
      <c r="C344" s="2">
        <v>0.34284722222222203</v>
      </c>
      <c r="D344" s="2">
        <v>0.47846064814814798</v>
      </c>
      <c r="E344">
        <v>195</v>
      </c>
      <c r="F344" t="s">
        <v>66</v>
      </c>
      <c r="G344" t="s">
        <v>34</v>
      </c>
      <c r="H344" t="s">
        <v>30</v>
      </c>
    </row>
    <row r="345" spans="1:8" ht="15" customHeight="1" x14ac:dyDescent="0.2">
      <c r="A345" s="1">
        <v>46248</v>
      </c>
      <c r="B345">
        <v>0</v>
      </c>
      <c r="C345" s="2">
        <v>0.32005787037036998</v>
      </c>
      <c r="D345" s="2">
        <v>0.44791666666666702</v>
      </c>
      <c r="E345">
        <v>185</v>
      </c>
      <c r="F345" t="s">
        <v>65</v>
      </c>
      <c r="G345" t="s">
        <v>28</v>
      </c>
      <c r="H345" t="s">
        <v>28</v>
      </c>
    </row>
    <row r="346" spans="1:8" ht="15" customHeight="1" x14ac:dyDescent="0.2">
      <c r="A346" s="1">
        <v>46248</v>
      </c>
      <c r="B346">
        <v>0</v>
      </c>
      <c r="C346" s="2">
        <v>0.21829861111111101</v>
      </c>
      <c r="D346" s="2">
        <v>0.26109953703703698</v>
      </c>
      <c r="E346">
        <v>61</v>
      </c>
      <c r="F346" t="s">
        <v>63</v>
      </c>
      <c r="G346" t="s">
        <v>34</v>
      </c>
      <c r="H346" t="s">
        <v>44</v>
      </c>
    </row>
    <row r="347" spans="1:8" ht="15" customHeight="1" x14ac:dyDescent="0.2">
      <c r="A347" s="1">
        <v>46248</v>
      </c>
      <c r="B347">
        <v>0</v>
      </c>
      <c r="C347" s="2">
        <v>0.50436342592592598</v>
      </c>
      <c r="D347" s="2">
        <v>0.57854166666666695</v>
      </c>
      <c r="E347">
        <v>107</v>
      </c>
      <c r="F347" t="s">
        <v>65</v>
      </c>
      <c r="G347" t="s">
        <v>28</v>
      </c>
      <c r="H347" t="s">
        <v>33</v>
      </c>
    </row>
    <row r="348" spans="1:8" ht="15" customHeight="1" x14ac:dyDescent="0.2">
      <c r="A348" s="1">
        <v>46248</v>
      </c>
      <c r="B348">
        <v>0</v>
      </c>
      <c r="C348" s="2">
        <v>0.51842592592592596</v>
      </c>
      <c r="D348" s="2">
        <v>0.569618055555556</v>
      </c>
      <c r="E348">
        <v>74</v>
      </c>
      <c r="F348" t="s">
        <v>65</v>
      </c>
      <c r="G348" t="s">
        <v>38</v>
      </c>
      <c r="H348" t="s">
        <v>28</v>
      </c>
    </row>
    <row r="349" spans="1:8" ht="15" customHeight="1" x14ac:dyDescent="0.2">
      <c r="A349" s="1">
        <v>46248</v>
      </c>
      <c r="B349">
        <v>0</v>
      </c>
      <c r="C349" s="2">
        <v>0.43325231481481502</v>
      </c>
      <c r="D349" s="2">
        <v>0.48254629629629597</v>
      </c>
      <c r="E349">
        <v>71</v>
      </c>
      <c r="F349" t="s">
        <v>65</v>
      </c>
      <c r="G349" t="s">
        <v>28</v>
      </c>
      <c r="H349" t="s">
        <v>28</v>
      </c>
    </row>
    <row r="350" spans="1:8" ht="15" customHeight="1" x14ac:dyDescent="0.2">
      <c r="A350" s="1">
        <v>46248</v>
      </c>
      <c r="B350">
        <v>0</v>
      </c>
      <c r="C350" s="2">
        <v>0.23888888888888901</v>
      </c>
      <c r="F350" t="s">
        <v>63</v>
      </c>
      <c r="G350" t="s">
        <v>28</v>
      </c>
      <c r="H350" t="s">
        <v>28</v>
      </c>
    </row>
    <row r="351" spans="1:8" ht="15" customHeight="1" x14ac:dyDescent="0.2">
      <c r="A351" s="1">
        <v>46248</v>
      </c>
      <c r="B351">
        <v>0</v>
      </c>
      <c r="C351" s="2">
        <v>0.33849537037036997</v>
      </c>
      <c r="F351" t="s">
        <v>65</v>
      </c>
      <c r="G351" t="s">
        <v>28</v>
      </c>
      <c r="H351" t="s">
        <v>28</v>
      </c>
    </row>
    <row r="352" spans="1:8" ht="15" customHeight="1" x14ac:dyDescent="0.2">
      <c r="A352" s="1">
        <v>46248</v>
      </c>
      <c r="B352">
        <v>0</v>
      </c>
      <c r="C352" s="2">
        <v>0.435266203703704</v>
      </c>
      <c r="D352" s="2">
        <v>0.57184027777777802</v>
      </c>
      <c r="E352">
        <v>197</v>
      </c>
      <c r="F352" t="s">
        <v>65</v>
      </c>
      <c r="G352" t="s">
        <v>28</v>
      </c>
      <c r="H352" t="s">
        <v>28</v>
      </c>
    </row>
    <row r="353" spans="1:8" ht="15" customHeight="1" x14ac:dyDescent="0.2">
      <c r="A353" s="1">
        <v>46248</v>
      </c>
      <c r="B353">
        <v>0</v>
      </c>
      <c r="C353" s="2">
        <v>0.58315972222222201</v>
      </c>
      <c r="D353" s="2">
        <v>0.640393518518519</v>
      </c>
      <c r="E353">
        <v>83</v>
      </c>
      <c r="F353" t="s">
        <v>65</v>
      </c>
      <c r="G353" t="s">
        <v>38</v>
      </c>
      <c r="H353" t="s">
        <v>28</v>
      </c>
    </row>
    <row r="354" spans="1:8" ht="15" customHeight="1" x14ac:dyDescent="0.2">
      <c r="A354" s="1">
        <v>46248</v>
      </c>
      <c r="B354">
        <v>0</v>
      </c>
      <c r="C354" s="2">
        <v>0.57606481481481497</v>
      </c>
      <c r="D354" s="2">
        <v>0.62916666666666698</v>
      </c>
      <c r="E354">
        <v>77</v>
      </c>
      <c r="F354" t="s">
        <v>65</v>
      </c>
      <c r="G354" t="s">
        <v>28</v>
      </c>
      <c r="H354" t="s">
        <v>33</v>
      </c>
    </row>
    <row r="355" spans="1:8" ht="15" customHeight="1" x14ac:dyDescent="0.2">
      <c r="A355" s="1">
        <v>46248</v>
      </c>
      <c r="B355">
        <v>0</v>
      </c>
      <c r="C355" s="2">
        <v>0.25024305555555598</v>
      </c>
      <c r="D355" s="2">
        <v>0.29689814814814802</v>
      </c>
      <c r="E355">
        <v>67</v>
      </c>
      <c r="F355" t="s">
        <v>65</v>
      </c>
      <c r="G355" t="s">
        <v>28</v>
      </c>
      <c r="H355" t="s">
        <v>45</v>
      </c>
    </row>
    <row r="356" spans="1:8" ht="15" customHeight="1" x14ac:dyDescent="0.2">
      <c r="A356" s="1">
        <v>46248</v>
      </c>
      <c r="B356">
        <v>0</v>
      </c>
      <c r="C356" s="2">
        <v>0.28799768518518498</v>
      </c>
      <c r="F356" t="s">
        <v>63</v>
      </c>
      <c r="G356" t="s">
        <v>28</v>
      </c>
      <c r="H356" t="s">
        <v>28</v>
      </c>
    </row>
    <row r="357" spans="1:8" ht="15" customHeight="1" x14ac:dyDescent="0.2">
      <c r="A357" s="1">
        <v>46248</v>
      </c>
      <c r="B357">
        <v>0</v>
      </c>
      <c r="C357" s="2">
        <v>0.27950231481481502</v>
      </c>
      <c r="D357" s="2">
        <v>0.3125</v>
      </c>
      <c r="E357">
        <v>48</v>
      </c>
      <c r="F357" t="s">
        <v>63</v>
      </c>
      <c r="G357" t="s">
        <v>28</v>
      </c>
      <c r="H357" t="s">
        <v>28</v>
      </c>
    </row>
    <row r="358" spans="1:8" ht="15" customHeight="1" x14ac:dyDescent="0.2">
      <c r="A358" s="1">
        <v>46248</v>
      </c>
      <c r="B358">
        <v>0</v>
      </c>
      <c r="C358" s="2">
        <v>0.237395833333333</v>
      </c>
      <c r="D358" s="2">
        <v>0.31108796296296298</v>
      </c>
      <c r="E358">
        <v>106</v>
      </c>
      <c r="F358" t="s">
        <v>63</v>
      </c>
      <c r="G358" t="s">
        <v>28</v>
      </c>
      <c r="H358" t="s">
        <v>30</v>
      </c>
    </row>
    <row r="359" spans="1:8" ht="15" customHeight="1" x14ac:dyDescent="0.2">
      <c r="A359" s="1">
        <v>46248</v>
      </c>
      <c r="B359">
        <v>0</v>
      </c>
      <c r="C359" s="2">
        <v>0.633506944444444</v>
      </c>
      <c r="D359" s="2">
        <v>0.69195601851851896</v>
      </c>
      <c r="E359">
        <v>84</v>
      </c>
      <c r="F359" t="s">
        <v>63</v>
      </c>
      <c r="G359" t="s">
        <v>28</v>
      </c>
      <c r="H359" t="s">
        <v>30</v>
      </c>
    </row>
    <row r="360" spans="1:8" ht="15" customHeight="1" x14ac:dyDescent="0.2">
      <c r="A360" s="1">
        <v>46248</v>
      </c>
      <c r="B360">
        <v>0</v>
      </c>
      <c r="C360" s="2">
        <v>0.40574074074074101</v>
      </c>
      <c r="D360" s="2">
        <v>0.45623842592592601</v>
      </c>
      <c r="E360">
        <v>72</v>
      </c>
      <c r="F360" t="s">
        <v>63</v>
      </c>
      <c r="G360" t="s">
        <v>34</v>
      </c>
      <c r="H360" t="s">
        <v>30</v>
      </c>
    </row>
    <row r="361" spans="1:8" ht="15" customHeight="1" x14ac:dyDescent="0.2">
      <c r="A361" s="1">
        <v>46248</v>
      </c>
      <c r="B361">
        <v>0</v>
      </c>
      <c r="C361" s="2">
        <v>0.40834490740740698</v>
      </c>
      <c r="D361" s="2">
        <v>0.47916666666666702</v>
      </c>
      <c r="E361">
        <v>102</v>
      </c>
      <c r="F361" t="s">
        <v>63</v>
      </c>
      <c r="G361" t="s">
        <v>28</v>
      </c>
      <c r="H361" t="s">
        <v>41</v>
      </c>
    </row>
    <row r="362" spans="1:8" ht="15" customHeight="1" x14ac:dyDescent="0.2">
      <c r="A362" s="1">
        <v>46248</v>
      </c>
      <c r="B362">
        <v>0</v>
      </c>
      <c r="C362" s="2">
        <v>0.34476851851851897</v>
      </c>
      <c r="D362" s="2">
        <v>0.405208333333333</v>
      </c>
      <c r="E362">
        <v>87</v>
      </c>
      <c r="F362" t="s">
        <v>65</v>
      </c>
      <c r="G362" t="s">
        <v>28</v>
      </c>
      <c r="H362" t="s">
        <v>28</v>
      </c>
    </row>
    <row r="363" spans="1:8" ht="15" customHeight="1" x14ac:dyDescent="0.2">
      <c r="A363" s="1">
        <v>46248</v>
      </c>
      <c r="B363">
        <v>1</v>
      </c>
      <c r="C363" s="2">
        <v>0.55567129629629597</v>
      </c>
      <c r="D363" s="2">
        <v>0.59179398148148099</v>
      </c>
      <c r="E363">
        <v>52</v>
      </c>
      <c r="F363" t="s">
        <v>63</v>
      </c>
      <c r="G363" t="s">
        <v>28</v>
      </c>
      <c r="H363" t="s">
        <v>28</v>
      </c>
    </row>
    <row r="364" spans="1:8" ht="15" customHeight="1" x14ac:dyDescent="0.2">
      <c r="A364" s="1">
        <v>46248</v>
      </c>
      <c r="B364">
        <v>1</v>
      </c>
      <c r="C364" s="2">
        <v>0.42281249999999998</v>
      </c>
      <c r="D364" s="2">
        <v>0.44712962962962999</v>
      </c>
      <c r="E364">
        <v>35</v>
      </c>
      <c r="F364" t="s">
        <v>63</v>
      </c>
      <c r="G364" t="s">
        <v>28</v>
      </c>
      <c r="H364" t="s">
        <v>28</v>
      </c>
    </row>
    <row r="365" spans="1:8" ht="15" customHeight="1" x14ac:dyDescent="0.2">
      <c r="A365" s="1">
        <v>46248</v>
      </c>
      <c r="B365">
        <v>1</v>
      </c>
      <c r="C365" s="2">
        <v>0.61431712962963003</v>
      </c>
      <c r="D365" s="2">
        <v>0.62959490740740698</v>
      </c>
      <c r="E365">
        <v>22</v>
      </c>
      <c r="F365" t="s">
        <v>63</v>
      </c>
      <c r="G365" t="s">
        <v>28</v>
      </c>
      <c r="H365" t="s">
        <v>28</v>
      </c>
    </row>
    <row r="366" spans="1:8" ht="15" customHeight="1" x14ac:dyDescent="0.2">
      <c r="A366" s="1">
        <v>46248</v>
      </c>
      <c r="B366">
        <v>0</v>
      </c>
      <c r="C366" s="2">
        <v>0.25689814814814799</v>
      </c>
      <c r="D366" s="2">
        <v>0.30806712962963001</v>
      </c>
      <c r="E366">
        <v>74</v>
      </c>
      <c r="F366" t="s">
        <v>65</v>
      </c>
      <c r="G366" t="s">
        <v>38</v>
      </c>
      <c r="H366" t="s">
        <v>39</v>
      </c>
    </row>
    <row r="367" spans="1:8" ht="15" customHeight="1" x14ac:dyDescent="0.2">
      <c r="A367" s="1">
        <v>46248</v>
      </c>
      <c r="B367">
        <v>0</v>
      </c>
      <c r="C367" s="2">
        <v>0.29445601851851799</v>
      </c>
      <c r="D367" s="2">
        <v>0.35390046296296301</v>
      </c>
      <c r="E367">
        <v>85</v>
      </c>
      <c r="F367" t="s">
        <v>65</v>
      </c>
      <c r="G367" t="s">
        <v>28</v>
      </c>
      <c r="H367" t="s">
        <v>45</v>
      </c>
    </row>
    <row r="368" spans="1:8" ht="15" customHeight="1" x14ac:dyDescent="0.2">
      <c r="A368" s="1">
        <v>46248</v>
      </c>
      <c r="B368">
        <v>0</v>
      </c>
      <c r="C368" s="2">
        <v>0.25510416666666702</v>
      </c>
      <c r="D368" s="2">
        <v>0.31562499999999999</v>
      </c>
      <c r="E368">
        <v>87</v>
      </c>
      <c r="F368" t="s">
        <v>66</v>
      </c>
      <c r="G368" t="s">
        <v>28</v>
      </c>
      <c r="H368" t="s">
        <v>33</v>
      </c>
    </row>
    <row r="369" spans="1:8" ht="15" customHeight="1" x14ac:dyDescent="0.2">
      <c r="A369" s="1">
        <v>46248</v>
      </c>
      <c r="B369">
        <v>0</v>
      </c>
      <c r="C369" s="2">
        <v>0.25715277777777801</v>
      </c>
      <c r="D369" s="2">
        <v>0.30555555555555602</v>
      </c>
      <c r="E369">
        <v>70</v>
      </c>
      <c r="F369" t="s">
        <v>65</v>
      </c>
      <c r="G369" t="s">
        <v>28</v>
      </c>
      <c r="H369" t="s">
        <v>28</v>
      </c>
    </row>
    <row r="370" spans="1:8" ht="15" customHeight="1" x14ac:dyDescent="0.2">
      <c r="A370" s="1">
        <v>46249</v>
      </c>
      <c r="B370">
        <v>0</v>
      </c>
      <c r="C370" s="2">
        <v>0.28145833333333298</v>
      </c>
      <c r="D370" s="2">
        <v>0.304189814814815</v>
      </c>
      <c r="E370">
        <v>33</v>
      </c>
      <c r="F370" t="s">
        <v>63</v>
      </c>
      <c r="G370" t="s">
        <v>28</v>
      </c>
      <c r="H370" t="s">
        <v>32</v>
      </c>
    </row>
    <row r="371" spans="1:8" ht="15" customHeight="1" x14ac:dyDescent="0.2">
      <c r="A371" s="1">
        <v>46249</v>
      </c>
      <c r="B371">
        <v>0</v>
      </c>
      <c r="C371" s="2">
        <v>0.27406249999999999</v>
      </c>
      <c r="D371" s="2">
        <v>0.31172453703703701</v>
      </c>
      <c r="E371">
        <v>54</v>
      </c>
      <c r="F371" t="s">
        <v>63</v>
      </c>
      <c r="G371" t="s">
        <v>28</v>
      </c>
      <c r="H371" t="s">
        <v>30</v>
      </c>
    </row>
    <row r="372" spans="1:8" ht="15" customHeight="1" x14ac:dyDescent="0.2">
      <c r="A372" s="1">
        <v>46249</v>
      </c>
      <c r="B372">
        <v>0</v>
      </c>
      <c r="C372" s="2">
        <v>0.40125</v>
      </c>
      <c r="D372" s="2">
        <v>0.41381944444444402</v>
      </c>
      <c r="E372">
        <v>18</v>
      </c>
      <c r="F372" t="s">
        <v>63</v>
      </c>
      <c r="G372" t="s">
        <v>28</v>
      </c>
      <c r="H372" t="s">
        <v>30</v>
      </c>
    </row>
    <row r="373" spans="1:8" ht="15" customHeight="1" x14ac:dyDescent="0.2">
      <c r="A373" s="1">
        <v>46249</v>
      </c>
      <c r="B373">
        <v>1</v>
      </c>
      <c r="C373" s="2">
        <v>0.49429398148148102</v>
      </c>
      <c r="D373" s="2">
        <v>0.52613425925925905</v>
      </c>
      <c r="E373">
        <v>46</v>
      </c>
      <c r="F373" t="s">
        <v>63</v>
      </c>
      <c r="G373" t="s">
        <v>28</v>
      </c>
      <c r="H373" t="s">
        <v>30</v>
      </c>
    </row>
    <row r="374" spans="1:8" ht="15" customHeight="1" x14ac:dyDescent="0.2">
      <c r="A374" s="1">
        <v>46250</v>
      </c>
      <c r="B374">
        <v>0</v>
      </c>
      <c r="C374" s="2">
        <v>0.26795138888888897</v>
      </c>
      <c r="D374" s="2">
        <v>0.30733796296296301</v>
      </c>
      <c r="E374">
        <v>57</v>
      </c>
      <c r="F374" t="s">
        <v>63</v>
      </c>
      <c r="G374" t="s">
        <v>34</v>
      </c>
      <c r="H374" t="s">
        <v>30</v>
      </c>
    </row>
    <row r="375" spans="1:8" ht="15" customHeight="1" x14ac:dyDescent="0.2">
      <c r="A375" s="1">
        <v>46250</v>
      </c>
      <c r="B375">
        <v>0</v>
      </c>
      <c r="C375" s="2">
        <v>0.27432870370370399</v>
      </c>
      <c r="D375" s="2">
        <v>0.30592592592592599</v>
      </c>
      <c r="E375">
        <v>45</v>
      </c>
      <c r="F375" t="s">
        <v>63</v>
      </c>
      <c r="G375" t="s">
        <v>28</v>
      </c>
      <c r="H375" t="s">
        <v>32</v>
      </c>
    </row>
    <row r="376" spans="1:8" ht="15" customHeight="1" x14ac:dyDescent="0.2">
      <c r="A376" s="1">
        <v>46250</v>
      </c>
      <c r="B376">
        <v>0</v>
      </c>
      <c r="C376" s="2">
        <v>0.57846064814814802</v>
      </c>
      <c r="D376" s="2">
        <v>0.64567129629629605</v>
      </c>
      <c r="E376">
        <v>97</v>
      </c>
      <c r="F376" t="s">
        <v>63</v>
      </c>
      <c r="G376" t="s">
        <v>28</v>
      </c>
      <c r="H376" t="s">
        <v>30</v>
      </c>
    </row>
    <row r="377" spans="1:8" ht="15" customHeight="1" x14ac:dyDescent="0.2">
      <c r="A377" s="1">
        <v>46250</v>
      </c>
      <c r="B377">
        <v>0</v>
      </c>
      <c r="C377" s="2">
        <v>0.52980324074074103</v>
      </c>
      <c r="D377" s="2">
        <v>0.54231481481481503</v>
      </c>
      <c r="E377">
        <v>18</v>
      </c>
      <c r="F377" t="s">
        <v>63</v>
      </c>
      <c r="G377" t="s">
        <v>28</v>
      </c>
      <c r="H377" t="s">
        <v>30</v>
      </c>
    </row>
    <row r="378" spans="1:8" ht="15" customHeight="1" x14ac:dyDescent="0.2">
      <c r="A378" s="1">
        <v>46250</v>
      </c>
      <c r="B378">
        <v>1</v>
      </c>
      <c r="C378" s="2">
        <v>0.43398148148148102</v>
      </c>
      <c r="D378" s="2">
        <v>0.43454861111111098</v>
      </c>
      <c r="E378">
        <v>1</v>
      </c>
      <c r="F378" t="s">
        <v>63</v>
      </c>
      <c r="G378" t="s">
        <v>28</v>
      </c>
      <c r="H378" t="s">
        <v>30</v>
      </c>
    </row>
    <row r="379" spans="1:8" ht="15" customHeight="1" x14ac:dyDescent="0.2">
      <c r="A379" s="1">
        <v>46250</v>
      </c>
      <c r="B379">
        <v>1</v>
      </c>
      <c r="C379" s="2">
        <v>0.44114583333333302</v>
      </c>
      <c r="D379" s="2">
        <v>0.45584490740740702</v>
      </c>
      <c r="E379">
        <v>21</v>
      </c>
      <c r="F379" t="s">
        <v>63</v>
      </c>
      <c r="G379" t="s">
        <v>28</v>
      </c>
      <c r="H379" t="s">
        <v>30</v>
      </c>
    </row>
    <row r="380" spans="1:8" ht="15" customHeight="1" x14ac:dyDescent="0.2">
      <c r="A380" s="1">
        <v>46250</v>
      </c>
      <c r="B380">
        <v>1</v>
      </c>
      <c r="C380" s="2">
        <v>0.39952546296296299</v>
      </c>
      <c r="D380" s="2">
        <v>0.42184027777777799</v>
      </c>
      <c r="E380">
        <v>32</v>
      </c>
      <c r="F380" t="s">
        <v>63</v>
      </c>
      <c r="G380" t="s">
        <v>28</v>
      </c>
      <c r="H380" t="s">
        <v>33</v>
      </c>
    </row>
    <row r="381" spans="1:8" ht="15" customHeight="1" x14ac:dyDescent="0.2">
      <c r="A381" s="1">
        <v>46250</v>
      </c>
      <c r="B381">
        <v>1</v>
      </c>
      <c r="C381" s="2">
        <v>0.537372685185185</v>
      </c>
      <c r="D381" s="2">
        <v>0.61250000000000004</v>
      </c>
      <c r="E381">
        <v>109</v>
      </c>
      <c r="F381" t="s">
        <v>66</v>
      </c>
      <c r="G381" t="s">
        <v>28</v>
      </c>
      <c r="H381" t="s">
        <v>30</v>
      </c>
    </row>
    <row r="382" spans="1:8" ht="15" customHeight="1" x14ac:dyDescent="0.2">
      <c r="A382" s="1">
        <v>46250</v>
      </c>
      <c r="B382">
        <v>1</v>
      </c>
      <c r="C382" s="2">
        <v>0.62491898148148195</v>
      </c>
      <c r="D382" s="2">
        <v>0.65972222222222199</v>
      </c>
      <c r="E382">
        <v>51</v>
      </c>
      <c r="F382" t="s">
        <v>63</v>
      </c>
      <c r="G382" t="s">
        <v>34</v>
      </c>
      <c r="H382" t="s">
        <v>30</v>
      </c>
    </row>
    <row r="383" spans="1:8" ht="15" customHeight="1" x14ac:dyDescent="0.2">
      <c r="A383" s="1">
        <v>46251</v>
      </c>
      <c r="B383">
        <v>0</v>
      </c>
      <c r="C383" s="2">
        <v>0.244479166666667</v>
      </c>
      <c r="D383" s="2">
        <v>0.32583333333333298</v>
      </c>
      <c r="E383">
        <v>117</v>
      </c>
      <c r="F383" t="s">
        <v>65</v>
      </c>
      <c r="G383" t="s">
        <v>28</v>
      </c>
      <c r="H383" t="s">
        <v>39</v>
      </c>
    </row>
    <row r="384" spans="1:8" ht="15" customHeight="1" x14ac:dyDescent="0.2">
      <c r="A384" s="1">
        <v>46251</v>
      </c>
      <c r="B384">
        <v>0</v>
      </c>
      <c r="C384" s="2">
        <v>0.25924768518518498</v>
      </c>
      <c r="D384" s="2">
        <v>0.328506944444444</v>
      </c>
      <c r="E384">
        <v>100</v>
      </c>
      <c r="F384" t="s">
        <v>65</v>
      </c>
      <c r="G384" t="s">
        <v>28</v>
      </c>
      <c r="H384" t="s">
        <v>41</v>
      </c>
    </row>
    <row r="385" spans="1:8" ht="15" customHeight="1" x14ac:dyDescent="0.2">
      <c r="A385" s="1">
        <v>46251</v>
      </c>
      <c r="B385">
        <v>0</v>
      </c>
      <c r="C385" s="2">
        <v>0.36644675925925901</v>
      </c>
      <c r="D385" s="2">
        <v>0.45138888888888901</v>
      </c>
      <c r="E385">
        <v>123</v>
      </c>
      <c r="F385" t="s">
        <v>65</v>
      </c>
      <c r="G385" t="s">
        <v>28</v>
      </c>
      <c r="H385" t="s">
        <v>41</v>
      </c>
    </row>
    <row r="386" spans="1:8" ht="15" customHeight="1" x14ac:dyDescent="0.2">
      <c r="A386" s="1">
        <v>46251</v>
      </c>
      <c r="B386">
        <v>0</v>
      </c>
      <c r="C386" s="2">
        <v>0.350601851851852</v>
      </c>
      <c r="D386" s="2">
        <v>0.399050925925926</v>
      </c>
      <c r="E386">
        <v>70</v>
      </c>
      <c r="F386" t="s">
        <v>65</v>
      </c>
      <c r="G386" t="s">
        <v>38</v>
      </c>
      <c r="H386" t="s">
        <v>39</v>
      </c>
    </row>
    <row r="387" spans="1:8" ht="15" customHeight="1" x14ac:dyDescent="0.2">
      <c r="A387" s="1">
        <v>46251</v>
      </c>
      <c r="B387">
        <v>0</v>
      </c>
      <c r="C387" s="2">
        <v>0.44579861111111102</v>
      </c>
      <c r="D387" s="2">
        <v>0.470902777777778</v>
      </c>
      <c r="E387">
        <v>37</v>
      </c>
      <c r="F387" t="s">
        <v>65</v>
      </c>
      <c r="G387" t="s">
        <v>28</v>
      </c>
      <c r="H387" t="s">
        <v>39</v>
      </c>
    </row>
    <row r="388" spans="1:8" ht="15" customHeight="1" x14ac:dyDescent="0.2">
      <c r="A388" s="1">
        <v>46251</v>
      </c>
      <c r="B388">
        <v>0</v>
      </c>
      <c r="C388" s="2">
        <v>0.26819444444444401</v>
      </c>
      <c r="D388" s="2">
        <v>0.329166666666667</v>
      </c>
      <c r="E388">
        <v>88</v>
      </c>
      <c r="F388" t="s">
        <v>63</v>
      </c>
      <c r="G388" t="s">
        <v>28</v>
      </c>
      <c r="H388" t="s">
        <v>33</v>
      </c>
    </row>
    <row r="389" spans="1:8" ht="15" customHeight="1" x14ac:dyDescent="0.2">
      <c r="A389" s="1">
        <v>46251</v>
      </c>
      <c r="B389">
        <v>0</v>
      </c>
      <c r="C389" s="2">
        <v>0.51709490740740705</v>
      </c>
      <c r="D389" s="2">
        <v>0.58680555555555602</v>
      </c>
      <c r="E389">
        <v>101</v>
      </c>
      <c r="F389" t="s">
        <v>66</v>
      </c>
      <c r="G389" t="s">
        <v>28</v>
      </c>
      <c r="H389" t="s">
        <v>30</v>
      </c>
    </row>
    <row r="390" spans="1:8" ht="15" customHeight="1" x14ac:dyDescent="0.2">
      <c r="A390" s="1">
        <v>46251</v>
      </c>
      <c r="B390">
        <v>0</v>
      </c>
      <c r="C390" s="2">
        <v>0.35555555555555601</v>
      </c>
      <c r="D390" s="2">
        <v>0.38194444444444398</v>
      </c>
      <c r="E390">
        <v>38</v>
      </c>
      <c r="F390" t="s">
        <v>68</v>
      </c>
      <c r="G390" t="s">
        <v>34</v>
      </c>
      <c r="H390" t="s">
        <v>30</v>
      </c>
    </row>
    <row r="391" spans="1:8" ht="15" customHeight="1" x14ac:dyDescent="0.2">
      <c r="A391" s="1">
        <v>46251</v>
      </c>
      <c r="B391">
        <v>0</v>
      </c>
      <c r="C391" s="2">
        <v>0.46092592592592602</v>
      </c>
      <c r="D391" s="2">
        <v>0.50646990740740705</v>
      </c>
      <c r="E391">
        <v>66</v>
      </c>
      <c r="F391" t="s">
        <v>63</v>
      </c>
      <c r="G391" t="s">
        <v>28</v>
      </c>
      <c r="H391" t="s">
        <v>30</v>
      </c>
    </row>
    <row r="392" spans="1:8" ht="15" customHeight="1" x14ac:dyDescent="0.2">
      <c r="A392" s="1">
        <v>46251</v>
      </c>
      <c r="B392">
        <v>0</v>
      </c>
      <c r="C392" s="2">
        <v>0.22243055555555599</v>
      </c>
      <c r="D392" s="2">
        <v>0.25928240740740699</v>
      </c>
      <c r="E392">
        <v>53</v>
      </c>
      <c r="F392" t="s">
        <v>63</v>
      </c>
      <c r="G392" t="s">
        <v>34</v>
      </c>
      <c r="H392" t="s">
        <v>44</v>
      </c>
    </row>
    <row r="393" spans="1:8" ht="15" customHeight="1" x14ac:dyDescent="0.2">
      <c r="A393" s="1">
        <v>46251</v>
      </c>
      <c r="B393">
        <v>0</v>
      </c>
      <c r="C393" s="2">
        <v>0.37016203703703698</v>
      </c>
      <c r="D393" s="2">
        <v>0.46633101851851799</v>
      </c>
      <c r="E393">
        <v>138</v>
      </c>
      <c r="F393" t="s">
        <v>65</v>
      </c>
      <c r="G393" t="s">
        <v>28</v>
      </c>
      <c r="H393" t="s">
        <v>33</v>
      </c>
    </row>
    <row r="394" spans="1:8" ht="15" customHeight="1" x14ac:dyDescent="0.2">
      <c r="A394" s="1">
        <v>46251</v>
      </c>
      <c r="B394">
        <v>0</v>
      </c>
      <c r="C394" s="2">
        <v>0.27642361111111102</v>
      </c>
      <c r="D394" s="2">
        <v>0.322928240740741</v>
      </c>
      <c r="E394">
        <v>67</v>
      </c>
      <c r="F394" t="s">
        <v>63</v>
      </c>
      <c r="G394" t="s">
        <v>28</v>
      </c>
      <c r="H394" t="s">
        <v>30</v>
      </c>
    </row>
    <row r="395" spans="1:8" ht="15" customHeight="1" x14ac:dyDescent="0.2">
      <c r="A395" s="1">
        <v>46251</v>
      </c>
      <c r="B395">
        <v>0</v>
      </c>
      <c r="C395" s="2">
        <v>0.448854166666667</v>
      </c>
      <c r="D395" s="2">
        <v>0.52708333333333302</v>
      </c>
      <c r="E395">
        <v>113</v>
      </c>
      <c r="F395" t="s">
        <v>63</v>
      </c>
      <c r="G395" t="s">
        <v>28</v>
      </c>
      <c r="H395" t="s">
        <v>33</v>
      </c>
    </row>
    <row r="396" spans="1:8" ht="15" customHeight="1" x14ac:dyDescent="0.2">
      <c r="A396" s="1">
        <v>46251</v>
      </c>
      <c r="B396">
        <v>0</v>
      </c>
      <c r="C396" s="2">
        <v>0.245324074074074</v>
      </c>
      <c r="D396" s="2">
        <v>0.33563657407407399</v>
      </c>
      <c r="E396">
        <v>130</v>
      </c>
      <c r="F396" t="s">
        <v>63</v>
      </c>
      <c r="G396" t="s">
        <v>28</v>
      </c>
      <c r="H396" t="s">
        <v>28</v>
      </c>
    </row>
    <row r="397" spans="1:8" ht="15" customHeight="1" x14ac:dyDescent="0.2">
      <c r="A397" s="1">
        <v>46251</v>
      </c>
      <c r="B397">
        <v>0</v>
      </c>
      <c r="C397" s="2">
        <v>0.498310185185185</v>
      </c>
      <c r="D397" s="2">
        <v>0.51944444444444404</v>
      </c>
      <c r="E397">
        <v>31</v>
      </c>
      <c r="F397" t="s">
        <v>63</v>
      </c>
      <c r="G397" t="s">
        <v>28</v>
      </c>
      <c r="H397" t="s">
        <v>28</v>
      </c>
    </row>
    <row r="398" spans="1:8" ht="15" customHeight="1" x14ac:dyDescent="0.2">
      <c r="A398" s="1">
        <v>46251</v>
      </c>
      <c r="B398">
        <v>0</v>
      </c>
      <c r="C398" s="2">
        <v>0.25820601851851899</v>
      </c>
      <c r="D398" s="2">
        <v>0.32695601851851902</v>
      </c>
      <c r="E398">
        <v>99</v>
      </c>
      <c r="F398" t="s">
        <v>65</v>
      </c>
      <c r="G398" t="s">
        <v>28</v>
      </c>
      <c r="H398" t="s">
        <v>45</v>
      </c>
    </row>
    <row r="399" spans="1:8" ht="15" customHeight="1" x14ac:dyDescent="0.2">
      <c r="A399" s="1">
        <v>46251</v>
      </c>
      <c r="B399">
        <v>0</v>
      </c>
      <c r="C399" s="2">
        <v>0.37034722222222199</v>
      </c>
      <c r="D399" s="2">
        <v>0.421990740740741</v>
      </c>
      <c r="E399">
        <v>74</v>
      </c>
      <c r="F399" t="s">
        <v>67</v>
      </c>
      <c r="G399" t="s">
        <v>28</v>
      </c>
      <c r="H399" t="s">
        <v>28</v>
      </c>
    </row>
    <row r="400" spans="1:8" ht="15" customHeight="1" x14ac:dyDescent="0.2">
      <c r="A400" s="1">
        <v>46251</v>
      </c>
      <c r="B400">
        <v>0</v>
      </c>
      <c r="C400" s="2">
        <v>0.369074074074074</v>
      </c>
      <c r="D400" s="2">
        <v>0.45790509259259299</v>
      </c>
      <c r="E400">
        <v>128</v>
      </c>
      <c r="F400" t="s">
        <v>65</v>
      </c>
      <c r="G400" t="s">
        <v>28</v>
      </c>
      <c r="H400" t="s">
        <v>30</v>
      </c>
    </row>
    <row r="401" spans="1:8" ht="15" customHeight="1" x14ac:dyDescent="0.2">
      <c r="A401" s="1">
        <v>46251</v>
      </c>
      <c r="B401">
        <v>0</v>
      </c>
      <c r="C401" s="2">
        <v>0.63983796296296302</v>
      </c>
      <c r="D401" s="2">
        <v>0.67364583333333306</v>
      </c>
      <c r="E401">
        <v>49</v>
      </c>
      <c r="F401" t="s">
        <v>63</v>
      </c>
      <c r="G401" t="s">
        <v>34</v>
      </c>
      <c r="H401" t="s">
        <v>30</v>
      </c>
    </row>
    <row r="402" spans="1:8" ht="15" customHeight="1" x14ac:dyDescent="0.2">
      <c r="A402" s="1">
        <v>46251</v>
      </c>
      <c r="B402">
        <v>0</v>
      </c>
      <c r="C402" s="2">
        <v>0.48743055555555598</v>
      </c>
      <c r="D402" s="2">
        <v>0.55324074074074103</v>
      </c>
      <c r="E402">
        <v>95</v>
      </c>
      <c r="F402" t="s">
        <v>65</v>
      </c>
      <c r="G402" t="s">
        <v>28</v>
      </c>
      <c r="H402" t="s">
        <v>45</v>
      </c>
    </row>
    <row r="403" spans="1:8" ht="15" customHeight="1" x14ac:dyDescent="0.2">
      <c r="A403" s="1">
        <v>46251</v>
      </c>
      <c r="B403">
        <v>0</v>
      </c>
      <c r="C403" s="2">
        <v>0.50864583333333302</v>
      </c>
      <c r="F403" t="s">
        <v>63</v>
      </c>
      <c r="G403" t="s">
        <v>28</v>
      </c>
      <c r="H403" t="s">
        <v>41</v>
      </c>
    </row>
    <row r="404" spans="1:8" ht="15" customHeight="1" x14ac:dyDescent="0.2">
      <c r="A404" s="1">
        <v>46251</v>
      </c>
      <c r="B404">
        <v>0</v>
      </c>
      <c r="C404" s="2">
        <v>0.30194444444444402</v>
      </c>
      <c r="D404" s="2">
        <v>0.328472222222222</v>
      </c>
      <c r="E404">
        <v>39</v>
      </c>
      <c r="F404" t="s">
        <v>63</v>
      </c>
      <c r="G404" t="s">
        <v>28</v>
      </c>
      <c r="H404" t="s">
        <v>30</v>
      </c>
    </row>
    <row r="405" spans="1:8" ht="15" customHeight="1" x14ac:dyDescent="0.2">
      <c r="A405" s="1">
        <v>46251</v>
      </c>
      <c r="B405">
        <v>0</v>
      </c>
      <c r="C405" s="2">
        <v>0.40660879629629598</v>
      </c>
      <c r="D405" s="2">
        <v>0.43233796296296301</v>
      </c>
      <c r="E405">
        <v>37</v>
      </c>
      <c r="F405" t="s">
        <v>66</v>
      </c>
      <c r="G405" t="s">
        <v>28</v>
      </c>
      <c r="H405" t="s">
        <v>28</v>
      </c>
    </row>
    <row r="406" spans="1:8" ht="15" customHeight="1" x14ac:dyDescent="0.2">
      <c r="A406" s="1">
        <v>46251</v>
      </c>
      <c r="B406">
        <v>1</v>
      </c>
      <c r="C406" s="2">
        <v>0.55946759259259304</v>
      </c>
      <c r="D406" s="2">
        <v>0.60184027777777804</v>
      </c>
      <c r="E406">
        <v>61</v>
      </c>
      <c r="F406" t="s">
        <v>63</v>
      </c>
      <c r="G406" t="s">
        <v>38</v>
      </c>
      <c r="H406" t="s">
        <v>33</v>
      </c>
    </row>
    <row r="407" spans="1:8" ht="15" customHeight="1" x14ac:dyDescent="0.2">
      <c r="A407" s="1">
        <v>46251</v>
      </c>
      <c r="B407">
        <v>1</v>
      </c>
      <c r="C407" s="2">
        <v>0.59083333333333299</v>
      </c>
      <c r="D407" s="2">
        <v>0.622650462962963</v>
      </c>
      <c r="E407">
        <v>46</v>
      </c>
      <c r="F407" t="s">
        <v>63</v>
      </c>
      <c r="G407" t="s">
        <v>34</v>
      </c>
      <c r="H407" t="s">
        <v>30</v>
      </c>
    </row>
    <row r="408" spans="1:8" ht="15" customHeight="1" x14ac:dyDescent="0.2">
      <c r="A408" s="1">
        <v>46251</v>
      </c>
      <c r="B408">
        <v>1</v>
      </c>
      <c r="C408" s="2">
        <v>0.36743055555555598</v>
      </c>
      <c r="D408" s="2">
        <v>0.41142361111111098</v>
      </c>
      <c r="E408">
        <v>63</v>
      </c>
      <c r="F408" t="s">
        <v>63</v>
      </c>
      <c r="G408" t="s">
        <v>28</v>
      </c>
      <c r="H408" t="s">
        <v>30</v>
      </c>
    </row>
    <row r="409" spans="1:8" ht="15" customHeight="1" x14ac:dyDescent="0.2">
      <c r="A409" s="1">
        <v>46251</v>
      </c>
      <c r="B409">
        <v>1</v>
      </c>
      <c r="C409" s="2">
        <v>0.49743055555555599</v>
      </c>
      <c r="D409" s="2">
        <v>0.55758101851851805</v>
      </c>
      <c r="E409">
        <v>86</v>
      </c>
      <c r="F409" t="s">
        <v>63</v>
      </c>
      <c r="G409" t="s">
        <v>34</v>
      </c>
      <c r="H409" t="s">
        <v>28</v>
      </c>
    </row>
    <row r="410" spans="1:8" ht="15" customHeight="1" x14ac:dyDescent="0.2">
      <c r="A410" s="1">
        <v>46251</v>
      </c>
      <c r="B410">
        <v>1</v>
      </c>
      <c r="C410" s="2">
        <v>0.71875</v>
      </c>
      <c r="D410" s="2">
        <v>0.73611111111111105</v>
      </c>
      <c r="E410">
        <v>25</v>
      </c>
      <c r="F410" t="s">
        <v>63</v>
      </c>
      <c r="G410" t="s">
        <v>34</v>
      </c>
      <c r="H410" t="s">
        <v>28</v>
      </c>
    </row>
    <row r="411" spans="1:8" ht="15" customHeight="1" x14ac:dyDescent="0.2">
      <c r="A411" s="1">
        <v>46251</v>
      </c>
      <c r="B411">
        <v>0</v>
      </c>
      <c r="C411" s="2">
        <v>0.40539351851851901</v>
      </c>
      <c r="D411" s="2">
        <v>0.46129629629629598</v>
      </c>
      <c r="E411">
        <v>81</v>
      </c>
      <c r="F411" t="s">
        <v>66</v>
      </c>
      <c r="G411" t="s">
        <v>28</v>
      </c>
      <c r="H411" t="s">
        <v>37</v>
      </c>
    </row>
    <row r="412" spans="1:8" ht="15" customHeight="1" x14ac:dyDescent="0.2">
      <c r="A412" s="1">
        <v>46251</v>
      </c>
      <c r="B412">
        <v>0</v>
      </c>
      <c r="C412" s="2">
        <v>0.34166666666666701</v>
      </c>
      <c r="D412" s="2">
        <v>0.37024305555555598</v>
      </c>
      <c r="E412">
        <v>41</v>
      </c>
      <c r="F412" t="s">
        <v>65</v>
      </c>
      <c r="G412" t="s">
        <v>28</v>
      </c>
      <c r="H412" t="s">
        <v>45</v>
      </c>
    </row>
    <row r="413" spans="1:8" ht="15" customHeight="1" x14ac:dyDescent="0.2">
      <c r="A413" s="1">
        <v>46251</v>
      </c>
      <c r="B413">
        <v>0</v>
      </c>
      <c r="C413" s="2">
        <v>0.27572916666666702</v>
      </c>
      <c r="D413" s="2">
        <v>0.33340277777777799</v>
      </c>
      <c r="E413">
        <v>83</v>
      </c>
      <c r="F413" t="s">
        <v>63</v>
      </c>
      <c r="G413" t="s">
        <v>28</v>
      </c>
      <c r="H413" t="s">
        <v>30</v>
      </c>
    </row>
    <row r="414" spans="1:8" ht="15" customHeight="1" x14ac:dyDescent="0.2">
      <c r="A414" s="1">
        <v>46251</v>
      </c>
      <c r="B414">
        <v>0</v>
      </c>
      <c r="C414" s="2">
        <v>0.28125</v>
      </c>
      <c r="D414" s="2">
        <v>0.323888888888889</v>
      </c>
      <c r="E414">
        <v>61</v>
      </c>
      <c r="F414" t="s">
        <v>65</v>
      </c>
      <c r="G414" t="s">
        <v>28</v>
      </c>
      <c r="H414" t="s">
        <v>37</v>
      </c>
    </row>
    <row r="415" spans="1:8" ht="15" customHeight="1" x14ac:dyDescent="0.2">
      <c r="A415" s="1">
        <v>46252</v>
      </c>
      <c r="B415">
        <v>0</v>
      </c>
      <c r="C415" s="2">
        <v>0.24408564814814801</v>
      </c>
      <c r="D415" s="2">
        <v>0.31944444444444398</v>
      </c>
      <c r="E415">
        <v>109</v>
      </c>
      <c r="F415" t="s">
        <v>65</v>
      </c>
      <c r="G415" t="s">
        <v>28</v>
      </c>
      <c r="H415" t="s">
        <v>45</v>
      </c>
    </row>
    <row r="416" spans="1:8" ht="15" customHeight="1" x14ac:dyDescent="0.2">
      <c r="A416" s="1">
        <v>46252</v>
      </c>
      <c r="B416">
        <v>0</v>
      </c>
      <c r="C416" s="2">
        <v>0.39447916666666699</v>
      </c>
      <c r="D416" s="2">
        <v>0.52916666666666701</v>
      </c>
      <c r="E416">
        <v>194</v>
      </c>
      <c r="F416" t="s">
        <v>63</v>
      </c>
      <c r="G416" t="s">
        <v>28</v>
      </c>
      <c r="H416" t="s">
        <v>30</v>
      </c>
    </row>
    <row r="417" spans="1:8" ht="15" customHeight="1" x14ac:dyDescent="0.2">
      <c r="A417" s="1">
        <v>46252</v>
      </c>
      <c r="B417">
        <v>0</v>
      </c>
      <c r="C417" s="2">
        <v>0.32652777777777803</v>
      </c>
      <c r="D417" s="2">
        <v>0.38888888888888901</v>
      </c>
      <c r="E417">
        <v>90</v>
      </c>
      <c r="F417" t="s">
        <v>65</v>
      </c>
      <c r="G417" t="s">
        <v>28</v>
      </c>
      <c r="H417" t="s">
        <v>45</v>
      </c>
    </row>
    <row r="418" spans="1:8" ht="15" customHeight="1" x14ac:dyDescent="0.2">
      <c r="A418" s="1">
        <v>46252</v>
      </c>
      <c r="B418">
        <v>0</v>
      </c>
      <c r="C418" s="2">
        <v>0.224733796296296</v>
      </c>
      <c r="D418" s="2">
        <v>0.25791666666666702</v>
      </c>
      <c r="E418">
        <v>48</v>
      </c>
      <c r="F418" t="s">
        <v>63</v>
      </c>
      <c r="G418" t="s">
        <v>34</v>
      </c>
      <c r="H418" t="s">
        <v>44</v>
      </c>
    </row>
    <row r="419" spans="1:8" ht="15" customHeight="1" x14ac:dyDescent="0.2">
      <c r="A419" s="1">
        <v>46252</v>
      </c>
      <c r="B419">
        <v>0</v>
      </c>
      <c r="C419" s="2">
        <v>0.39925925925925898</v>
      </c>
      <c r="D419" s="2">
        <v>0.45138888888888901</v>
      </c>
      <c r="E419">
        <v>76</v>
      </c>
      <c r="F419" t="s">
        <v>65</v>
      </c>
      <c r="G419" t="s">
        <v>28</v>
      </c>
      <c r="H419" t="s">
        <v>45</v>
      </c>
    </row>
    <row r="420" spans="1:8" ht="15" customHeight="1" x14ac:dyDescent="0.2">
      <c r="A420" s="1">
        <v>46252</v>
      </c>
      <c r="B420">
        <v>0</v>
      </c>
      <c r="C420" s="2">
        <v>0.23628472222222199</v>
      </c>
      <c r="D420" s="2">
        <v>0.31414351851851902</v>
      </c>
      <c r="E420">
        <v>112</v>
      </c>
      <c r="F420" t="s">
        <v>63</v>
      </c>
      <c r="G420" t="s">
        <v>28</v>
      </c>
      <c r="H420" t="s">
        <v>28</v>
      </c>
    </row>
    <row r="421" spans="1:8" ht="15" customHeight="1" x14ac:dyDescent="0.2">
      <c r="A421" s="1">
        <v>46252</v>
      </c>
      <c r="B421">
        <v>0</v>
      </c>
      <c r="C421" s="2">
        <v>0.24356481481481501</v>
      </c>
      <c r="D421" s="2">
        <v>0.3</v>
      </c>
      <c r="E421">
        <v>82</v>
      </c>
      <c r="F421" t="s">
        <v>66</v>
      </c>
      <c r="G421" t="s">
        <v>28</v>
      </c>
      <c r="H421" t="s">
        <v>33</v>
      </c>
    </row>
    <row r="422" spans="1:8" ht="15" customHeight="1" x14ac:dyDescent="0.2">
      <c r="A422" s="1">
        <v>46252</v>
      </c>
      <c r="B422">
        <v>0</v>
      </c>
      <c r="C422" s="2">
        <v>0.25144675925925902</v>
      </c>
      <c r="D422" s="2">
        <v>0.31001157407407398</v>
      </c>
      <c r="E422">
        <v>84</v>
      </c>
      <c r="F422" t="s">
        <v>65</v>
      </c>
      <c r="G422" t="s">
        <v>28</v>
      </c>
      <c r="H422" t="s">
        <v>45</v>
      </c>
    </row>
    <row r="423" spans="1:8" ht="15" customHeight="1" x14ac:dyDescent="0.2">
      <c r="A423" s="1">
        <v>46252</v>
      </c>
      <c r="B423">
        <v>0</v>
      </c>
      <c r="C423" s="2">
        <v>0.53061342592592597</v>
      </c>
      <c r="D423" s="2">
        <v>0.63776620370370396</v>
      </c>
      <c r="E423">
        <v>154</v>
      </c>
      <c r="F423" t="s">
        <v>65</v>
      </c>
      <c r="G423" t="s">
        <v>34</v>
      </c>
      <c r="H423" t="s">
        <v>30</v>
      </c>
    </row>
    <row r="424" spans="1:8" ht="15" customHeight="1" x14ac:dyDescent="0.2">
      <c r="A424" s="1">
        <v>46252</v>
      </c>
      <c r="B424">
        <v>0</v>
      </c>
      <c r="C424" s="2">
        <v>0.400787037037037</v>
      </c>
      <c r="D424" s="2">
        <v>0.45436342592592599</v>
      </c>
      <c r="E424">
        <v>77</v>
      </c>
      <c r="F424" t="s">
        <v>65</v>
      </c>
      <c r="G424" t="s">
        <v>28</v>
      </c>
      <c r="H424" t="s">
        <v>28</v>
      </c>
    </row>
    <row r="425" spans="1:8" ht="15" customHeight="1" x14ac:dyDescent="0.2">
      <c r="A425" s="1">
        <v>46252</v>
      </c>
      <c r="B425">
        <v>0</v>
      </c>
      <c r="C425" s="2">
        <v>0.326319444444444</v>
      </c>
      <c r="D425" s="2">
        <v>0.39402777777777798</v>
      </c>
      <c r="E425">
        <v>98</v>
      </c>
      <c r="F425" t="s">
        <v>65</v>
      </c>
      <c r="G425" t="s">
        <v>28</v>
      </c>
      <c r="H425" t="s">
        <v>45</v>
      </c>
    </row>
    <row r="426" spans="1:8" ht="15" customHeight="1" x14ac:dyDescent="0.2">
      <c r="A426" s="1">
        <v>46252</v>
      </c>
      <c r="B426">
        <v>0</v>
      </c>
      <c r="C426" s="2">
        <v>0.241724537037037</v>
      </c>
      <c r="D426" s="2">
        <v>0.30842592592592599</v>
      </c>
      <c r="E426">
        <v>96</v>
      </c>
      <c r="F426" t="s">
        <v>63</v>
      </c>
      <c r="G426" t="s">
        <v>28</v>
      </c>
      <c r="H426" t="s">
        <v>30</v>
      </c>
    </row>
    <row r="427" spans="1:8" ht="15" customHeight="1" x14ac:dyDescent="0.2">
      <c r="A427" s="1">
        <v>46252</v>
      </c>
      <c r="B427">
        <v>0</v>
      </c>
      <c r="C427" s="2">
        <v>0.50694444444444398</v>
      </c>
      <c r="F427" t="s">
        <v>66</v>
      </c>
      <c r="G427" t="s">
        <v>28</v>
      </c>
      <c r="H427" t="s">
        <v>33</v>
      </c>
    </row>
    <row r="428" spans="1:8" ht="15" customHeight="1" x14ac:dyDescent="0.2">
      <c r="A428" s="1">
        <v>46252</v>
      </c>
      <c r="B428">
        <v>0</v>
      </c>
      <c r="C428" s="2">
        <v>0.36701388888888897</v>
      </c>
      <c r="D428" s="2">
        <v>0.47361111111111098</v>
      </c>
      <c r="E428">
        <v>154</v>
      </c>
      <c r="F428" t="s">
        <v>63</v>
      </c>
      <c r="G428" t="s">
        <v>28</v>
      </c>
      <c r="H428" t="s">
        <v>33</v>
      </c>
    </row>
    <row r="429" spans="1:8" ht="15" customHeight="1" x14ac:dyDescent="0.2">
      <c r="A429" s="1">
        <v>46252</v>
      </c>
      <c r="B429">
        <v>0</v>
      </c>
      <c r="C429" s="2">
        <v>0.27589120370370401</v>
      </c>
      <c r="D429" s="2">
        <v>0.307731481481481</v>
      </c>
      <c r="E429">
        <v>46</v>
      </c>
      <c r="F429" t="s">
        <v>65</v>
      </c>
      <c r="G429" t="s">
        <v>28</v>
      </c>
      <c r="H429" t="s">
        <v>30</v>
      </c>
    </row>
    <row r="430" spans="1:8" ht="15" customHeight="1" x14ac:dyDescent="0.2">
      <c r="A430" s="1">
        <v>46252</v>
      </c>
      <c r="B430">
        <v>0</v>
      </c>
      <c r="C430" s="2">
        <v>0.234722222222222</v>
      </c>
      <c r="D430" s="2">
        <v>0.30902777777777801</v>
      </c>
      <c r="E430">
        <v>107</v>
      </c>
      <c r="F430" t="s">
        <v>63</v>
      </c>
      <c r="G430" t="s">
        <v>28</v>
      </c>
      <c r="H430" t="s">
        <v>28</v>
      </c>
    </row>
    <row r="431" spans="1:8" ht="15" customHeight="1" x14ac:dyDescent="0.2">
      <c r="A431" s="1">
        <v>46252</v>
      </c>
      <c r="B431">
        <v>0</v>
      </c>
      <c r="C431" s="2">
        <v>0.44313657407407397</v>
      </c>
      <c r="D431" s="2">
        <v>0.496423611111111</v>
      </c>
      <c r="E431">
        <v>76</v>
      </c>
      <c r="F431" t="s">
        <v>63</v>
      </c>
      <c r="G431" t="s">
        <v>28</v>
      </c>
      <c r="H431" t="s">
        <v>28</v>
      </c>
    </row>
    <row r="432" spans="1:8" ht="15" customHeight="1" x14ac:dyDescent="0.2">
      <c r="A432" s="1">
        <v>46252</v>
      </c>
      <c r="B432">
        <v>0</v>
      </c>
      <c r="C432" s="2">
        <v>0.336087962962963</v>
      </c>
      <c r="D432" s="2">
        <v>0.41815972222222197</v>
      </c>
      <c r="E432">
        <v>119</v>
      </c>
      <c r="F432" t="s">
        <v>63</v>
      </c>
      <c r="G432" t="s">
        <v>28</v>
      </c>
      <c r="H432" t="s">
        <v>28</v>
      </c>
    </row>
    <row r="433" spans="1:8" ht="15" customHeight="1" x14ac:dyDescent="0.2">
      <c r="A433" s="1">
        <v>46252</v>
      </c>
      <c r="B433">
        <v>0</v>
      </c>
      <c r="C433" s="2">
        <v>0.24273148148148099</v>
      </c>
      <c r="D433" s="2">
        <v>0.3125</v>
      </c>
      <c r="E433">
        <v>101</v>
      </c>
      <c r="F433" t="s">
        <v>63</v>
      </c>
      <c r="G433" t="s">
        <v>28</v>
      </c>
      <c r="H433" t="s">
        <v>49</v>
      </c>
    </row>
    <row r="434" spans="1:8" ht="15" customHeight="1" x14ac:dyDescent="0.2">
      <c r="A434" s="1">
        <v>46252</v>
      </c>
      <c r="B434">
        <v>0</v>
      </c>
      <c r="C434" s="2">
        <v>0.24212962962963</v>
      </c>
      <c r="D434" s="2">
        <v>0.30587962962963</v>
      </c>
      <c r="E434">
        <v>92</v>
      </c>
      <c r="F434" t="s">
        <v>63</v>
      </c>
      <c r="G434" t="s">
        <v>28</v>
      </c>
      <c r="H434" t="s">
        <v>41</v>
      </c>
    </row>
    <row r="435" spans="1:8" ht="15" customHeight="1" x14ac:dyDescent="0.2">
      <c r="A435" s="1">
        <v>46252</v>
      </c>
      <c r="B435">
        <v>0</v>
      </c>
      <c r="C435" s="2">
        <v>0.73767361111111096</v>
      </c>
      <c r="D435" s="2">
        <v>0.78604166666666697</v>
      </c>
      <c r="E435">
        <v>69</v>
      </c>
      <c r="F435" t="s">
        <v>63</v>
      </c>
      <c r="G435" t="s">
        <v>28</v>
      </c>
      <c r="H435" t="s">
        <v>39</v>
      </c>
    </row>
    <row r="436" spans="1:8" ht="15" customHeight="1" x14ac:dyDescent="0.2">
      <c r="A436" s="1">
        <v>46252</v>
      </c>
      <c r="B436">
        <v>0</v>
      </c>
      <c r="C436" s="2">
        <v>0.57440972222222197</v>
      </c>
      <c r="D436" s="2">
        <v>0.615497685185185</v>
      </c>
      <c r="E436">
        <v>59</v>
      </c>
      <c r="F436" t="s">
        <v>63</v>
      </c>
      <c r="G436" t="s">
        <v>28</v>
      </c>
      <c r="H436" t="s">
        <v>41</v>
      </c>
    </row>
    <row r="437" spans="1:8" ht="15" customHeight="1" x14ac:dyDescent="0.2">
      <c r="A437" s="1">
        <v>46252</v>
      </c>
      <c r="B437">
        <v>0</v>
      </c>
      <c r="C437" s="2">
        <v>0.68532407407407403</v>
      </c>
      <c r="D437" s="2">
        <v>0.72077546296296302</v>
      </c>
      <c r="E437">
        <v>51</v>
      </c>
      <c r="F437" t="s">
        <v>63</v>
      </c>
      <c r="G437" t="s">
        <v>28</v>
      </c>
      <c r="H437" t="s">
        <v>39</v>
      </c>
    </row>
    <row r="438" spans="1:8" ht="15" customHeight="1" x14ac:dyDescent="0.2">
      <c r="A438" s="1">
        <v>46252</v>
      </c>
      <c r="B438">
        <v>1</v>
      </c>
      <c r="C438" s="2">
        <v>0.43121527777777802</v>
      </c>
      <c r="D438" s="2">
        <v>0.483333333333333</v>
      </c>
      <c r="E438">
        <v>76</v>
      </c>
      <c r="F438" t="s">
        <v>63</v>
      </c>
      <c r="G438" t="s">
        <v>34</v>
      </c>
      <c r="H438" t="s">
        <v>30</v>
      </c>
    </row>
    <row r="439" spans="1:8" ht="15" customHeight="1" x14ac:dyDescent="0.2">
      <c r="A439" s="1">
        <v>46252</v>
      </c>
      <c r="B439">
        <v>1</v>
      </c>
      <c r="C439" s="2">
        <v>0.67569444444444404</v>
      </c>
      <c r="D439" s="2">
        <v>0.70277777777777795</v>
      </c>
      <c r="E439">
        <v>39</v>
      </c>
      <c r="F439" t="s">
        <v>63</v>
      </c>
      <c r="G439" t="s">
        <v>34</v>
      </c>
      <c r="H439" t="s">
        <v>30</v>
      </c>
    </row>
    <row r="440" spans="1:8" ht="15" customHeight="1" x14ac:dyDescent="0.2">
      <c r="A440" s="1">
        <v>46252</v>
      </c>
      <c r="B440">
        <v>1</v>
      </c>
      <c r="C440" s="2">
        <v>0.50157407407407395</v>
      </c>
      <c r="D440" s="2">
        <v>0.55420138888888903</v>
      </c>
      <c r="E440">
        <v>76</v>
      </c>
      <c r="F440" t="s">
        <v>66</v>
      </c>
      <c r="G440" t="s">
        <v>34</v>
      </c>
      <c r="H440" t="s">
        <v>30</v>
      </c>
    </row>
    <row r="441" spans="1:8" ht="15" customHeight="1" x14ac:dyDescent="0.2">
      <c r="A441" s="1">
        <v>46252</v>
      </c>
      <c r="B441">
        <v>1</v>
      </c>
      <c r="C441" s="2">
        <v>0.48628472222222202</v>
      </c>
      <c r="D441" s="2">
        <v>0.50749999999999995</v>
      </c>
      <c r="E441">
        <v>30</v>
      </c>
      <c r="F441" t="s">
        <v>63</v>
      </c>
      <c r="G441" t="s">
        <v>28</v>
      </c>
      <c r="H441" t="s">
        <v>28</v>
      </c>
    </row>
    <row r="442" spans="1:8" ht="15" customHeight="1" x14ac:dyDescent="0.2">
      <c r="A442" s="1">
        <v>46252</v>
      </c>
      <c r="B442">
        <v>1</v>
      </c>
      <c r="C442" s="2">
        <v>0.70317129629629604</v>
      </c>
      <c r="D442" s="2">
        <v>0.76458333333333295</v>
      </c>
      <c r="E442">
        <v>89</v>
      </c>
      <c r="F442" t="s">
        <v>63</v>
      </c>
      <c r="G442" t="s">
        <v>28</v>
      </c>
      <c r="H442" t="s">
        <v>37</v>
      </c>
    </row>
    <row r="443" spans="1:8" ht="15" customHeight="1" x14ac:dyDescent="0.2">
      <c r="A443" s="1">
        <v>46252</v>
      </c>
      <c r="B443">
        <v>1</v>
      </c>
      <c r="C443" s="2">
        <v>0.66937500000000005</v>
      </c>
      <c r="D443" s="2">
        <v>0.692465277777778</v>
      </c>
      <c r="E443">
        <v>34</v>
      </c>
      <c r="F443" t="s">
        <v>63</v>
      </c>
      <c r="G443" t="s">
        <v>34</v>
      </c>
      <c r="H443" t="s">
        <v>28</v>
      </c>
    </row>
    <row r="444" spans="1:8" ht="15" customHeight="1" x14ac:dyDescent="0.2">
      <c r="A444" s="1">
        <v>46252</v>
      </c>
      <c r="B444">
        <v>0</v>
      </c>
      <c r="C444" s="2">
        <v>0.45729166666666698</v>
      </c>
      <c r="D444" s="2">
        <v>0.55306712962963001</v>
      </c>
      <c r="E444">
        <v>138</v>
      </c>
      <c r="F444" t="s">
        <v>65</v>
      </c>
      <c r="G444" t="s">
        <v>28</v>
      </c>
      <c r="H444" t="s">
        <v>45</v>
      </c>
    </row>
    <row r="445" spans="1:8" ht="15" customHeight="1" x14ac:dyDescent="0.2">
      <c r="A445" s="1">
        <v>46252</v>
      </c>
      <c r="B445">
        <v>0</v>
      </c>
      <c r="C445" s="2">
        <v>0.326203703703704</v>
      </c>
      <c r="D445" s="2">
        <v>0.37986111111111098</v>
      </c>
      <c r="E445">
        <v>78</v>
      </c>
      <c r="F445" t="s">
        <v>65</v>
      </c>
      <c r="G445" t="s">
        <v>34</v>
      </c>
      <c r="H445" t="s">
        <v>30</v>
      </c>
    </row>
    <row r="446" spans="1:8" ht="15" customHeight="1" x14ac:dyDescent="0.2">
      <c r="A446" s="1">
        <v>46253</v>
      </c>
      <c r="B446">
        <v>0</v>
      </c>
      <c r="C446" s="2">
        <v>0.24623842592592601</v>
      </c>
      <c r="D446" s="2">
        <v>0.30486111111111103</v>
      </c>
      <c r="E446">
        <v>85</v>
      </c>
      <c r="F446" t="s">
        <v>65</v>
      </c>
      <c r="G446" t="s">
        <v>28</v>
      </c>
      <c r="H446" t="s">
        <v>49</v>
      </c>
    </row>
    <row r="447" spans="1:8" ht="15" customHeight="1" x14ac:dyDescent="0.2">
      <c r="A447" s="1">
        <v>46253</v>
      </c>
      <c r="B447">
        <v>0</v>
      </c>
      <c r="C447" s="2">
        <v>0.2628125</v>
      </c>
      <c r="D447" s="2">
        <v>0.32500000000000001</v>
      </c>
      <c r="E447">
        <v>90</v>
      </c>
      <c r="F447" t="s">
        <v>63</v>
      </c>
      <c r="G447" t="s">
        <v>28</v>
      </c>
      <c r="H447" t="s">
        <v>28</v>
      </c>
    </row>
    <row r="448" spans="1:8" ht="15" customHeight="1" x14ac:dyDescent="0.2">
      <c r="A448" s="1">
        <v>46253</v>
      </c>
      <c r="B448">
        <v>0</v>
      </c>
      <c r="C448" s="2">
        <v>0.30275462962963001</v>
      </c>
      <c r="D448" s="2">
        <v>0.36388888888888898</v>
      </c>
      <c r="E448">
        <v>89</v>
      </c>
      <c r="F448" t="s">
        <v>65</v>
      </c>
      <c r="G448" t="s">
        <v>28</v>
      </c>
      <c r="H448" t="s">
        <v>49</v>
      </c>
    </row>
    <row r="449" spans="1:8" ht="15" customHeight="1" x14ac:dyDescent="0.2">
      <c r="A449" s="1">
        <v>46253</v>
      </c>
      <c r="B449">
        <v>0</v>
      </c>
      <c r="C449" s="2">
        <v>0.361064814814815</v>
      </c>
      <c r="D449" s="2">
        <v>0.43040509259259302</v>
      </c>
      <c r="E449">
        <v>100</v>
      </c>
      <c r="F449" t="s">
        <v>65</v>
      </c>
      <c r="G449" t="s">
        <v>28</v>
      </c>
      <c r="H449" t="s">
        <v>49</v>
      </c>
    </row>
    <row r="450" spans="1:8" ht="15" customHeight="1" x14ac:dyDescent="0.2">
      <c r="A450" s="1">
        <v>46253</v>
      </c>
      <c r="B450">
        <v>0</v>
      </c>
      <c r="C450" s="2">
        <v>0.251770833333333</v>
      </c>
      <c r="D450" s="2">
        <v>0.32271990740740703</v>
      </c>
      <c r="E450">
        <v>102</v>
      </c>
      <c r="F450" t="s">
        <v>65</v>
      </c>
      <c r="G450" t="s">
        <v>34</v>
      </c>
      <c r="H450" t="s">
        <v>28</v>
      </c>
    </row>
    <row r="451" spans="1:8" ht="15" customHeight="1" x14ac:dyDescent="0.2">
      <c r="A451" s="1">
        <v>46253</v>
      </c>
      <c r="B451">
        <v>0</v>
      </c>
      <c r="C451" s="2">
        <v>0.29122685185185199</v>
      </c>
      <c r="F451" t="s">
        <v>65</v>
      </c>
      <c r="G451" t="s">
        <v>28</v>
      </c>
      <c r="H451" t="s">
        <v>28</v>
      </c>
    </row>
    <row r="452" spans="1:8" ht="15" customHeight="1" x14ac:dyDescent="0.2">
      <c r="A452" s="1">
        <v>46253</v>
      </c>
      <c r="B452">
        <v>0</v>
      </c>
      <c r="C452" s="2">
        <v>0.35706018518518501</v>
      </c>
      <c r="D452" s="2">
        <v>0.45722222222222197</v>
      </c>
      <c r="E452">
        <v>144</v>
      </c>
      <c r="F452" t="s">
        <v>65</v>
      </c>
      <c r="G452" t="s">
        <v>28</v>
      </c>
      <c r="H452" t="s">
        <v>28</v>
      </c>
    </row>
    <row r="453" spans="1:8" ht="15" customHeight="1" x14ac:dyDescent="0.2">
      <c r="A453" s="1">
        <v>46253</v>
      </c>
      <c r="B453">
        <v>0</v>
      </c>
      <c r="C453" s="2">
        <v>0.23749999999999999</v>
      </c>
      <c r="D453" s="2">
        <v>0.31125000000000003</v>
      </c>
      <c r="E453">
        <v>106</v>
      </c>
      <c r="F453" t="s">
        <v>65</v>
      </c>
      <c r="G453" t="s">
        <v>28</v>
      </c>
      <c r="H453" t="s">
        <v>30</v>
      </c>
    </row>
    <row r="454" spans="1:8" ht="15" customHeight="1" x14ac:dyDescent="0.2">
      <c r="A454" s="1">
        <v>46253</v>
      </c>
      <c r="B454">
        <v>0</v>
      </c>
      <c r="C454" s="2">
        <v>0.57304398148148195</v>
      </c>
      <c r="D454" s="2">
        <v>0.65211805555555602</v>
      </c>
      <c r="E454">
        <v>114</v>
      </c>
      <c r="F454" t="s">
        <v>63</v>
      </c>
      <c r="G454" t="s">
        <v>28</v>
      </c>
      <c r="H454" t="s">
        <v>30</v>
      </c>
    </row>
    <row r="455" spans="1:8" ht="15" customHeight="1" x14ac:dyDescent="0.2">
      <c r="A455" s="1">
        <v>46253</v>
      </c>
      <c r="B455">
        <v>0</v>
      </c>
      <c r="C455" s="2">
        <v>0.26868055555555598</v>
      </c>
      <c r="D455" s="2">
        <v>0.3125</v>
      </c>
      <c r="E455">
        <v>64</v>
      </c>
      <c r="F455" t="s">
        <v>66</v>
      </c>
      <c r="G455" t="s">
        <v>28</v>
      </c>
      <c r="H455" t="s">
        <v>28</v>
      </c>
    </row>
    <row r="456" spans="1:8" ht="15" customHeight="1" x14ac:dyDescent="0.2">
      <c r="A456" s="1">
        <v>46253</v>
      </c>
      <c r="B456">
        <v>0</v>
      </c>
      <c r="C456" s="2">
        <v>0.24606481481481501</v>
      </c>
      <c r="D456" s="2">
        <v>0.31260416666666702</v>
      </c>
      <c r="E456">
        <v>96</v>
      </c>
      <c r="F456" t="s">
        <v>65</v>
      </c>
      <c r="G456" t="s">
        <v>28</v>
      </c>
      <c r="H456" t="s">
        <v>30</v>
      </c>
    </row>
    <row r="457" spans="1:8" ht="15" customHeight="1" x14ac:dyDescent="0.2">
      <c r="A457" s="1">
        <v>46253</v>
      </c>
      <c r="B457">
        <v>0</v>
      </c>
      <c r="C457" s="2">
        <v>0.23765046296296299</v>
      </c>
      <c r="D457" s="2">
        <v>0.306111111111111</v>
      </c>
      <c r="E457">
        <v>98</v>
      </c>
      <c r="F457" t="s">
        <v>65</v>
      </c>
      <c r="G457" t="s">
        <v>28</v>
      </c>
      <c r="H457" t="s">
        <v>49</v>
      </c>
    </row>
    <row r="458" spans="1:8" ht="15" customHeight="1" x14ac:dyDescent="0.2">
      <c r="A458" s="1">
        <v>46253</v>
      </c>
      <c r="B458">
        <v>0</v>
      </c>
      <c r="C458" s="2">
        <v>0.26298611111111098</v>
      </c>
      <c r="F458" t="s">
        <v>65</v>
      </c>
      <c r="G458" t="s">
        <v>28</v>
      </c>
      <c r="H458" t="s">
        <v>30</v>
      </c>
    </row>
    <row r="459" spans="1:8" ht="15" customHeight="1" x14ac:dyDescent="0.2">
      <c r="A459" s="1">
        <v>46253</v>
      </c>
      <c r="B459">
        <v>0</v>
      </c>
      <c r="C459" s="2">
        <v>0.32528935185185198</v>
      </c>
      <c r="D459" s="2">
        <v>0.40069444444444402</v>
      </c>
      <c r="E459">
        <v>109</v>
      </c>
      <c r="F459" t="s">
        <v>65</v>
      </c>
      <c r="G459" t="s">
        <v>34</v>
      </c>
      <c r="H459" t="s">
        <v>28</v>
      </c>
    </row>
    <row r="460" spans="1:8" ht="15" customHeight="1" x14ac:dyDescent="0.2">
      <c r="A460" s="1">
        <v>46253</v>
      </c>
      <c r="B460">
        <v>0</v>
      </c>
      <c r="C460" s="2">
        <v>0.41370370370370402</v>
      </c>
      <c r="D460" s="2">
        <v>0.50416666666666698</v>
      </c>
      <c r="E460">
        <v>131</v>
      </c>
      <c r="F460" t="s">
        <v>63</v>
      </c>
      <c r="G460" t="s">
        <v>34</v>
      </c>
      <c r="H460" t="s">
        <v>28</v>
      </c>
    </row>
    <row r="461" spans="1:8" ht="15" customHeight="1" x14ac:dyDescent="0.2">
      <c r="A461" s="1">
        <v>46253</v>
      </c>
      <c r="B461">
        <v>0</v>
      </c>
      <c r="C461" s="2">
        <v>0.471018518518519</v>
      </c>
      <c r="F461" t="s">
        <v>66</v>
      </c>
      <c r="G461" t="s">
        <v>28</v>
      </c>
      <c r="H461" t="s">
        <v>49</v>
      </c>
    </row>
    <row r="462" spans="1:8" ht="15" customHeight="1" x14ac:dyDescent="0.2">
      <c r="A462" s="1">
        <v>46253</v>
      </c>
      <c r="B462">
        <v>0</v>
      </c>
      <c r="C462" s="2">
        <v>0.32349537037037002</v>
      </c>
      <c r="D462" s="2">
        <v>0.36875000000000002</v>
      </c>
      <c r="E462">
        <v>66</v>
      </c>
      <c r="F462" t="s">
        <v>65</v>
      </c>
      <c r="G462" t="s">
        <v>34</v>
      </c>
      <c r="H462" t="s">
        <v>30</v>
      </c>
    </row>
    <row r="463" spans="1:8" ht="15" customHeight="1" x14ac:dyDescent="0.2">
      <c r="A463" s="1">
        <v>46253</v>
      </c>
      <c r="B463">
        <v>0</v>
      </c>
      <c r="C463" s="2">
        <v>0.27518518518518498</v>
      </c>
      <c r="D463" s="2">
        <v>0.31874999999999998</v>
      </c>
      <c r="E463">
        <v>63</v>
      </c>
      <c r="F463" t="s">
        <v>63</v>
      </c>
      <c r="G463" t="s">
        <v>28</v>
      </c>
      <c r="H463" t="s">
        <v>30</v>
      </c>
    </row>
    <row r="464" spans="1:8" ht="15" customHeight="1" x14ac:dyDescent="0.2">
      <c r="A464" s="1">
        <v>46253</v>
      </c>
      <c r="B464">
        <v>0</v>
      </c>
      <c r="C464" s="2">
        <v>0.42901620370370402</v>
      </c>
      <c r="D464" s="2">
        <v>0.47222222222222199</v>
      </c>
      <c r="E464">
        <v>63</v>
      </c>
      <c r="F464" t="s">
        <v>63</v>
      </c>
      <c r="G464" t="s">
        <v>28</v>
      </c>
      <c r="H464" t="s">
        <v>28</v>
      </c>
    </row>
    <row r="465" spans="1:8" ht="15" customHeight="1" x14ac:dyDescent="0.2">
      <c r="A465" s="1">
        <v>46253</v>
      </c>
      <c r="B465">
        <v>0</v>
      </c>
      <c r="C465" s="2">
        <v>0.23703703703703699</v>
      </c>
      <c r="D465" s="2">
        <v>0.25432870370370397</v>
      </c>
      <c r="E465">
        <v>25</v>
      </c>
      <c r="F465" t="s">
        <v>63</v>
      </c>
      <c r="G465" t="s">
        <v>28</v>
      </c>
      <c r="H465" t="s">
        <v>44</v>
      </c>
    </row>
    <row r="466" spans="1:8" ht="15" customHeight="1" x14ac:dyDescent="0.2">
      <c r="A466" s="1">
        <v>46253</v>
      </c>
      <c r="B466">
        <v>0</v>
      </c>
      <c r="C466" s="2">
        <v>0.76291666666666702</v>
      </c>
      <c r="D466" s="2">
        <v>0.78693287037036996</v>
      </c>
      <c r="E466">
        <v>35</v>
      </c>
      <c r="F466" t="s">
        <v>63</v>
      </c>
      <c r="G466" t="s">
        <v>28</v>
      </c>
      <c r="H466" t="s">
        <v>37</v>
      </c>
    </row>
    <row r="467" spans="1:8" ht="15" customHeight="1" x14ac:dyDescent="0.2">
      <c r="A467" s="1">
        <v>46253</v>
      </c>
      <c r="B467">
        <v>1</v>
      </c>
      <c r="C467" s="2">
        <v>0.37312499999999998</v>
      </c>
      <c r="D467" s="2">
        <v>0.41230324074074098</v>
      </c>
      <c r="E467">
        <v>56</v>
      </c>
      <c r="F467" t="s">
        <v>63</v>
      </c>
      <c r="G467" t="s">
        <v>28</v>
      </c>
      <c r="H467" t="s">
        <v>30</v>
      </c>
    </row>
    <row r="468" spans="1:8" ht="15" customHeight="1" x14ac:dyDescent="0.2">
      <c r="A468" s="1">
        <v>46253</v>
      </c>
      <c r="B468">
        <v>1</v>
      </c>
      <c r="C468" s="2">
        <v>0.31537037037037002</v>
      </c>
      <c r="D468" s="2">
        <v>0.32857638888888901</v>
      </c>
      <c r="E468">
        <v>19</v>
      </c>
      <c r="F468" t="s">
        <v>63</v>
      </c>
      <c r="G468" t="s">
        <v>34</v>
      </c>
      <c r="H468" t="s">
        <v>30</v>
      </c>
    </row>
    <row r="469" spans="1:8" ht="15" customHeight="1" x14ac:dyDescent="0.2">
      <c r="A469" s="1">
        <v>46253</v>
      </c>
      <c r="B469">
        <v>1</v>
      </c>
      <c r="C469" s="2">
        <v>0.49592592592592599</v>
      </c>
      <c r="D469" s="2">
        <v>0.51736111111111105</v>
      </c>
      <c r="E469">
        <v>31</v>
      </c>
      <c r="F469" t="s">
        <v>63</v>
      </c>
      <c r="G469" t="s">
        <v>28</v>
      </c>
      <c r="H469" t="s">
        <v>30</v>
      </c>
    </row>
    <row r="470" spans="1:8" ht="15" customHeight="1" x14ac:dyDescent="0.2">
      <c r="A470" s="1">
        <v>46253</v>
      </c>
      <c r="B470">
        <v>1</v>
      </c>
      <c r="C470" s="2">
        <v>0.58333333333333304</v>
      </c>
      <c r="D470" s="2">
        <v>0.61805555555555602</v>
      </c>
      <c r="E470">
        <v>50</v>
      </c>
      <c r="F470" t="s">
        <v>63</v>
      </c>
      <c r="G470" t="s">
        <v>28</v>
      </c>
      <c r="H470" t="s">
        <v>28</v>
      </c>
    </row>
    <row r="471" spans="1:8" ht="15" customHeight="1" x14ac:dyDescent="0.2">
      <c r="A471" s="1">
        <v>46253</v>
      </c>
      <c r="B471">
        <v>1</v>
      </c>
      <c r="C471" s="2">
        <v>0.54195601851851805</v>
      </c>
      <c r="F471" t="s">
        <v>66</v>
      </c>
      <c r="G471" t="s">
        <v>28</v>
      </c>
      <c r="H471" t="s">
        <v>28</v>
      </c>
    </row>
    <row r="472" spans="1:8" ht="15" customHeight="1" x14ac:dyDescent="0.2">
      <c r="A472" s="1">
        <v>46253</v>
      </c>
      <c r="B472">
        <v>1</v>
      </c>
      <c r="C472" s="2">
        <v>0.64226851851851896</v>
      </c>
      <c r="D472" s="2">
        <v>0.66805555555555596</v>
      </c>
      <c r="E472">
        <v>38</v>
      </c>
      <c r="F472" t="s">
        <v>63</v>
      </c>
      <c r="G472" t="s">
        <v>28</v>
      </c>
      <c r="H472" t="s">
        <v>28</v>
      </c>
    </row>
    <row r="473" spans="1:8" ht="15" customHeight="1" x14ac:dyDescent="0.2">
      <c r="A473" s="1">
        <v>46253</v>
      </c>
      <c r="B473">
        <v>1</v>
      </c>
      <c r="C473" s="2">
        <v>0.68694444444444402</v>
      </c>
      <c r="D473" s="2">
        <v>0.73750000000000004</v>
      </c>
      <c r="E473">
        <v>73</v>
      </c>
      <c r="F473" t="s">
        <v>63</v>
      </c>
      <c r="G473" t="s">
        <v>28</v>
      </c>
      <c r="H473" t="s">
        <v>28</v>
      </c>
    </row>
    <row r="474" spans="1:8" ht="15" customHeight="1" x14ac:dyDescent="0.2">
      <c r="A474" s="1">
        <v>46253</v>
      </c>
      <c r="B474">
        <v>1</v>
      </c>
      <c r="C474" s="2">
        <v>0.45935185185185201</v>
      </c>
      <c r="D474" s="2">
        <v>0.49840277777777803</v>
      </c>
      <c r="E474">
        <v>56</v>
      </c>
      <c r="F474" t="s">
        <v>63</v>
      </c>
      <c r="G474" t="s">
        <v>28</v>
      </c>
      <c r="H474" t="s">
        <v>28</v>
      </c>
    </row>
    <row r="475" spans="1:8" ht="15" customHeight="1" x14ac:dyDescent="0.2">
      <c r="A475" s="1">
        <v>46253</v>
      </c>
      <c r="B475">
        <v>1</v>
      </c>
      <c r="C475" s="2">
        <v>0.67438657407407399</v>
      </c>
      <c r="D475" s="2">
        <v>0.71388888888888902</v>
      </c>
      <c r="E475">
        <v>57</v>
      </c>
      <c r="F475" t="s">
        <v>63</v>
      </c>
      <c r="G475" t="s">
        <v>34</v>
      </c>
      <c r="H475" t="s">
        <v>39</v>
      </c>
    </row>
    <row r="476" spans="1:8" ht="15" customHeight="1" x14ac:dyDescent="0.2">
      <c r="A476" s="1">
        <v>46254</v>
      </c>
      <c r="B476">
        <v>0</v>
      </c>
      <c r="C476" s="2">
        <v>0.25369212962963</v>
      </c>
      <c r="D476" s="2">
        <v>0.30315972222222198</v>
      </c>
      <c r="E476">
        <v>71</v>
      </c>
      <c r="F476" t="s">
        <v>63</v>
      </c>
      <c r="G476" t="s">
        <v>34</v>
      </c>
      <c r="H476" t="s">
        <v>33</v>
      </c>
    </row>
    <row r="477" spans="1:8" ht="15" customHeight="1" x14ac:dyDescent="0.2">
      <c r="A477" s="1">
        <v>46254</v>
      </c>
      <c r="B477">
        <v>0</v>
      </c>
      <c r="C477" s="2">
        <v>0.47569444444444398</v>
      </c>
      <c r="D477" s="2">
        <v>0.540949074074074</v>
      </c>
      <c r="E477">
        <v>93</v>
      </c>
      <c r="F477" t="s">
        <v>65</v>
      </c>
      <c r="G477" t="s">
        <v>28</v>
      </c>
      <c r="H477" t="s">
        <v>33</v>
      </c>
    </row>
    <row r="478" spans="1:8" ht="15" customHeight="1" x14ac:dyDescent="0.2">
      <c r="A478" s="1">
        <v>46254</v>
      </c>
      <c r="B478">
        <v>0</v>
      </c>
      <c r="C478" s="2">
        <v>0.50432870370370397</v>
      </c>
      <c r="D478" s="2">
        <v>0.57482638888888904</v>
      </c>
      <c r="E478">
        <v>101</v>
      </c>
      <c r="F478" t="s">
        <v>65</v>
      </c>
      <c r="G478" t="s">
        <v>28</v>
      </c>
      <c r="H478" t="s">
        <v>33</v>
      </c>
    </row>
    <row r="479" spans="1:8" ht="15" customHeight="1" x14ac:dyDescent="0.2">
      <c r="A479" s="1">
        <v>46254</v>
      </c>
      <c r="B479">
        <v>0</v>
      </c>
      <c r="C479" s="2">
        <v>0.38806712962963003</v>
      </c>
      <c r="D479" s="2">
        <v>0.40981481481481502</v>
      </c>
      <c r="E479">
        <v>32</v>
      </c>
      <c r="F479" t="s">
        <v>66</v>
      </c>
      <c r="G479" t="s">
        <v>28</v>
      </c>
      <c r="H479" t="s">
        <v>49</v>
      </c>
    </row>
    <row r="480" spans="1:8" ht="15" customHeight="1" x14ac:dyDescent="0.2">
      <c r="A480" s="1">
        <v>46254</v>
      </c>
      <c r="B480">
        <v>0</v>
      </c>
      <c r="C480" s="2">
        <v>0.56252314814814797</v>
      </c>
      <c r="F480" t="s">
        <v>65</v>
      </c>
      <c r="G480" t="s">
        <v>28</v>
      </c>
      <c r="H480" t="s">
        <v>33</v>
      </c>
    </row>
    <row r="481" spans="1:8" ht="15" customHeight="1" x14ac:dyDescent="0.2">
      <c r="A481" s="1">
        <v>46254</v>
      </c>
      <c r="B481">
        <v>0</v>
      </c>
      <c r="C481" s="2">
        <v>0.23611111111111099</v>
      </c>
      <c r="D481" s="2">
        <v>0.31545138888888902</v>
      </c>
      <c r="E481">
        <v>114</v>
      </c>
      <c r="F481" t="s">
        <v>65</v>
      </c>
      <c r="G481" t="s">
        <v>28</v>
      </c>
      <c r="H481" t="s">
        <v>45</v>
      </c>
    </row>
    <row r="482" spans="1:8" ht="15" customHeight="1" x14ac:dyDescent="0.2">
      <c r="A482" s="1">
        <v>46254</v>
      </c>
      <c r="B482">
        <v>0</v>
      </c>
      <c r="C482" s="2">
        <v>0.47913194444444401</v>
      </c>
      <c r="D482" s="2">
        <v>0.54377314814814803</v>
      </c>
      <c r="E482">
        <v>94</v>
      </c>
      <c r="F482" t="s">
        <v>65</v>
      </c>
      <c r="G482" t="s">
        <v>28</v>
      </c>
      <c r="H482" t="s">
        <v>46</v>
      </c>
    </row>
    <row r="483" spans="1:8" ht="15" customHeight="1" x14ac:dyDescent="0.2">
      <c r="A483" s="1">
        <v>46254</v>
      </c>
      <c r="B483">
        <v>0</v>
      </c>
      <c r="C483" s="2">
        <v>0.29679398148148201</v>
      </c>
      <c r="D483" s="2">
        <v>0.36954861111111098</v>
      </c>
      <c r="E483">
        <v>105</v>
      </c>
      <c r="F483" t="s">
        <v>65</v>
      </c>
      <c r="G483" t="s">
        <v>28</v>
      </c>
      <c r="H483" t="s">
        <v>33</v>
      </c>
    </row>
    <row r="484" spans="1:8" ht="15" customHeight="1" x14ac:dyDescent="0.2">
      <c r="A484" s="1">
        <v>46254</v>
      </c>
      <c r="B484">
        <v>0</v>
      </c>
      <c r="C484" s="2">
        <v>0.351446759259259</v>
      </c>
      <c r="D484" s="2">
        <v>0.40673611111111102</v>
      </c>
      <c r="E484">
        <v>79</v>
      </c>
      <c r="F484" t="s">
        <v>65</v>
      </c>
      <c r="G484" t="s">
        <v>28</v>
      </c>
      <c r="H484" t="s">
        <v>33</v>
      </c>
    </row>
    <row r="485" spans="1:8" ht="15" customHeight="1" x14ac:dyDescent="0.2">
      <c r="A485" s="1">
        <v>46254</v>
      </c>
      <c r="B485">
        <v>0</v>
      </c>
      <c r="C485" s="2">
        <v>0.41857638888888898</v>
      </c>
      <c r="D485" s="2">
        <v>0.44925925925925903</v>
      </c>
      <c r="E485">
        <v>44</v>
      </c>
      <c r="F485" t="s">
        <v>65</v>
      </c>
      <c r="G485" t="s">
        <v>28</v>
      </c>
      <c r="H485" t="s">
        <v>33</v>
      </c>
    </row>
    <row r="486" spans="1:8" ht="15" customHeight="1" x14ac:dyDescent="0.2">
      <c r="A486" s="1">
        <v>46254</v>
      </c>
      <c r="B486">
        <v>0</v>
      </c>
      <c r="C486" s="2">
        <v>0.47876157407407399</v>
      </c>
      <c r="D486" s="2">
        <v>0.52238425925925902</v>
      </c>
      <c r="E486">
        <v>63</v>
      </c>
      <c r="F486" t="s">
        <v>63</v>
      </c>
      <c r="G486" t="s">
        <v>28</v>
      </c>
      <c r="H486" t="s">
        <v>33</v>
      </c>
    </row>
    <row r="487" spans="1:8" ht="15" customHeight="1" x14ac:dyDescent="0.2">
      <c r="A487" s="1">
        <v>46254</v>
      </c>
      <c r="B487">
        <v>0</v>
      </c>
      <c r="C487" s="2">
        <v>0.241435185185185</v>
      </c>
      <c r="F487" t="s">
        <v>65</v>
      </c>
      <c r="G487" t="s">
        <v>28</v>
      </c>
      <c r="H487" t="s">
        <v>30</v>
      </c>
    </row>
    <row r="488" spans="1:8" ht="15" customHeight="1" x14ac:dyDescent="0.2">
      <c r="A488" s="1">
        <v>46254</v>
      </c>
      <c r="B488">
        <v>0</v>
      </c>
      <c r="C488" s="2">
        <v>0.51240740740740698</v>
      </c>
      <c r="D488" s="2">
        <v>0.579085648148148</v>
      </c>
      <c r="E488">
        <v>96</v>
      </c>
      <c r="F488" t="s">
        <v>65</v>
      </c>
      <c r="G488" t="s">
        <v>28</v>
      </c>
      <c r="H488" t="s">
        <v>33</v>
      </c>
    </row>
    <row r="489" spans="1:8" ht="15" customHeight="1" x14ac:dyDescent="0.2">
      <c r="A489" s="1">
        <v>46254</v>
      </c>
      <c r="B489">
        <v>0</v>
      </c>
      <c r="C489" s="2">
        <v>0.242569444444444</v>
      </c>
      <c r="D489" s="2">
        <v>0.32517361111111098</v>
      </c>
      <c r="E489">
        <v>119</v>
      </c>
      <c r="F489" t="s">
        <v>65</v>
      </c>
      <c r="G489" t="s">
        <v>34</v>
      </c>
      <c r="H489" t="s">
        <v>30</v>
      </c>
    </row>
    <row r="490" spans="1:8" ht="15" customHeight="1" x14ac:dyDescent="0.2">
      <c r="A490" s="1">
        <v>46254</v>
      </c>
      <c r="B490">
        <v>0</v>
      </c>
      <c r="C490" s="2">
        <v>0.34998842592592599</v>
      </c>
      <c r="D490" s="2">
        <v>0.401481481481481</v>
      </c>
      <c r="E490">
        <v>75</v>
      </c>
      <c r="F490" t="s">
        <v>65</v>
      </c>
      <c r="G490" t="s">
        <v>28</v>
      </c>
      <c r="H490" t="s">
        <v>45</v>
      </c>
    </row>
    <row r="491" spans="1:8" ht="15" customHeight="1" x14ac:dyDescent="0.2">
      <c r="A491" s="1">
        <v>46254</v>
      </c>
      <c r="B491">
        <v>0</v>
      </c>
      <c r="C491" s="2">
        <v>0.22222222222222199</v>
      </c>
      <c r="D491" s="2">
        <v>0.26366898148148099</v>
      </c>
      <c r="E491">
        <v>59</v>
      </c>
      <c r="F491" t="s">
        <v>63</v>
      </c>
      <c r="G491" t="s">
        <v>34</v>
      </c>
      <c r="H491" t="s">
        <v>44</v>
      </c>
    </row>
    <row r="492" spans="1:8" ht="15" customHeight="1" x14ac:dyDescent="0.2">
      <c r="A492" s="1">
        <v>46254</v>
      </c>
      <c r="B492">
        <v>0</v>
      </c>
      <c r="C492" s="2">
        <v>0.253576388888889</v>
      </c>
      <c r="D492" s="2">
        <v>0.31158564814814799</v>
      </c>
      <c r="E492">
        <v>83</v>
      </c>
      <c r="F492" t="s">
        <v>65</v>
      </c>
      <c r="G492" t="s">
        <v>28</v>
      </c>
      <c r="H492" t="s">
        <v>28</v>
      </c>
    </row>
    <row r="493" spans="1:8" ht="15" customHeight="1" x14ac:dyDescent="0.2">
      <c r="A493" s="1">
        <v>46254</v>
      </c>
      <c r="B493">
        <v>0</v>
      </c>
      <c r="C493" s="2">
        <v>0.36706018518518502</v>
      </c>
      <c r="D493" s="2">
        <v>0.40138888888888902</v>
      </c>
      <c r="E493">
        <v>50</v>
      </c>
      <c r="F493" t="s">
        <v>63</v>
      </c>
      <c r="G493" t="s">
        <v>28</v>
      </c>
      <c r="H493" t="s">
        <v>30</v>
      </c>
    </row>
    <row r="494" spans="1:8" ht="15" customHeight="1" x14ac:dyDescent="0.2">
      <c r="A494" s="1">
        <v>46254</v>
      </c>
      <c r="B494">
        <v>0</v>
      </c>
      <c r="C494" s="2">
        <v>0.236608796296296</v>
      </c>
      <c r="F494" t="s">
        <v>65</v>
      </c>
      <c r="G494" t="s">
        <v>28</v>
      </c>
      <c r="H494" t="s">
        <v>33</v>
      </c>
    </row>
    <row r="495" spans="1:8" ht="15" customHeight="1" x14ac:dyDescent="0.2">
      <c r="A495" s="1">
        <v>46254</v>
      </c>
      <c r="B495">
        <v>0</v>
      </c>
      <c r="C495" s="2">
        <v>0.27278935185185199</v>
      </c>
      <c r="D495" s="2">
        <v>0.30208333333333298</v>
      </c>
      <c r="E495">
        <v>43</v>
      </c>
      <c r="F495" t="s">
        <v>65</v>
      </c>
      <c r="G495" t="s">
        <v>28</v>
      </c>
      <c r="H495" t="s">
        <v>28</v>
      </c>
    </row>
    <row r="496" spans="1:8" ht="15" customHeight="1" x14ac:dyDescent="0.2">
      <c r="A496" s="1">
        <v>46254</v>
      </c>
      <c r="B496">
        <v>0</v>
      </c>
      <c r="D496" s="2">
        <v>0.48849537037037</v>
      </c>
      <c r="F496" t="s">
        <v>65</v>
      </c>
      <c r="G496" t="s">
        <v>28</v>
      </c>
      <c r="H496" t="s">
        <v>33</v>
      </c>
    </row>
    <row r="497" spans="1:8" ht="15" customHeight="1" x14ac:dyDescent="0.2">
      <c r="A497" s="1">
        <v>46254</v>
      </c>
      <c r="B497">
        <v>0</v>
      </c>
      <c r="C497" s="2">
        <v>0.329085648148148</v>
      </c>
      <c r="D497" s="2">
        <v>0.40995370370370399</v>
      </c>
      <c r="E497">
        <v>117</v>
      </c>
      <c r="F497" t="s">
        <v>65</v>
      </c>
      <c r="G497" t="s">
        <v>28</v>
      </c>
      <c r="H497" t="s">
        <v>33</v>
      </c>
    </row>
    <row r="498" spans="1:8" ht="15" customHeight="1" x14ac:dyDescent="0.2">
      <c r="A498" s="1">
        <v>46254</v>
      </c>
      <c r="B498">
        <v>0</v>
      </c>
      <c r="C498" s="2">
        <v>0.412523148148148</v>
      </c>
      <c r="D498" s="2">
        <v>0.49262731481481498</v>
      </c>
      <c r="E498">
        <v>115</v>
      </c>
      <c r="F498" t="s">
        <v>66</v>
      </c>
      <c r="G498" t="s">
        <v>34</v>
      </c>
      <c r="H498" t="s">
        <v>30</v>
      </c>
    </row>
    <row r="499" spans="1:8" ht="15" customHeight="1" x14ac:dyDescent="0.2">
      <c r="A499" s="1">
        <v>46254</v>
      </c>
      <c r="B499">
        <v>0</v>
      </c>
      <c r="C499" s="2">
        <v>0.32917824074074098</v>
      </c>
      <c r="D499" s="2">
        <v>0.41231481481481502</v>
      </c>
      <c r="E499">
        <v>119</v>
      </c>
      <c r="F499" t="s">
        <v>68</v>
      </c>
      <c r="G499" t="s">
        <v>28</v>
      </c>
      <c r="H499" t="s">
        <v>28</v>
      </c>
    </row>
    <row r="500" spans="1:8" ht="15" customHeight="1" x14ac:dyDescent="0.2">
      <c r="A500" s="1">
        <v>46254</v>
      </c>
      <c r="B500">
        <v>0</v>
      </c>
      <c r="C500" s="2">
        <v>0.52958333333333296</v>
      </c>
      <c r="D500" s="2">
        <v>0.602256944444444</v>
      </c>
      <c r="E500">
        <v>105</v>
      </c>
      <c r="F500" t="s">
        <v>65</v>
      </c>
      <c r="G500" t="s">
        <v>28</v>
      </c>
      <c r="H500" t="s">
        <v>45</v>
      </c>
    </row>
    <row r="501" spans="1:8" ht="15" customHeight="1" x14ac:dyDescent="0.2">
      <c r="A501" s="1">
        <v>46254</v>
      </c>
      <c r="B501">
        <v>0</v>
      </c>
      <c r="C501" s="2">
        <v>0.23925925925925901</v>
      </c>
      <c r="D501" s="2">
        <v>0.30836805555555602</v>
      </c>
      <c r="E501">
        <v>100</v>
      </c>
      <c r="F501" t="s">
        <v>63</v>
      </c>
      <c r="G501" t="s">
        <v>28</v>
      </c>
      <c r="H501" t="s">
        <v>49</v>
      </c>
    </row>
    <row r="502" spans="1:8" ht="15" customHeight="1" x14ac:dyDescent="0.2">
      <c r="A502" s="1">
        <v>46254</v>
      </c>
      <c r="B502">
        <v>0</v>
      </c>
      <c r="C502" s="2">
        <v>0.34375</v>
      </c>
      <c r="D502" s="2">
        <v>0.40934027777777798</v>
      </c>
      <c r="E502">
        <v>94</v>
      </c>
      <c r="F502" t="s">
        <v>65</v>
      </c>
      <c r="G502" t="s">
        <v>28</v>
      </c>
      <c r="H502" t="s">
        <v>28</v>
      </c>
    </row>
    <row r="503" spans="1:8" ht="15" customHeight="1" x14ac:dyDescent="0.2">
      <c r="A503" s="1">
        <v>46254</v>
      </c>
      <c r="B503">
        <v>0</v>
      </c>
      <c r="C503" s="2">
        <v>0.28118055555555599</v>
      </c>
      <c r="D503" s="2">
        <v>0.31721064814814798</v>
      </c>
      <c r="E503">
        <v>52</v>
      </c>
      <c r="F503" t="s">
        <v>63</v>
      </c>
      <c r="G503" t="s">
        <v>28</v>
      </c>
      <c r="H503" t="s">
        <v>30</v>
      </c>
    </row>
    <row r="504" spans="1:8" ht="15" customHeight="1" x14ac:dyDescent="0.2">
      <c r="A504" s="1">
        <v>46254</v>
      </c>
      <c r="B504">
        <v>0</v>
      </c>
      <c r="C504" s="2">
        <v>0.46019675925925901</v>
      </c>
      <c r="D504" s="2">
        <v>0.47881944444444402</v>
      </c>
      <c r="E504">
        <v>27</v>
      </c>
      <c r="F504" t="s">
        <v>63</v>
      </c>
      <c r="G504" t="s">
        <v>28</v>
      </c>
      <c r="H504" t="s">
        <v>28</v>
      </c>
    </row>
    <row r="505" spans="1:8" ht="15" customHeight="1" x14ac:dyDescent="0.2">
      <c r="A505" s="1">
        <v>46254</v>
      </c>
      <c r="B505">
        <v>0</v>
      </c>
      <c r="C505" s="2">
        <v>0.71983796296296299</v>
      </c>
      <c r="D505" s="2">
        <v>0.74916666666666698</v>
      </c>
      <c r="E505">
        <v>42</v>
      </c>
      <c r="F505" t="s">
        <v>63</v>
      </c>
      <c r="G505" t="s">
        <v>28</v>
      </c>
      <c r="H505" t="s">
        <v>37</v>
      </c>
    </row>
    <row r="506" spans="1:8" ht="15" customHeight="1" x14ac:dyDescent="0.2">
      <c r="A506" s="1">
        <v>46254</v>
      </c>
      <c r="B506">
        <v>0</v>
      </c>
      <c r="C506" s="2">
        <v>0.75868055555555602</v>
      </c>
      <c r="D506" s="2">
        <v>0.82884259259259296</v>
      </c>
      <c r="E506">
        <v>101</v>
      </c>
      <c r="F506" t="s">
        <v>63</v>
      </c>
      <c r="G506" t="s">
        <v>28</v>
      </c>
      <c r="H506" t="s">
        <v>37</v>
      </c>
    </row>
    <row r="507" spans="1:8" ht="15" customHeight="1" x14ac:dyDescent="0.2">
      <c r="A507" s="1">
        <v>46254</v>
      </c>
      <c r="B507">
        <v>1</v>
      </c>
      <c r="C507" s="2">
        <v>0.70763888888888904</v>
      </c>
      <c r="D507" s="2">
        <v>0.73958333333333304</v>
      </c>
      <c r="E507">
        <v>46</v>
      </c>
      <c r="F507" t="s">
        <v>63</v>
      </c>
      <c r="G507" t="s">
        <v>28</v>
      </c>
      <c r="H507" t="s">
        <v>39</v>
      </c>
    </row>
    <row r="508" spans="1:8" ht="15" customHeight="1" x14ac:dyDescent="0.2">
      <c r="A508" s="1">
        <v>46254</v>
      </c>
      <c r="B508">
        <v>1</v>
      </c>
      <c r="C508" s="2">
        <v>0.36146990740740698</v>
      </c>
      <c r="D508" s="2">
        <v>0.42131944444444402</v>
      </c>
      <c r="E508">
        <v>86</v>
      </c>
      <c r="F508" t="s">
        <v>63</v>
      </c>
      <c r="G508" t="s">
        <v>34</v>
      </c>
      <c r="H508" t="s">
        <v>30</v>
      </c>
    </row>
    <row r="509" spans="1:8" ht="15" customHeight="1" x14ac:dyDescent="0.2">
      <c r="A509" s="1">
        <v>46254</v>
      </c>
      <c r="B509">
        <v>1</v>
      </c>
      <c r="C509" s="2">
        <v>0.68879629629629602</v>
      </c>
      <c r="D509" s="2">
        <v>0.70361111111111097</v>
      </c>
      <c r="E509">
        <v>22</v>
      </c>
      <c r="F509" t="s">
        <v>63</v>
      </c>
      <c r="G509" t="s">
        <v>28</v>
      </c>
      <c r="H509" t="s">
        <v>33</v>
      </c>
    </row>
    <row r="510" spans="1:8" ht="15" customHeight="1" x14ac:dyDescent="0.2">
      <c r="A510" s="1">
        <v>46254</v>
      </c>
      <c r="B510">
        <v>1</v>
      </c>
      <c r="C510" s="2">
        <v>0.616226851851852</v>
      </c>
      <c r="D510" s="2">
        <v>0.64269675925925895</v>
      </c>
      <c r="E510">
        <v>38</v>
      </c>
      <c r="F510" t="s">
        <v>63</v>
      </c>
      <c r="G510" t="s">
        <v>28</v>
      </c>
      <c r="H510" t="s">
        <v>37</v>
      </c>
    </row>
    <row r="511" spans="1:8" ht="15" customHeight="1" x14ac:dyDescent="0.2">
      <c r="A511" s="1">
        <v>46254</v>
      </c>
      <c r="B511">
        <v>1</v>
      </c>
      <c r="C511" s="2">
        <v>0.61560185185185201</v>
      </c>
      <c r="D511" s="2">
        <v>0.66874999999999996</v>
      </c>
      <c r="E511">
        <v>77</v>
      </c>
      <c r="F511" t="s">
        <v>69</v>
      </c>
      <c r="G511" t="s">
        <v>38</v>
      </c>
      <c r="H511" t="s">
        <v>33</v>
      </c>
    </row>
    <row r="512" spans="1:8" ht="15" customHeight="1" x14ac:dyDescent="0.2">
      <c r="A512" s="1">
        <v>46254</v>
      </c>
      <c r="B512">
        <v>1</v>
      </c>
      <c r="C512" s="2">
        <v>0.55217592592592601</v>
      </c>
      <c r="D512" s="2">
        <v>0.573622685185185</v>
      </c>
      <c r="E512">
        <v>31</v>
      </c>
      <c r="F512" t="s">
        <v>63</v>
      </c>
      <c r="G512" t="s">
        <v>28</v>
      </c>
      <c r="H512" t="s">
        <v>30</v>
      </c>
    </row>
    <row r="513" spans="1:8" ht="15" customHeight="1" x14ac:dyDescent="0.2">
      <c r="A513" s="1">
        <v>46255</v>
      </c>
      <c r="B513">
        <v>0</v>
      </c>
      <c r="C513" s="2">
        <v>0.46275462962962999</v>
      </c>
      <c r="D513" s="2">
        <v>0.53604166666666697</v>
      </c>
      <c r="E513">
        <v>105</v>
      </c>
      <c r="F513" t="s">
        <v>65</v>
      </c>
      <c r="G513" t="s">
        <v>28</v>
      </c>
      <c r="H513" t="s">
        <v>28</v>
      </c>
    </row>
    <row r="514" spans="1:8" ht="15" customHeight="1" x14ac:dyDescent="0.2">
      <c r="A514" s="1">
        <v>46255</v>
      </c>
      <c r="B514">
        <v>0</v>
      </c>
      <c r="C514" s="2">
        <v>0.54060185185185206</v>
      </c>
      <c r="D514" s="2">
        <v>0.61655092592592597</v>
      </c>
      <c r="E514">
        <v>109</v>
      </c>
      <c r="F514" t="s">
        <v>65</v>
      </c>
      <c r="G514" t="s">
        <v>28</v>
      </c>
      <c r="H514" t="s">
        <v>28</v>
      </c>
    </row>
    <row r="515" spans="1:8" ht="15" customHeight="1" x14ac:dyDescent="0.2">
      <c r="A515" s="1">
        <v>46255</v>
      </c>
      <c r="B515">
        <v>0</v>
      </c>
      <c r="C515" s="2">
        <v>0.230949074074074</v>
      </c>
      <c r="D515" s="2">
        <v>0.30778935185185202</v>
      </c>
      <c r="E515">
        <v>111</v>
      </c>
      <c r="F515" t="s">
        <v>63</v>
      </c>
      <c r="G515" t="s">
        <v>28</v>
      </c>
      <c r="H515" t="s">
        <v>33</v>
      </c>
    </row>
    <row r="516" spans="1:8" ht="15" customHeight="1" x14ac:dyDescent="0.2">
      <c r="A516" s="1">
        <v>46255</v>
      </c>
      <c r="B516">
        <v>0</v>
      </c>
      <c r="C516" s="2">
        <v>0.39818287037036998</v>
      </c>
      <c r="D516" s="2">
        <v>0.45854166666666701</v>
      </c>
      <c r="E516">
        <v>87</v>
      </c>
      <c r="F516" t="s">
        <v>63</v>
      </c>
      <c r="G516" t="s">
        <v>34</v>
      </c>
      <c r="H516" t="s">
        <v>33</v>
      </c>
    </row>
    <row r="517" spans="1:8" ht="15" customHeight="1" x14ac:dyDescent="0.2">
      <c r="A517" s="1">
        <v>46255</v>
      </c>
      <c r="B517">
        <v>0</v>
      </c>
      <c r="C517" s="2">
        <v>0.24075231481481499</v>
      </c>
      <c r="D517" s="2">
        <v>0.31101851851851903</v>
      </c>
      <c r="E517">
        <v>101</v>
      </c>
      <c r="F517" t="s">
        <v>63</v>
      </c>
      <c r="G517" t="s">
        <v>34</v>
      </c>
      <c r="H517" t="s">
        <v>33</v>
      </c>
    </row>
    <row r="518" spans="1:8" ht="15" customHeight="1" x14ac:dyDescent="0.2">
      <c r="A518" s="1">
        <v>46255</v>
      </c>
      <c r="B518">
        <v>0</v>
      </c>
      <c r="C518" s="2">
        <v>0.227662037037037</v>
      </c>
      <c r="F518" t="s">
        <v>63</v>
      </c>
      <c r="G518" t="s">
        <v>34</v>
      </c>
      <c r="H518" t="s">
        <v>44</v>
      </c>
    </row>
    <row r="519" spans="1:8" ht="15" customHeight="1" x14ac:dyDescent="0.2">
      <c r="A519" s="1">
        <v>46255</v>
      </c>
      <c r="B519">
        <v>0</v>
      </c>
      <c r="C519" s="2">
        <v>0.23299768518518499</v>
      </c>
      <c r="D519" s="2">
        <v>0.31369212962963</v>
      </c>
      <c r="E519">
        <v>116</v>
      </c>
      <c r="F519" t="s">
        <v>66</v>
      </c>
      <c r="G519" t="s">
        <v>28</v>
      </c>
      <c r="H519" t="s">
        <v>30</v>
      </c>
    </row>
    <row r="520" spans="1:8" ht="15" customHeight="1" x14ac:dyDescent="0.2">
      <c r="A520" s="1">
        <v>46255</v>
      </c>
      <c r="B520">
        <v>0</v>
      </c>
      <c r="C520" s="2">
        <v>0.37708333333333299</v>
      </c>
      <c r="D520" s="2">
        <v>0.46515046296296297</v>
      </c>
      <c r="E520">
        <v>126</v>
      </c>
      <c r="F520" t="s">
        <v>65</v>
      </c>
      <c r="G520" t="s">
        <v>28</v>
      </c>
      <c r="H520" t="s">
        <v>30</v>
      </c>
    </row>
    <row r="521" spans="1:8" ht="15" customHeight="1" x14ac:dyDescent="0.2">
      <c r="A521" s="1">
        <v>46255</v>
      </c>
      <c r="B521">
        <v>0</v>
      </c>
      <c r="C521" s="2">
        <v>0.34137731481481498</v>
      </c>
      <c r="D521" s="2">
        <v>0.43756944444444401</v>
      </c>
      <c r="E521">
        <v>139</v>
      </c>
      <c r="F521" t="s">
        <v>65</v>
      </c>
      <c r="G521" t="s">
        <v>28</v>
      </c>
      <c r="H521" t="s">
        <v>33</v>
      </c>
    </row>
    <row r="522" spans="1:8" ht="15" customHeight="1" x14ac:dyDescent="0.2">
      <c r="A522" s="1">
        <v>46255</v>
      </c>
      <c r="B522">
        <v>0</v>
      </c>
      <c r="C522" s="2">
        <v>0.43542824074074099</v>
      </c>
      <c r="D522" s="2">
        <v>0.47692129629629598</v>
      </c>
      <c r="E522">
        <v>59</v>
      </c>
      <c r="F522" t="s">
        <v>65</v>
      </c>
      <c r="G522" t="s">
        <v>28</v>
      </c>
      <c r="H522" t="s">
        <v>33</v>
      </c>
    </row>
    <row r="523" spans="1:8" ht="15" customHeight="1" x14ac:dyDescent="0.2">
      <c r="A523" s="1">
        <v>46255</v>
      </c>
      <c r="B523">
        <v>0</v>
      </c>
      <c r="C523" s="2">
        <v>0.33203703703703702</v>
      </c>
      <c r="D523" s="2">
        <v>0.37922453703703701</v>
      </c>
      <c r="E523">
        <v>68</v>
      </c>
      <c r="F523" t="s">
        <v>65</v>
      </c>
      <c r="G523" t="s">
        <v>28</v>
      </c>
      <c r="H523" t="s">
        <v>33</v>
      </c>
    </row>
    <row r="524" spans="1:8" ht="15" customHeight="1" x14ac:dyDescent="0.2">
      <c r="A524" s="1">
        <v>46255</v>
      </c>
      <c r="B524">
        <v>0</v>
      </c>
      <c r="C524" s="2">
        <v>0.40678240740740701</v>
      </c>
      <c r="D524" s="2">
        <v>0.46079861111111098</v>
      </c>
      <c r="E524">
        <v>78</v>
      </c>
      <c r="F524" t="s">
        <v>65</v>
      </c>
      <c r="G524" t="s">
        <v>28</v>
      </c>
      <c r="H524" t="s">
        <v>33</v>
      </c>
    </row>
    <row r="525" spans="1:8" ht="15" customHeight="1" x14ac:dyDescent="0.2">
      <c r="A525" s="1">
        <v>46255</v>
      </c>
      <c r="B525">
        <v>0</v>
      </c>
      <c r="C525" s="2">
        <v>0.55472222222222201</v>
      </c>
      <c r="D525" s="2">
        <v>0.61582175925925897</v>
      </c>
      <c r="E525">
        <v>88</v>
      </c>
      <c r="F525" t="s">
        <v>66</v>
      </c>
      <c r="G525" t="s">
        <v>28</v>
      </c>
      <c r="H525" t="s">
        <v>33</v>
      </c>
    </row>
    <row r="526" spans="1:8" ht="15" customHeight="1" x14ac:dyDescent="0.2">
      <c r="A526" s="1">
        <v>46255</v>
      </c>
      <c r="B526">
        <v>0</v>
      </c>
      <c r="C526" s="2">
        <v>0.49315972222222199</v>
      </c>
      <c r="D526" s="2">
        <v>0.53973379629629603</v>
      </c>
      <c r="E526">
        <v>67</v>
      </c>
      <c r="F526" t="s">
        <v>65</v>
      </c>
      <c r="G526" t="s">
        <v>28</v>
      </c>
      <c r="H526" t="s">
        <v>33</v>
      </c>
    </row>
    <row r="527" spans="1:8" ht="15" customHeight="1" x14ac:dyDescent="0.2">
      <c r="A527" s="1">
        <v>46255</v>
      </c>
      <c r="B527">
        <v>0</v>
      </c>
      <c r="C527" s="2">
        <v>0.29539351851851903</v>
      </c>
      <c r="D527" s="2">
        <v>0.42487268518518501</v>
      </c>
      <c r="E527">
        <v>186</v>
      </c>
      <c r="F527" t="s">
        <v>66</v>
      </c>
      <c r="G527" t="s">
        <v>28</v>
      </c>
      <c r="H527" t="s">
        <v>28</v>
      </c>
    </row>
    <row r="528" spans="1:8" ht="15" customHeight="1" x14ac:dyDescent="0.2">
      <c r="A528" s="1">
        <v>46255</v>
      </c>
      <c r="B528">
        <v>0</v>
      </c>
      <c r="C528" s="2">
        <v>0.493460648148148</v>
      </c>
      <c r="D528" s="2">
        <v>0.58181712962962995</v>
      </c>
      <c r="E528">
        <v>127</v>
      </c>
      <c r="F528" t="s">
        <v>65</v>
      </c>
      <c r="G528" t="s">
        <v>28</v>
      </c>
      <c r="H528" t="s">
        <v>28</v>
      </c>
    </row>
    <row r="529" spans="1:8" ht="15" customHeight="1" x14ac:dyDescent="0.2">
      <c r="A529" s="1">
        <v>46255</v>
      </c>
      <c r="B529">
        <v>0</v>
      </c>
      <c r="C529" s="2">
        <v>0.44651620370370398</v>
      </c>
      <c r="D529" s="2">
        <v>0.53116898148148195</v>
      </c>
      <c r="E529">
        <v>122</v>
      </c>
      <c r="F529" t="s">
        <v>65</v>
      </c>
      <c r="G529" t="s">
        <v>28</v>
      </c>
      <c r="H529" t="s">
        <v>28</v>
      </c>
    </row>
    <row r="530" spans="1:8" ht="15" customHeight="1" x14ac:dyDescent="0.2">
      <c r="A530" s="1">
        <v>46255</v>
      </c>
      <c r="B530">
        <v>0</v>
      </c>
      <c r="C530" s="2">
        <v>0.25884259259259301</v>
      </c>
      <c r="D530" s="2">
        <v>0.30708333333333299</v>
      </c>
      <c r="E530">
        <v>70</v>
      </c>
      <c r="F530" t="s">
        <v>66</v>
      </c>
      <c r="G530" t="s">
        <v>28</v>
      </c>
      <c r="H530" t="s">
        <v>28</v>
      </c>
    </row>
    <row r="531" spans="1:8" ht="15" customHeight="1" x14ac:dyDescent="0.2">
      <c r="A531" s="1">
        <v>46255</v>
      </c>
      <c r="B531">
        <v>0</v>
      </c>
      <c r="C531" s="2">
        <v>0.36787037037037001</v>
      </c>
      <c r="D531" s="2">
        <v>0.484722222222222</v>
      </c>
      <c r="E531">
        <v>169</v>
      </c>
      <c r="F531" t="s">
        <v>65</v>
      </c>
      <c r="G531" t="s">
        <v>28</v>
      </c>
      <c r="H531" t="s">
        <v>28</v>
      </c>
    </row>
    <row r="532" spans="1:8" ht="15" customHeight="1" x14ac:dyDescent="0.2">
      <c r="A532" s="1">
        <v>46255</v>
      </c>
      <c r="B532">
        <v>0</v>
      </c>
      <c r="C532" s="2">
        <v>0.26045138888888902</v>
      </c>
      <c r="D532" s="2">
        <v>0.30868055555555601</v>
      </c>
      <c r="E532">
        <v>69</v>
      </c>
      <c r="F532" t="s">
        <v>68</v>
      </c>
      <c r="G532" t="s">
        <v>34</v>
      </c>
      <c r="H532" t="s">
        <v>30</v>
      </c>
    </row>
    <row r="533" spans="1:8" ht="15" customHeight="1" x14ac:dyDescent="0.2">
      <c r="A533" s="1">
        <v>46255</v>
      </c>
      <c r="B533">
        <v>0</v>
      </c>
      <c r="C533" s="2">
        <v>0.35350694444444403</v>
      </c>
      <c r="D533" s="2">
        <v>0.44902777777777803</v>
      </c>
      <c r="E533">
        <v>137</v>
      </c>
      <c r="F533" t="s">
        <v>65</v>
      </c>
      <c r="G533" t="s">
        <v>28</v>
      </c>
      <c r="H533" t="s">
        <v>28</v>
      </c>
    </row>
    <row r="534" spans="1:8" ht="15" customHeight="1" x14ac:dyDescent="0.2">
      <c r="A534" s="1">
        <v>46255</v>
      </c>
      <c r="B534">
        <v>0</v>
      </c>
      <c r="C534" s="2">
        <v>0.599212962962963</v>
      </c>
      <c r="D534" s="2">
        <v>0.66968749999999999</v>
      </c>
      <c r="E534">
        <v>102</v>
      </c>
      <c r="F534" t="s">
        <v>65</v>
      </c>
      <c r="G534" t="s">
        <v>28</v>
      </c>
      <c r="H534" t="s">
        <v>28</v>
      </c>
    </row>
    <row r="535" spans="1:8" ht="15" customHeight="1" x14ac:dyDescent="0.2">
      <c r="A535" s="1">
        <v>46255</v>
      </c>
      <c r="B535">
        <v>0</v>
      </c>
      <c r="C535" s="2">
        <v>0.46495370370370398</v>
      </c>
      <c r="D535" s="2">
        <v>0.53305555555555595</v>
      </c>
      <c r="E535">
        <v>98</v>
      </c>
      <c r="F535" t="s">
        <v>65</v>
      </c>
      <c r="G535" t="s">
        <v>28</v>
      </c>
      <c r="H535" t="s">
        <v>33</v>
      </c>
    </row>
    <row r="536" spans="1:8" ht="15" customHeight="1" x14ac:dyDescent="0.2">
      <c r="A536" s="1">
        <v>46255</v>
      </c>
      <c r="B536">
        <v>0</v>
      </c>
      <c r="C536" s="2">
        <v>0.51501157407407405</v>
      </c>
      <c r="D536" s="2">
        <v>0.57439814814814805</v>
      </c>
      <c r="E536">
        <v>86</v>
      </c>
      <c r="F536" t="s">
        <v>65</v>
      </c>
      <c r="G536" t="s">
        <v>28</v>
      </c>
      <c r="H536" t="s">
        <v>33</v>
      </c>
    </row>
    <row r="537" spans="1:8" ht="15" customHeight="1" x14ac:dyDescent="0.2">
      <c r="A537" s="1">
        <v>46255</v>
      </c>
      <c r="B537">
        <v>0</v>
      </c>
      <c r="C537" s="2">
        <v>0.58333333333333304</v>
      </c>
      <c r="D537" s="2">
        <v>0.64600694444444395</v>
      </c>
      <c r="E537">
        <v>90</v>
      </c>
      <c r="F537" t="s">
        <v>65</v>
      </c>
      <c r="G537" t="s">
        <v>28</v>
      </c>
      <c r="H537" t="s">
        <v>33</v>
      </c>
    </row>
    <row r="538" spans="1:8" ht="15" customHeight="1" x14ac:dyDescent="0.2">
      <c r="A538" s="1">
        <v>46255</v>
      </c>
      <c r="B538">
        <v>0</v>
      </c>
      <c r="C538" s="2">
        <v>0.43525462962963002</v>
      </c>
      <c r="D538" s="2">
        <v>0.49452546296296301</v>
      </c>
      <c r="E538">
        <v>86</v>
      </c>
      <c r="F538" t="s">
        <v>63</v>
      </c>
      <c r="G538" t="s">
        <v>28</v>
      </c>
      <c r="H538" t="s">
        <v>28</v>
      </c>
    </row>
    <row r="539" spans="1:8" ht="15" customHeight="1" x14ac:dyDescent="0.2">
      <c r="A539" s="1">
        <v>46255</v>
      </c>
      <c r="B539">
        <v>0</v>
      </c>
      <c r="C539" s="2">
        <v>0.56762731481481499</v>
      </c>
      <c r="D539" s="2">
        <v>0.58681712962962995</v>
      </c>
      <c r="E539">
        <v>28</v>
      </c>
      <c r="F539" t="s">
        <v>63</v>
      </c>
      <c r="G539" t="s">
        <v>34</v>
      </c>
      <c r="H539" t="s">
        <v>28</v>
      </c>
    </row>
    <row r="540" spans="1:8" ht="15" customHeight="1" x14ac:dyDescent="0.2">
      <c r="A540" s="1">
        <v>46255</v>
      </c>
      <c r="B540">
        <v>0</v>
      </c>
      <c r="C540" s="2">
        <v>0.287060185185185</v>
      </c>
      <c r="D540" s="2">
        <v>0.31501157407407399</v>
      </c>
      <c r="E540">
        <v>40</v>
      </c>
      <c r="F540" t="s">
        <v>63</v>
      </c>
      <c r="G540" t="s">
        <v>28</v>
      </c>
      <c r="H540" t="s">
        <v>47</v>
      </c>
    </row>
    <row r="541" spans="1:8" ht="15" customHeight="1" x14ac:dyDescent="0.2">
      <c r="A541" s="1">
        <v>46255</v>
      </c>
      <c r="B541">
        <v>0</v>
      </c>
      <c r="C541" s="2">
        <v>0.59773148148148103</v>
      </c>
      <c r="D541" s="2">
        <v>0.64583333333333304</v>
      </c>
      <c r="E541">
        <v>70</v>
      </c>
      <c r="F541" t="s">
        <v>63</v>
      </c>
      <c r="G541" t="s">
        <v>28</v>
      </c>
      <c r="H541" t="s">
        <v>28</v>
      </c>
    </row>
    <row r="542" spans="1:8" ht="15" customHeight="1" x14ac:dyDescent="0.2">
      <c r="A542" s="1">
        <v>46255</v>
      </c>
      <c r="B542">
        <v>0</v>
      </c>
      <c r="C542" s="2">
        <v>0.37956018518518497</v>
      </c>
      <c r="D542" s="2">
        <v>0.42537037037037001</v>
      </c>
      <c r="E542">
        <v>66</v>
      </c>
      <c r="F542" t="s">
        <v>63</v>
      </c>
      <c r="G542" t="s">
        <v>28</v>
      </c>
      <c r="H542" t="s">
        <v>52</v>
      </c>
    </row>
    <row r="543" spans="1:8" ht="15" customHeight="1" x14ac:dyDescent="0.2">
      <c r="A543" s="1">
        <v>46255</v>
      </c>
      <c r="B543">
        <v>0</v>
      </c>
      <c r="C543" s="2">
        <v>0.49329861111111101</v>
      </c>
      <c r="D543" s="2">
        <v>0.52539351851851901</v>
      </c>
      <c r="E543">
        <v>46</v>
      </c>
      <c r="F543" t="s">
        <v>63</v>
      </c>
      <c r="G543" t="s">
        <v>34</v>
      </c>
      <c r="H543" t="s">
        <v>30</v>
      </c>
    </row>
    <row r="544" spans="1:8" ht="15" customHeight="1" x14ac:dyDescent="0.2">
      <c r="A544" s="1">
        <v>46255</v>
      </c>
      <c r="B544">
        <v>1</v>
      </c>
      <c r="C544" s="2">
        <v>0.57607638888888901</v>
      </c>
      <c r="D544" s="2">
        <v>0.65625</v>
      </c>
      <c r="E544">
        <v>116</v>
      </c>
      <c r="F544" t="s">
        <v>63</v>
      </c>
      <c r="G544" t="s">
        <v>34</v>
      </c>
      <c r="H544" t="s">
        <v>30</v>
      </c>
    </row>
    <row r="545" spans="1:8" ht="15" customHeight="1" x14ac:dyDescent="0.2">
      <c r="A545" s="1">
        <v>46255</v>
      </c>
      <c r="B545">
        <v>1</v>
      </c>
      <c r="C545" s="2">
        <v>0.68679398148148196</v>
      </c>
      <c r="D545" s="2">
        <v>0.71959490740740695</v>
      </c>
      <c r="E545">
        <v>48</v>
      </c>
      <c r="F545" t="s">
        <v>63</v>
      </c>
      <c r="G545" t="s">
        <v>28</v>
      </c>
      <c r="H545" t="s">
        <v>30</v>
      </c>
    </row>
    <row r="546" spans="1:8" ht="15" customHeight="1" x14ac:dyDescent="0.2">
      <c r="A546" s="1">
        <v>46255</v>
      </c>
      <c r="B546">
        <v>1</v>
      </c>
      <c r="C546" s="2">
        <v>0.37071759259259301</v>
      </c>
      <c r="D546" s="2">
        <v>0.44251157407407399</v>
      </c>
      <c r="E546">
        <v>104</v>
      </c>
      <c r="F546" t="s">
        <v>66</v>
      </c>
      <c r="G546" t="s">
        <v>28</v>
      </c>
      <c r="H546" t="s">
        <v>28</v>
      </c>
    </row>
    <row r="547" spans="1:8" ht="15" customHeight="1" x14ac:dyDescent="0.2">
      <c r="A547" s="1">
        <v>46255</v>
      </c>
      <c r="B547">
        <v>1</v>
      </c>
      <c r="C547" s="2">
        <v>0.72553240740740699</v>
      </c>
      <c r="D547" s="2">
        <v>0.76630787037036996</v>
      </c>
      <c r="E547">
        <v>59</v>
      </c>
      <c r="F547" t="s">
        <v>63</v>
      </c>
      <c r="G547" t="s">
        <v>28</v>
      </c>
      <c r="H547" t="s">
        <v>51</v>
      </c>
    </row>
    <row r="548" spans="1:8" ht="15" customHeight="1" x14ac:dyDescent="0.2">
      <c r="A548" s="1">
        <v>46255</v>
      </c>
      <c r="B548">
        <v>1</v>
      </c>
      <c r="C548" s="2">
        <v>0.52625</v>
      </c>
      <c r="D548" s="2">
        <v>0.56493055555555605</v>
      </c>
      <c r="E548">
        <v>56</v>
      </c>
      <c r="F548" t="s">
        <v>63</v>
      </c>
      <c r="G548" t="s">
        <v>28</v>
      </c>
      <c r="H548" t="s">
        <v>28</v>
      </c>
    </row>
    <row r="549" spans="1:8" ht="15" customHeight="1" x14ac:dyDescent="0.2">
      <c r="A549" s="1">
        <v>46255</v>
      </c>
      <c r="B549">
        <v>1</v>
      </c>
      <c r="C549" s="2">
        <v>0.62675925925925902</v>
      </c>
      <c r="D549" s="2">
        <v>0.65972222222222199</v>
      </c>
      <c r="E549">
        <v>48</v>
      </c>
      <c r="F549" t="s">
        <v>63</v>
      </c>
      <c r="G549" t="s">
        <v>28</v>
      </c>
      <c r="H549" t="s">
        <v>39</v>
      </c>
    </row>
    <row r="550" spans="1:8" ht="15" customHeight="1" x14ac:dyDescent="0.2">
      <c r="A550" s="1">
        <v>46255</v>
      </c>
      <c r="B550">
        <v>1</v>
      </c>
      <c r="C550" s="2">
        <v>0.61151620370370396</v>
      </c>
      <c r="D550" s="2">
        <v>0.68005787037037002</v>
      </c>
      <c r="E550">
        <v>99</v>
      </c>
      <c r="F550" t="s">
        <v>66</v>
      </c>
      <c r="G550" t="s">
        <v>28</v>
      </c>
      <c r="H550" t="s">
        <v>28</v>
      </c>
    </row>
    <row r="551" spans="1:8" ht="15" customHeight="1" x14ac:dyDescent="0.2">
      <c r="A551" s="1">
        <v>46255</v>
      </c>
      <c r="B551">
        <v>0</v>
      </c>
      <c r="C551" s="2">
        <v>0.240532407407407</v>
      </c>
      <c r="D551" s="2">
        <v>0.31458333333333299</v>
      </c>
      <c r="E551">
        <v>107</v>
      </c>
      <c r="F551" t="s">
        <v>65</v>
      </c>
      <c r="G551" t="s">
        <v>34</v>
      </c>
      <c r="H551" t="s">
        <v>28</v>
      </c>
    </row>
    <row r="552" spans="1:8" ht="15" customHeight="1" x14ac:dyDescent="0.2">
      <c r="A552" s="1">
        <v>46255</v>
      </c>
      <c r="B552">
        <v>0</v>
      </c>
      <c r="C552" s="2">
        <v>0.24187500000000001</v>
      </c>
      <c r="D552" s="2">
        <v>0.31396990740740699</v>
      </c>
      <c r="E552">
        <v>104</v>
      </c>
      <c r="F552" t="s">
        <v>65</v>
      </c>
      <c r="G552" t="s">
        <v>28</v>
      </c>
      <c r="H552" t="s">
        <v>33</v>
      </c>
    </row>
    <row r="553" spans="1:8" ht="15" customHeight="1" x14ac:dyDescent="0.2">
      <c r="A553" s="1">
        <v>46256</v>
      </c>
      <c r="B553">
        <v>0</v>
      </c>
      <c r="C553" s="2">
        <v>0.28680555555555598</v>
      </c>
      <c r="D553" s="2">
        <v>0.31944444444444398</v>
      </c>
      <c r="E553">
        <v>47</v>
      </c>
      <c r="F553" t="s">
        <v>63</v>
      </c>
      <c r="G553" t="s">
        <v>28</v>
      </c>
      <c r="H553" t="s">
        <v>30</v>
      </c>
    </row>
    <row r="554" spans="1:8" ht="15" customHeight="1" x14ac:dyDescent="0.2">
      <c r="A554" s="1">
        <v>46256</v>
      </c>
      <c r="B554">
        <v>0</v>
      </c>
      <c r="C554" s="2">
        <v>0.27951388888888901</v>
      </c>
      <c r="D554" s="2">
        <v>0.37847222222222199</v>
      </c>
      <c r="E554">
        <v>143</v>
      </c>
      <c r="F554" t="s">
        <v>63</v>
      </c>
      <c r="G554" t="s">
        <v>28</v>
      </c>
      <c r="H554" t="s">
        <v>30</v>
      </c>
    </row>
    <row r="555" spans="1:8" ht="15" customHeight="1" x14ac:dyDescent="0.2">
      <c r="A555" s="1">
        <v>46256</v>
      </c>
      <c r="B555">
        <v>0</v>
      </c>
      <c r="C555" s="2">
        <v>0.63359953703703698</v>
      </c>
      <c r="D555" s="2">
        <v>0.65547453703703695</v>
      </c>
      <c r="E555">
        <v>31</v>
      </c>
      <c r="F555" t="s">
        <v>63</v>
      </c>
      <c r="G555" t="s">
        <v>38</v>
      </c>
      <c r="H555" t="s">
        <v>37</v>
      </c>
    </row>
    <row r="556" spans="1:8" ht="15" customHeight="1" x14ac:dyDescent="0.2">
      <c r="A556" s="1">
        <v>46256</v>
      </c>
      <c r="B556">
        <v>1</v>
      </c>
      <c r="C556" s="2">
        <v>0.39930555555555602</v>
      </c>
      <c r="D556" s="2">
        <v>0.41944444444444401</v>
      </c>
      <c r="E556">
        <v>29</v>
      </c>
      <c r="F556" t="s">
        <v>63</v>
      </c>
      <c r="G556" t="s">
        <v>34</v>
      </c>
      <c r="H556" t="s">
        <v>30</v>
      </c>
    </row>
    <row r="557" spans="1:8" ht="15" customHeight="1" x14ac:dyDescent="0.2">
      <c r="A557" s="1">
        <v>46256</v>
      </c>
      <c r="B557">
        <v>1</v>
      </c>
      <c r="C557" s="2">
        <v>0.485416666666667</v>
      </c>
      <c r="F557" t="s">
        <v>63</v>
      </c>
      <c r="G557" t="s">
        <v>34</v>
      </c>
      <c r="H557" t="s">
        <v>30</v>
      </c>
    </row>
    <row r="558" spans="1:8" ht="15" customHeight="1" x14ac:dyDescent="0.2">
      <c r="A558" s="1">
        <v>46256</v>
      </c>
      <c r="B558">
        <v>1</v>
      </c>
      <c r="C558" s="2">
        <v>0.44204861111111099</v>
      </c>
      <c r="D558" s="2">
        <v>0.48219907407407397</v>
      </c>
      <c r="E558">
        <v>58</v>
      </c>
      <c r="F558" t="s">
        <v>66</v>
      </c>
      <c r="G558" t="s">
        <v>28</v>
      </c>
      <c r="H558" t="s">
        <v>33</v>
      </c>
    </row>
    <row r="559" spans="1:8" ht="15" customHeight="1" x14ac:dyDescent="0.2">
      <c r="A559" s="1">
        <v>46256</v>
      </c>
      <c r="B559">
        <v>1</v>
      </c>
      <c r="C559" s="2">
        <v>0.57686342592592599</v>
      </c>
      <c r="D559" s="2">
        <v>0.597523148148148</v>
      </c>
      <c r="E559">
        <v>30</v>
      </c>
      <c r="F559" t="s">
        <v>63</v>
      </c>
      <c r="G559" t="s">
        <v>28</v>
      </c>
      <c r="H559" t="s">
        <v>37</v>
      </c>
    </row>
    <row r="560" spans="1:8" ht="15" customHeight="1" x14ac:dyDescent="0.2">
      <c r="A560" s="1">
        <v>46256</v>
      </c>
      <c r="B560">
        <v>1</v>
      </c>
      <c r="C560" s="2">
        <v>0.69861111111111096</v>
      </c>
      <c r="D560" s="2">
        <v>0.72430555555555598</v>
      </c>
      <c r="E560">
        <v>37</v>
      </c>
      <c r="F560" t="s">
        <v>63</v>
      </c>
      <c r="G560" t="s">
        <v>28</v>
      </c>
      <c r="H560" t="s">
        <v>28</v>
      </c>
    </row>
    <row r="561" spans="1:8" ht="15" customHeight="1" x14ac:dyDescent="0.2">
      <c r="A561" s="1">
        <v>46257</v>
      </c>
      <c r="B561">
        <v>1</v>
      </c>
      <c r="C561" s="2">
        <v>0.39989583333333301</v>
      </c>
      <c r="D561" s="2">
        <v>0.41793981481481501</v>
      </c>
      <c r="E561">
        <v>26</v>
      </c>
      <c r="F561" t="s">
        <v>63</v>
      </c>
      <c r="G561" t="s">
        <v>28</v>
      </c>
      <c r="H561" t="s">
        <v>52</v>
      </c>
    </row>
    <row r="562" spans="1:8" ht="15" customHeight="1" x14ac:dyDescent="0.2">
      <c r="A562" s="1">
        <v>46257</v>
      </c>
      <c r="B562">
        <v>1</v>
      </c>
      <c r="C562" s="2">
        <v>0.32163194444444398</v>
      </c>
      <c r="D562" s="2">
        <v>0.35663194444444402</v>
      </c>
      <c r="E562">
        <v>50</v>
      </c>
      <c r="F562" t="s">
        <v>63</v>
      </c>
      <c r="G562" t="s">
        <v>28</v>
      </c>
      <c r="H562" t="s">
        <v>33</v>
      </c>
    </row>
    <row r="563" spans="1:8" ht="15" customHeight="1" x14ac:dyDescent="0.2">
      <c r="A563" s="1">
        <v>46257</v>
      </c>
      <c r="B563">
        <v>1</v>
      </c>
      <c r="C563" s="2">
        <v>0.499537037037037</v>
      </c>
      <c r="D563" s="2">
        <v>0.52291666666666703</v>
      </c>
      <c r="E563">
        <v>34</v>
      </c>
      <c r="F563" t="s">
        <v>63</v>
      </c>
      <c r="G563" t="s">
        <v>28</v>
      </c>
      <c r="H563" t="s">
        <v>30</v>
      </c>
    </row>
    <row r="564" spans="1:8" ht="15" customHeight="1" x14ac:dyDescent="0.2">
      <c r="A564" s="1">
        <v>46257</v>
      </c>
      <c r="B564">
        <v>1</v>
      </c>
      <c r="C564" s="2">
        <v>0.52858796296296295</v>
      </c>
      <c r="D564" s="2">
        <v>0.59046296296296297</v>
      </c>
      <c r="E564">
        <v>89</v>
      </c>
      <c r="F564" t="s">
        <v>63</v>
      </c>
      <c r="G564" t="s">
        <v>28</v>
      </c>
      <c r="H564" t="s">
        <v>28</v>
      </c>
    </row>
    <row r="565" spans="1:8" ht="15" customHeight="1" x14ac:dyDescent="0.2">
      <c r="A565" s="1">
        <v>46257</v>
      </c>
      <c r="B565">
        <v>1</v>
      </c>
      <c r="C565" s="2">
        <v>0.41266203703703702</v>
      </c>
      <c r="D565" s="2">
        <v>0.42842592592592599</v>
      </c>
      <c r="E565">
        <v>22</v>
      </c>
      <c r="F565" t="s">
        <v>63</v>
      </c>
      <c r="G565" t="s">
        <v>34</v>
      </c>
      <c r="H565" t="s">
        <v>28</v>
      </c>
    </row>
    <row r="566" spans="1:8" ht="15" customHeight="1" x14ac:dyDescent="0.2">
      <c r="A566" s="1">
        <v>46257</v>
      </c>
      <c r="B566">
        <v>1</v>
      </c>
      <c r="C566" s="2">
        <v>0.62131944444444398</v>
      </c>
      <c r="D566" s="2">
        <v>0.66672453703703705</v>
      </c>
      <c r="E566">
        <v>66</v>
      </c>
      <c r="F566" t="s">
        <v>63</v>
      </c>
      <c r="G566" t="s">
        <v>28</v>
      </c>
      <c r="H566" t="s">
        <v>30</v>
      </c>
    </row>
    <row r="567" spans="1:8" ht="15" customHeight="1" x14ac:dyDescent="0.2">
      <c r="A567" s="1">
        <v>46258</v>
      </c>
      <c r="B567">
        <v>0</v>
      </c>
      <c r="C567" s="2">
        <v>0.27210648148148098</v>
      </c>
      <c r="D567" s="2">
        <v>0.32497685185185199</v>
      </c>
      <c r="E567">
        <v>76</v>
      </c>
      <c r="F567" t="s">
        <v>66</v>
      </c>
      <c r="G567" t="s">
        <v>28</v>
      </c>
      <c r="H567" t="s">
        <v>37</v>
      </c>
    </row>
    <row r="568" spans="1:8" ht="15" customHeight="1" x14ac:dyDescent="0.2">
      <c r="A568" s="1">
        <v>46258</v>
      </c>
      <c r="B568">
        <v>0</v>
      </c>
      <c r="C568" s="2">
        <v>0.31643518518518499</v>
      </c>
      <c r="D568" s="2">
        <v>0.37547453703703698</v>
      </c>
      <c r="E568">
        <v>85</v>
      </c>
      <c r="F568" t="s">
        <v>65</v>
      </c>
      <c r="G568" t="s">
        <v>28</v>
      </c>
      <c r="H568" t="s">
        <v>45</v>
      </c>
    </row>
    <row r="569" spans="1:8" ht="15" customHeight="1" x14ac:dyDescent="0.2">
      <c r="A569" s="1">
        <v>46258</v>
      </c>
      <c r="B569">
        <v>0</v>
      </c>
      <c r="C569" s="2">
        <v>0.27322916666666702</v>
      </c>
      <c r="D569" s="2">
        <v>0.31087962962963001</v>
      </c>
      <c r="E569">
        <v>54</v>
      </c>
      <c r="F569" t="s">
        <v>63</v>
      </c>
      <c r="G569" t="s">
        <v>34</v>
      </c>
      <c r="H569" t="s">
        <v>44</v>
      </c>
    </row>
    <row r="570" spans="1:8" ht="15" customHeight="1" x14ac:dyDescent="0.2">
      <c r="A570" s="1">
        <v>46258</v>
      </c>
      <c r="B570">
        <v>0</v>
      </c>
      <c r="C570" s="2">
        <v>0.25363425925925898</v>
      </c>
      <c r="D570" s="2">
        <v>0.32417824074074097</v>
      </c>
      <c r="E570">
        <v>101</v>
      </c>
      <c r="F570" t="s">
        <v>65</v>
      </c>
      <c r="G570" t="s">
        <v>28</v>
      </c>
      <c r="H570" t="s">
        <v>30</v>
      </c>
    </row>
    <row r="571" spans="1:8" ht="15" customHeight="1" x14ac:dyDescent="0.2">
      <c r="A571" s="1">
        <v>46258</v>
      </c>
      <c r="B571">
        <v>0</v>
      </c>
      <c r="C571" s="2">
        <v>0.36587962962963</v>
      </c>
      <c r="D571" s="2">
        <v>0.45833333333333298</v>
      </c>
      <c r="E571">
        <v>134</v>
      </c>
      <c r="F571" t="s">
        <v>65</v>
      </c>
      <c r="G571" t="s">
        <v>28</v>
      </c>
      <c r="H571" t="s">
        <v>30</v>
      </c>
    </row>
    <row r="572" spans="1:8" ht="15" customHeight="1" x14ac:dyDescent="0.2">
      <c r="A572" s="1">
        <v>46258</v>
      </c>
      <c r="B572">
        <v>0</v>
      </c>
      <c r="C572" s="2">
        <v>0.52777777777777801</v>
      </c>
      <c r="D572" s="2">
        <v>0.60297453703703696</v>
      </c>
      <c r="E572">
        <v>108</v>
      </c>
      <c r="F572" t="s">
        <v>65</v>
      </c>
      <c r="G572" t="s">
        <v>28</v>
      </c>
      <c r="H572" t="s">
        <v>46</v>
      </c>
    </row>
    <row r="573" spans="1:8" ht="15" customHeight="1" x14ac:dyDescent="0.2">
      <c r="A573" s="1">
        <v>46258</v>
      </c>
      <c r="B573">
        <v>0</v>
      </c>
      <c r="C573" s="2">
        <v>0.51519675925925901</v>
      </c>
      <c r="D573" s="2">
        <v>0.55417824074074096</v>
      </c>
      <c r="E573">
        <v>57</v>
      </c>
      <c r="F573" t="s">
        <v>66</v>
      </c>
      <c r="G573" t="s">
        <v>28</v>
      </c>
      <c r="H573" t="s">
        <v>37</v>
      </c>
    </row>
    <row r="574" spans="1:8" ht="15" customHeight="1" x14ac:dyDescent="0.2">
      <c r="A574" s="1">
        <v>46258</v>
      </c>
      <c r="B574">
        <v>0</v>
      </c>
      <c r="C574" s="2">
        <v>0.260046296296296</v>
      </c>
      <c r="D574" s="2">
        <v>0.342060185185185</v>
      </c>
      <c r="E574">
        <v>118</v>
      </c>
      <c r="F574" t="s">
        <v>66</v>
      </c>
      <c r="G574" t="s">
        <v>28</v>
      </c>
      <c r="H574" t="s">
        <v>33</v>
      </c>
    </row>
    <row r="575" spans="1:8" ht="15" customHeight="1" x14ac:dyDescent="0.2">
      <c r="A575" s="1">
        <v>46258</v>
      </c>
      <c r="B575">
        <v>0</v>
      </c>
      <c r="C575" s="2">
        <v>0.38730324074074102</v>
      </c>
      <c r="D575" s="2">
        <v>0.48549768518518499</v>
      </c>
      <c r="E575">
        <v>142</v>
      </c>
      <c r="F575" t="s">
        <v>65</v>
      </c>
      <c r="G575" t="s">
        <v>28</v>
      </c>
      <c r="H575" t="s">
        <v>30</v>
      </c>
    </row>
    <row r="576" spans="1:8" ht="15" customHeight="1" x14ac:dyDescent="0.2">
      <c r="A576" s="1">
        <v>46258</v>
      </c>
      <c r="B576">
        <v>0</v>
      </c>
      <c r="C576" s="2">
        <v>0.37160879629629601</v>
      </c>
      <c r="D576" s="2">
        <v>0.44097222222222199</v>
      </c>
      <c r="E576">
        <v>100</v>
      </c>
      <c r="F576" t="s">
        <v>65</v>
      </c>
      <c r="G576" t="s">
        <v>28</v>
      </c>
      <c r="H576" t="s">
        <v>45</v>
      </c>
    </row>
    <row r="577" spans="1:8" ht="15" customHeight="1" x14ac:dyDescent="0.2">
      <c r="A577" s="1">
        <v>46258</v>
      </c>
      <c r="B577">
        <v>0</v>
      </c>
      <c r="C577" s="2">
        <v>0.29513888888888901</v>
      </c>
      <c r="D577" s="2">
        <v>0.32638888888888901</v>
      </c>
      <c r="E577">
        <v>45</v>
      </c>
      <c r="F577" t="s">
        <v>65</v>
      </c>
      <c r="G577" t="s">
        <v>38</v>
      </c>
      <c r="H577" t="s">
        <v>30</v>
      </c>
    </row>
    <row r="578" spans="1:8" ht="15" customHeight="1" x14ac:dyDescent="0.2">
      <c r="A578" s="1">
        <v>46258</v>
      </c>
      <c r="B578">
        <v>0</v>
      </c>
      <c r="C578" s="2">
        <v>0.27083333333333298</v>
      </c>
      <c r="D578" s="2">
        <v>0.32581018518518501</v>
      </c>
      <c r="E578">
        <v>79</v>
      </c>
      <c r="F578" t="s">
        <v>65</v>
      </c>
      <c r="G578" t="s">
        <v>28</v>
      </c>
      <c r="H578" t="s">
        <v>30</v>
      </c>
    </row>
    <row r="579" spans="1:8" ht="15" customHeight="1" x14ac:dyDescent="0.2">
      <c r="A579" s="1">
        <v>46258</v>
      </c>
      <c r="B579">
        <v>0</v>
      </c>
      <c r="C579" s="2">
        <v>0.44979166666666698</v>
      </c>
      <c r="D579" s="2">
        <v>0.50694444444444398</v>
      </c>
      <c r="E579">
        <v>83</v>
      </c>
      <c r="F579" t="s">
        <v>65</v>
      </c>
      <c r="G579" t="s">
        <v>28</v>
      </c>
      <c r="H579" t="s">
        <v>45</v>
      </c>
    </row>
    <row r="580" spans="1:8" ht="15" customHeight="1" x14ac:dyDescent="0.2">
      <c r="A580" s="1">
        <v>46258</v>
      </c>
      <c r="B580">
        <v>0</v>
      </c>
      <c r="C580" s="2">
        <v>0.50108796296296299</v>
      </c>
      <c r="D580" s="2">
        <v>0.53556712962963005</v>
      </c>
      <c r="E580">
        <v>50</v>
      </c>
      <c r="F580" t="s">
        <v>65</v>
      </c>
      <c r="G580" t="s">
        <v>28</v>
      </c>
      <c r="H580" t="s">
        <v>33</v>
      </c>
    </row>
    <row r="581" spans="1:8" ht="15" customHeight="1" x14ac:dyDescent="0.2">
      <c r="A581" s="1">
        <v>46258</v>
      </c>
      <c r="B581">
        <v>0</v>
      </c>
      <c r="C581" s="2">
        <v>0.47854166666666698</v>
      </c>
      <c r="D581" s="2">
        <v>0.56533564814814796</v>
      </c>
      <c r="E581">
        <v>125</v>
      </c>
      <c r="F581" t="s">
        <v>63</v>
      </c>
      <c r="G581" t="s">
        <v>28</v>
      </c>
      <c r="H581" t="s">
        <v>28</v>
      </c>
    </row>
    <row r="582" spans="1:8" ht="15" customHeight="1" x14ac:dyDescent="0.2">
      <c r="A582" s="1">
        <v>46258</v>
      </c>
      <c r="B582">
        <v>0</v>
      </c>
      <c r="C582" s="2">
        <v>0.32329861111111102</v>
      </c>
      <c r="D582" s="2">
        <v>0.36067129629629602</v>
      </c>
      <c r="E582">
        <v>54</v>
      </c>
      <c r="F582" t="s">
        <v>63</v>
      </c>
      <c r="G582" t="s">
        <v>28</v>
      </c>
      <c r="H582" t="s">
        <v>28</v>
      </c>
    </row>
    <row r="583" spans="1:8" ht="15" customHeight="1" x14ac:dyDescent="0.2">
      <c r="A583" s="1">
        <v>46258</v>
      </c>
      <c r="B583">
        <v>0</v>
      </c>
      <c r="C583" s="2">
        <v>0.453587962962963</v>
      </c>
      <c r="D583" s="2">
        <v>0.52083333333333304</v>
      </c>
      <c r="E583">
        <v>97</v>
      </c>
      <c r="F583" t="s">
        <v>65</v>
      </c>
      <c r="G583" t="s">
        <v>34</v>
      </c>
      <c r="H583" t="s">
        <v>30</v>
      </c>
    </row>
    <row r="584" spans="1:8" ht="15" customHeight="1" x14ac:dyDescent="0.2">
      <c r="A584" s="1">
        <v>46258</v>
      </c>
      <c r="B584">
        <v>0</v>
      </c>
      <c r="C584" s="2">
        <v>0.40875</v>
      </c>
      <c r="D584" s="2">
        <v>0.464513888888889</v>
      </c>
      <c r="E584">
        <v>80</v>
      </c>
      <c r="F584" t="s">
        <v>63</v>
      </c>
      <c r="G584" t="s">
        <v>28</v>
      </c>
      <c r="H584" t="s">
        <v>28</v>
      </c>
    </row>
    <row r="585" spans="1:8" ht="15" customHeight="1" x14ac:dyDescent="0.2">
      <c r="A585" s="1">
        <v>46258</v>
      </c>
      <c r="B585">
        <v>0</v>
      </c>
      <c r="C585" s="2">
        <v>0.37152777777777801</v>
      </c>
      <c r="D585" s="2">
        <v>0.400439814814815</v>
      </c>
      <c r="E585">
        <v>41</v>
      </c>
      <c r="F585" t="s">
        <v>63</v>
      </c>
      <c r="G585" t="s">
        <v>28</v>
      </c>
      <c r="H585" t="s">
        <v>41</v>
      </c>
    </row>
    <row r="586" spans="1:8" ht="15" customHeight="1" x14ac:dyDescent="0.2">
      <c r="A586" s="1">
        <v>46258</v>
      </c>
      <c r="B586">
        <v>1</v>
      </c>
      <c r="C586" s="2">
        <v>0.53814814814814804</v>
      </c>
      <c r="D586" s="2">
        <v>0.561805555555556</v>
      </c>
      <c r="E586">
        <v>35</v>
      </c>
      <c r="F586" t="s">
        <v>63</v>
      </c>
      <c r="G586" t="s">
        <v>28</v>
      </c>
      <c r="H586" t="s">
        <v>49</v>
      </c>
    </row>
    <row r="587" spans="1:8" ht="15" customHeight="1" x14ac:dyDescent="0.2">
      <c r="A587" s="1">
        <v>46258</v>
      </c>
      <c r="B587">
        <v>0</v>
      </c>
      <c r="C587" s="2">
        <v>0.57430555555555596</v>
      </c>
      <c r="D587" s="2">
        <v>0.64122685185185202</v>
      </c>
      <c r="E587">
        <v>96</v>
      </c>
      <c r="F587" t="s">
        <v>63</v>
      </c>
      <c r="G587" t="s">
        <v>28</v>
      </c>
      <c r="H587" t="s">
        <v>41</v>
      </c>
    </row>
    <row r="588" spans="1:8" ht="15" customHeight="1" x14ac:dyDescent="0.2">
      <c r="A588" s="1">
        <v>46258</v>
      </c>
      <c r="B588">
        <v>1</v>
      </c>
      <c r="C588" s="2">
        <v>0.63241898148148101</v>
      </c>
      <c r="D588" s="2">
        <v>0.64930555555555602</v>
      </c>
      <c r="E588">
        <v>25</v>
      </c>
      <c r="F588" t="s">
        <v>63</v>
      </c>
      <c r="G588" t="s">
        <v>38</v>
      </c>
      <c r="H588" t="s">
        <v>39</v>
      </c>
    </row>
    <row r="589" spans="1:8" ht="15" customHeight="1" x14ac:dyDescent="0.2">
      <c r="A589" s="1">
        <v>46258</v>
      </c>
      <c r="B589">
        <v>1</v>
      </c>
      <c r="C589" s="2">
        <v>0.45479166666666698</v>
      </c>
      <c r="D589" s="2">
        <v>0.48958333333333298</v>
      </c>
      <c r="E589">
        <v>51</v>
      </c>
      <c r="F589" t="s">
        <v>63</v>
      </c>
      <c r="G589" t="s">
        <v>28</v>
      </c>
      <c r="H589" t="s">
        <v>30</v>
      </c>
    </row>
    <row r="590" spans="1:8" ht="15" customHeight="1" x14ac:dyDescent="0.2">
      <c r="A590" s="1">
        <v>46258</v>
      </c>
      <c r="B590">
        <v>1</v>
      </c>
      <c r="C590" s="2">
        <v>0.304918981481481</v>
      </c>
      <c r="D590" s="2">
        <v>0.33124999999999999</v>
      </c>
      <c r="E590">
        <v>38</v>
      </c>
      <c r="F590" t="s">
        <v>66</v>
      </c>
      <c r="G590" t="s">
        <v>28</v>
      </c>
      <c r="H590" t="s">
        <v>30</v>
      </c>
    </row>
    <row r="591" spans="1:8" ht="15" customHeight="1" x14ac:dyDescent="0.2">
      <c r="A591" s="1">
        <v>46258</v>
      </c>
      <c r="B591">
        <v>1</v>
      </c>
      <c r="C591" s="2">
        <v>0.70174768518518504</v>
      </c>
      <c r="D591" s="2">
        <v>0.77361111111111103</v>
      </c>
      <c r="E591">
        <v>104</v>
      </c>
      <c r="F591" t="s">
        <v>63</v>
      </c>
      <c r="G591" t="s">
        <v>28</v>
      </c>
      <c r="H591" t="s">
        <v>41</v>
      </c>
    </row>
    <row r="592" spans="1:8" ht="15" customHeight="1" x14ac:dyDescent="0.2">
      <c r="A592" s="1">
        <v>46258</v>
      </c>
      <c r="B592">
        <v>1</v>
      </c>
      <c r="C592" s="2">
        <v>0.41438657407407398</v>
      </c>
      <c r="D592" s="2">
        <v>0.465706018518519</v>
      </c>
      <c r="E592">
        <v>74</v>
      </c>
      <c r="F592" t="s">
        <v>63</v>
      </c>
      <c r="G592" t="s">
        <v>28</v>
      </c>
      <c r="H592" t="s">
        <v>28</v>
      </c>
    </row>
    <row r="593" spans="1:8" ht="15" customHeight="1" x14ac:dyDescent="0.2">
      <c r="A593" s="1">
        <v>46258</v>
      </c>
      <c r="B593">
        <v>1</v>
      </c>
      <c r="C593" s="2">
        <v>0.52296296296296296</v>
      </c>
      <c r="D593" s="2">
        <v>0.54729166666666695</v>
      </c>
      <c r="E593">
        <v>35</v>
      </c>
      <c r="F593" t="s">
        <v>63</v>
      </c>
      <c r="G593" t="s">
        <v>28</v>
      </c>
      <c r="H593" t="s">
        <v>28</v>
      </c>
    </row>
    <row r="594" spans="1:8" ht="15" customHeight="1" x14ac:dyDescent="0.2">
      <c r="A594" s="1">
        <v>46258</v>
      </c>
      <c r="B594">
        <v>1</v>
      </c>
      <c r="C594" s="2">
        <v>0.48135416666666703</v>
      </c>
      <c r="D594" s="2">
        <v>0.57916666666666705</v>
      </c>
      <c r="E594">
        <v>141</v>
      </c>
      <c r="F594" t="s">
        <v>63</v>
      </c>
      <c r="G594" t="s">
        <v>28</v>
      </c>
      <c r="H594" t="s">
        <v>33</v>
      </c>
    </row>
    <row r="595" spans="1:8" ht="15" customHeight="1" x14ac:dyDescent="0.2">
      <c r="A595" s="1">
        <v>46258</v>
      </c>
      <c r="B595">
        <v>1</v>
      </c>
      <c r="C595" s="2">
        <v>0.58438657407407402</v>
      </c>
      <c r="D595" s="2">
        <v>0.60763888888888895</v>
      </c>
      <c r="E595">
        <v>34</v>
      </c>
      <c r="F595" t="s">
        <v>69</v>
      </c>
      <c r="G595" t="s">
        <v>38</v>
      </c>
      <c r="H595" t="s">
        <v>39</v>
      </c>
    </row>
    <row r="596" spans="1:8" ht="15" customHeight="1" x14ac:dyDescent="0.2">
      <c r="A596" s="1">
        <v>46258</v>
      </c>
      <c r="B596">
        <v>1</v>
      </c>
      <c r="C596" s="2">
        <v>0.72324074074074096</v>
      </c>
      <c r="D596" s="2">
        <v>0.76944444444444404</v>
      </c>
      <c r="E596">
        <v>67</v>
      </c>
      <c r="F596" t="s">
        <v>63</v>
      </c>
      <c r="G596" t="s">
        <v>28</v>
      </c>
      <c r="H596" t="s">
        <v>37</v>
      </c>
    </row>
    <row r="597" spans="1:8" ht="15" customHeight="1" x14ac:dyDescent="0.2">
      <c r="A597" s="1">
        <v>46258</v>
      </c>
      <c r="B597">
        <v>1</v>
      </c>
      <c r="C597" s="2">
        <v>0.65752314814814805</v>
      </c>
      <c r="D597" s="2">
        <v>0.68605324074074103</v>
      </c>
      <c r="E597">
        <v>41</v>
      </c>
      <c r="F597" t="s">
        <v>63</v>
      </c>
      <c r="G597" t="s">
        <v>28</v>
      </c>
      <c r="H597" t="s">
        <v>33</v>
      </c>
    </row>
    <row r="598" spans="1:8" ht="15" customHeight="1" x14ac:dyDescent="0.2">
      <c r="A598" s="1">
        <v>46258</v>
      </c>
      <c r="B598">
        <v>1</v>
      </c>
      <c r="C598" s="2">
        <v>0.72652777777777799</v>
      </c>
      <c r="D598" s="2">
        <v>0.74722222222222201</v>
      </c>
      <c r="E598">
        <v>30</v>
      </c>
      <c r="F598" t="s">
        <v>63</v>
      </c>
      <c r="G598" t="s">
        <v>28</v>
      </c>
      <c r="H598" t="s">
        <v>28</v>
      </c>
    </row>
    <row r="599" spans="1:8" ht="15" customHeight="1" x14ac:dyDescent="0.2">
      <c r="A599" s="1">
        <v>46258</v>
      </c>
      <c r="B599">
        <v>0</v>
      </c>
      <c r="C599" s="2">
        <v>0.26273148148148101</v>
      </c>
      <c r="F599" t="s">
        <v>65</v>
      </c>
      <c r="G599" t="s">
        <v>28</v>
      </c>
      <c r="H599" t="s">
        <v>45</v>
      </c>
    </row>
    <row r="600" spans="1:8" ht="15" customHeight="1" x14ac:dyDescent="0.2">
      <c r="A600" s="1">
        <v>46258</v>
      </c>
      <c r="B600">
        <v>0</v>
      </c>
      <c r="C600" s="2">
        <v>0.25309027777777798</v>
      </c>
      <c r="D600" s="2">
        <v>0.33989583333333301</v>
      </c>
      <c r="E600">
        <v>125</v>
      </c>
      <c r="F600" t="s">
        <v>63</v>
      </c>
      <c r="G600" t="s">
        <v>34</v>
      </c>
      <c r="H600" t="s">
        <v>30</v>
      </c>
    </row>
    <row r="601" spans="1:8" ht="15" customHeight="1" x14ac:dyDescent="0.2">
      <c r="A601" s="1">
        <v>46258</v>
      </c>
      <c r="B601">
        <v>0</v>
      </c>
      <c r="C601" s="2">
        <v>0.21928240740740701</v>
      </c>
      <c r="D601" s="2">
        <v>0.26252314814814798</v>
      </c>
      <c r="E601">
        <v>63</v>
      </c>
      <c r="F601" t="s">
        <v>63</v>
      </c>
      <c r="G601" t="s">
        <v>34</v>
      </c>
      <c r="H601" t="s">
        <v>44</v>
      </c>
    </row>
    <row r="602" spans="1:8" ht="15" customHeight="1" x14ac:dyDescent="0.2">
      <c r="A602" s="1">
        <v>46259</v>
      </c>
      <c r="B602">
        <v>0</v>
      </c>
      <c r="C602" s="2">
        <v>0.40545138888888899</v>
      </c>
      <c r="D602" s="2">
        <v>0.46188657407407402</v>
      </c>
      <c r="E602">
        <v>82</v>
      </c>
      <c r="F602" t="s">
        <v>65</v>
      </c>
      <c r="G602" t="s">
        <v>28</v>
      </c>
      <c r="H602" t="s">
        <v>28</v>
      </c>
    </row>
    <row r="603" spans="1:8" ht="15" customHeight="1" x14ac:dyDescent="0.2">
      <c r="A603" s="1">
        <v>46259</v>
      </c>
      <c r="B603">
        <v>0</v>
      </c>
      <c r="C603" s="2">
        <v>0.236203703703704</v>
      </c>
      <c r="D603" s="2">
        <v>0.31111111111111101</v>
      </c>
      <c r="E603">
        <v>108</v>
      </c>
      <c r="F603" t="s">
        <v>65</v>
      </c>
      <c r="G603" t="s">
        <v>34</v>
      </c>
      <c r="H603" t="s">
        <v>30</v>
      </c>
    </row>
    <row r="604" spans="1:8" ht="15" customHeight="1" x14ac:dyDescent="0.2">
      <c r="A604" s="1">
        <v>46259</v>
      </c>
      <c r="B604">
        <v>0</v>
      </c>
      <c r="C604" s="2">
        <v>0.233738425925926</v>
      </c>
      <c r="D604" s="2">
        <v>0.31274305555555598</v>
      </c>
      <c r="E604">
        <v>114</v>
      </c>
      <c r="F604" t="s">
        <v>65</v>
      </c>
      <c r="G604" t="s">
        <v>34</v>
      </c>
      <c r="H604" t="s">
        <v>39</v>
      </c>
    </row>
    <row r="605" spans="1:8" ht="15" customHeight="1" x14ac:dyDescent="0.2">
      <c r="A605" s="1">
        <v>46259</v>
      </c>
      <c r="B605">
        <v>0</v>
      </c>
      <c r="C605" s="2">
        <v>0.22951388888888899</v>
      </c>
      <c r="F605" t="s">
        <v>67</v>
      </c>
      <c r="G605" t="s">
        <v>34</v>
      </c>
      <c r="H605" t="s">
        <v>45</v>
      </c>
    </row>
    <row r="606" spans="1:8" ht="15" customHeight="1" x14ac:dyDescent="0.2">
      <c r="A606" s="1">
        <v>46259</v>
      </c>
      <c r="B606">
        <v>0</v>
      </c>
      <c r="C606" s="2">
        <v>0.327164351851852</v>
      </c>
      <c r="D606" s="2">
        <v>0.43025462962963001</v>
      </c>
      <c r="E606">
        <v>148</v>
      </c>
      <c r="F606" t="s">
        <v>63</v>
      </c>
      <c r="G606" t="s">
        <v>34</v>
      </c>
      <c r="H606" t="s">
        <v>30</v>
      </c>
    </row>
    <row r="607" spans="1:8" ht="15" customHeight="1" x14ac:dyDescent="0.2">
      <c r="A607" s="1">
        <v>46259</v>
      </c>
      <c r="B607">
        <v>0</v>
      </c>
      <c r="C607" s="2">
        <v>0.44871527777777798</v>
      </c>
      <c r="D607" s="2">
        <v>0.58359953703703704</v>
      </c>
      <c r="E607">
        <v>194</v>
      </c>
      <c r="F607" t="s">
        <v>65</v>
      </c>
      <c r="G607" t="s">
        <v>34</v>
      </c>
      <c r="H607" t="s">
        <v>30</v>
      </c>
    </row>
    <row r="608" spans="1:8" ht="15" customHeight="1" x14ac:dyDescent="0.2">
      <c r="A608" s="1">
        <v>46259</v>
      </c>
      <c r="B608">
        <v>0</v>
      </c>
      <c r="C608" s="2">
        <v>0.393090277777778</v>
      </c>
      <c r="D608" s="2">
        <v>0.43520833333333298</v>
      </c>
      <c r="E608">
        <v>60</v>
      </c>
      <c r="F608" t="s">
        <v>65</v>
      </c>
      <c r="G608" t="s">
        <v>28</v>
      </c>
      <c r="H608" t="s">
        <v>45</v>
      </c>
    </row>
    <row r="609" spans="1:8" ht="15" customHeight="1" x14ac:dyDescent="0.2">
      <c r="A609" s="1">
        <v>46259</v>
      </c>
      <c r="B609">
        <v>0</v>
      </c>
      <c r="C609" s="2">
        <v>0.34214120370370399</v>
      </c>
      <c r="D609" s="2">
        <v>0.39065972222222201</v>
      </c>
      <c r="E609">
        <v>70</v>
      </c>
      <c r="F609" t="s">
        <v>65</v>
      </c>
      <c r="G609" t="s">
        <v>28</v>
      </c>
      <c r="H609" t="s">
        <v>33</v>
      </c>
    </row>
    <row r="610" spans="1:8" ht="15" customHeight="1" x14ac:dyDescent="0.2">
      <c r="A610" s="1">
        <v>46259</v>
      </c>
      <c r="B610">
        <v>0</v>
      </c>
      <c r="C610" s="2">
        <v>0.22509259259259301</v>
      </c>
      <c r="D610" s="2">
        <v>0.25699074074074102</v>
      </c>
      <c r="E610">
        <v>46</v>
      </c>
      <c r="F610" t="s">
        <v>63</v>
      </c>
      <c r="G610" t="s">
        <v>34</v>
      </c>
      <c r="H610" t="s">
        <v>44</v>
      </c>
    </row>
    <row r="611" spans="1:8" ht="15" customHeight="1" x14ac:dyDescent="0.2">
      <c r="A611" s="1">
        <v>46259</v>
      </c>
      <c r="B611">
        <v>0</v>
      </c>
      <c r="C611" s="2">
        <v>0.49899305555555601</v>
      </c>
      <c r="D611" s="2">
        <v>0.60708333333333298</v>
      </c>
      <c r="E611">
        <v>156</v>
      </c>
      <c r="F611" t="s">
        <v>65</v>
      </c>
      <c r="G611" t="s">
        <v>28</v>
      </c>
      <c r="H611" t="s">
        <v>45</v>
      </c>
    </row>
    <row r="612" spans="1:8" ht="15" customHeight="1" x14ac:dyDescent="0.2">
      <c r="A612" s="1">
        <v>46259</v>
      </c>
      <c r="B612">
        <v>0</v>
      </c>
      <c r="C612" s="2">
        <v>0.29207175925925899</v>
      </c>
      <c r="D612" s="2">
        <v>0.31349537037037001</v>
      </c>
      <c r="E612">
        <v>31</v>
      </c>
      <c r="F612" t="s">
        <v>65</v>
      </c>
      <c r="G612" t="s">
        <v>28</v>
      </c>
      <c r="H612" t="s">
        <v>33</v>
      </c>
    </row>
    <row r="613" spans="1:8" ht="15" customHeight="1" x14ac:dyDescent="0.2">
      <c r="A613" s="1">
        <v>46259</v>
      </c>
      <c r="B613">
        <v>0</v>
      </c>
      <c r="C613" s="2">
        <v>0.48930555555555599</v>
      </c>
      <c r="D613" s="2">
        <v>0.57682870370370398</v>
      </c>
      <c r="E613">
        <v>126</v>
      </c>
      <c r="F613" t="s">
        <v>65</v>
      </c>
      <c r="G613" t="s">
        <v>28</v>
      </c>
      <c r="H613" t="s">
        <v>28</v>
      </c>
    </row>
    <row r="614" spans="1:8" ht="15" customHeight="1" x14ac:dyDescent="0.2">
      <c r="A614" s="1">
        <v>46259</v>
      </c>
      <c r="B614">
        <v>0</v>
      </c>
      <c r="C614" s="2">
        <v>0.299259259259259</v>
      </c>
      <c r="D614" s="2">
        <v>0.327083333333333</v>
      </c>
      <c r="E614">
        <v>41</v>
      </c>
      <c r="F614" t="s">
        <v>65</v>
      </c>
      <c r="G614" t="s">
        <v>28</v>
      </c>
      <c r="H614" t="s">
        <v>49</v>
      </c>
    </row>
    <row r="615" spans="1:8" ht="15" customHeight="1" x14ac:dyDescent="0.2">
      <c r="A615" s="1">
        <v>46259</v>
      </c>
      <c r="B615">
        <v>0</v>
      </c>
      <c r="C615" s="2">
        <v>0.25160879629629601</v>
      </c>
      <c r="D615" s="2">
        <v>0.31516203703703699</v>
      </c>
      <c r="E615">
        <v>91</v>
      </c>
      <c r="F615" t="s">
        <v>63</v>
      </c>
      <c r="G615" t="s">
        <v>28</v>
      </c>
      <c r="H615" t="s">
        <v>28</v>
      </c>
    </row>
    <row r="616" spans="1:8" ht="15" customHeight="1" x14ac:dyDescent="0.2">
      <c r="A616" s="1">
        <v>46259</v>
      </c>
      <c r="B616">
        <v>0</v>
      </c>
      <c r="C616" s="2">
        <v>0.34457175925925898</v>
      </c>
      <c r="D616" s="2">
        <v>0.43650462962962999</v>
      </c>
      <c r="E616">
        <v>132</v>
      </c>
      <c r="F616" t="s">
        <v>65</v>
      </c>
      <c r="G616" t="s">
        <v>28</v>
      </c>
      <c r="H616" t="s">
        <v>49</v>
      </c>
    </row>
    <row r="617" spans="1:8" ht="15" customHeight="1" x14ac:dyDescent="0.2">
      <c r="A617" s="1">
        <v>46259</v>
      </c>
      <c r="B617">
        <v>0</v>
      </c>
      <c r="C617" s="2">
        <v>0.39315972222222201</v>
      </c>
      <c r="D617" s="2">
        <v>0.42712962962963003</v>
      </c>
      <c r="E617">
        <v>49</v>
      </c>
      <c r="F617" t="s">
        <v>65</v>
      </c>
      <c r="G617" t="s">
        <v>28</v>
      </c>
      <c r="H617" t="s">
        <v>33</v>
      </c>
    </row>
    <row r="618" spans="1:8" ht="15" customHeight="1" x14ac:dyDescent="0.2">
      <c r="A618" s="1">
        <v>46259</v>
      </c>
      <c r="B618">
        <v>0</v>
      </c>
      <c r="C618" s="2">
        <v>0.31045138888888901</v>
      </c>
      <c r="D618" s="2">
        <v>0.36339120370370398</v>
      </c>
      <c r="E618">
        <v>76</v>
      </c>
      <c r="F618" t="s">
        <v>65</v>
      </c>
      <c r="G618" t="s">
        <v>28</v>
      </c>
      <c r="H618" t="s">
        <v>33</v>
      </c>
    </row>
    <row r="619" spans="1:8" ht="15" customHeight="1" x14ac:dyDescent="0.2">
      <c r="A619" s="1">
        <v>46259</v>
      </c>
      <c r="B619">
        <v>0</v>
      </c>
      <c r="C619" s="2">
        <v>0.47076388888888898</v>
      </c>
      <c r="D619" s="2">
        <v>0.497731481481481</v>
      </c>
      <c r="E619">
        <v>39</v>
      </c>
      <c r="F619" t="s">
        <v>65</v>
      </c>
      <c r="G619" t="s">
        <v>28</v>
      </c>
      <c r="H619" t="s">
        <v>33</v>
      </c>
    </row>
    <row r="620" spans="1:8" ht="15" customHeight="1" x14ac:dyDescent="0.2">
      <c r="A620" s="1">
        <v>46259</v>
      </c>
      <c r="B620">
        <v>0</v>
      </c>
      <c r="C620" s="2">
        <v>0.50502314814814797</v>
      </c>
      <c r="D620" s="2">
        <v>0.53510416666666705</v>
      </c>
      <c r="E620">
        <v>43</v>
      </c>
      <c r="F620" t="s">
        <v>65</v>
      </c>
      <c r="G620" t="s">
        <v>28</v>
      </c>
      <c r="H620" t="s">
        <v>33</v>
      </c>
    </row>
    <row r="621" spans="1:8" ht="15" customHeight="1" x14ac:dyDescent="0.2">
      <c r="A621" s="1">
        <v>46259</v>
      </c>
      <c r="B621">
        <v>0</v>
      </c>
      <c r="C621" s="2">
        <v>0.24711805555555599</v>
      </c>
      <c r="D621" s="2">
        <v>0.31111111111111101</v>
      </c>
      <c r="E621">
        <v>93</v>
      </c>
      <c r="F621" t="s">
        <v>63</v>
      </c>
      <c r="G621" t="s">
        <v>28</v>
      </c>
      <c r="H621" t="s">
        <v>49</v>
      </c>
    </row>
    <row r="622" spans="1:8" ht="15" customHeight="1" x14ac:dyDescent="0.2">
      <c r="A622" s="1">
        <v>46259</v>
      </c>
      <c r="B622">
        <v>0</v>
      </c>
      <c r="C622" s="2">
        <v>0.462858796296296</v>
      </c>
      <c r="D622" s="2">
        <v>0.55236111111111097</v>
      </c>
      <c r="E622">
        <v>129</v>
      </c>
      <c r="F622" t="s">
        <v>65</v>
      </c>
      <c r="G622" t="s">
        <v>28</v>
      </c>
      <c r="H622" t="s">
        <v>30</v>
      </c>
    </row>
    <row r="623" spans="1:8" ht="15" customHeight="1" x14ac:dyDescent="0.2">
      <c r="A623" s="1">
        <v>46259</v>
      </c>
      <c r="B623">
        <v>0</v>
      </c>
      <c r="C623" s="2">
        <v>0.51590277777777804</v>
      </c>
      <c r="D623" s="2">
        <v>0.58344907407407398</v>
      </c>
      <c r="E623">
        <v>98</v>
      </c>
      <c r="F623" t="s">
        <v>63</v>
      </c>
      <c r="G623" t="s">
        <v>34</v>
      </c>
      <c r="H623" t="s">
        <v>28</v>
      </c>
    </row>
    <row r="624" spans="1:8" ht="15" customHeight="1" x14ac:dyDescent="0.2">
      <c r="A624" s="1">
        <v>46259</v>
      </c>
      <c r="B624">
        <v>0</v>
      </c>
      <c r="C624" s="2">
        <v>0.251805555555556</v>
      </c>
      <c r="D624" s="2">
        <v>0.311886574074074</v>
      </c>
      <c r="E624">
        <v>87</v>
      </c>
      <c r="F624" t="s">
        <v>63</v>
      </c>
      <c r="G624" t="s">
        <v>28</v>
      </c>
      <c r="H624" t="s">
        <v>28</v>
      </c>
    </row>
    <row r="625" spans="1:8" ht="15" customHeight="1" x14ac:dyDescent="0.2">
      <c r="A625" s="1">
        <v>46259</v>
      </c>
      <c r="B625">
        <v>0</v>
      </c>
      <c r="C625" s="2">
        <v>0.56142361111111105</v>
      </c>
      <c r="D625" s="2">
        <v>0.59155092592592595</v>
      </c>
      <c r="E625">
        <v>43</v>
      </c>
      <c r="F625" t="s">
        <v>65</v>
      </c>
      <c r="G625" t="s">
        <v>28</v>
      </c>
      <c r="H625" t="s">
        <v>33</v>
      </c>
    </row>
    <row r="626" spans="1:8" ht="15" customHeight="1" x14ac:dyDescent="0.2">
      <c r="A626" s="1">
        <v>46259</v>
      </c>
      <c r="B626">
        <v>0</v>
      </c>
      <c r="C626" s="2">
        <v>0.48064814814814799</v>
      </c>
      <c r="D626" s="2">
        <v>0.57861111111111097</v>
      </c>
      <c r="E626">
        <v>141</v>
      </c>
      <c r="F626" t="s">
        <v>65</v>
      </c>
      <c r="G626" t="s">
        <v>28</v>
      </c>
      <c r="H626" t="s">
        <v>30</v>
      </c>
    </row>
    <row r="627" spans="1:8" ht="15" customHeight="1" x14ac:dyDescent="0.2">
      <c r="A627" s="1">
        <v>46259</v>
      </c>
      <c r="B627">
        <v>0</v>
      </c>
      <c r="C627" s="2">
        <v>0.32346064814814801</v>
      </c>
      <c r="D627" s="2">
        <v>0.38018518518518502</v>
      </c>
      <c r="E627">
        <v>82</v>
      </c>
      <c r="F627" t="s">
        <v>63</v>
      </c>
      <c r="G627" t="s">
        <v>28</v>
      </c>
      <c r="H627" t="s">
        <v>28</v>
      </c>
    </row>
    <row r="628" spans="1:8" ht="15" customHeight="1" x14ac:dyDescent="0.2">
      <c r="A628" s="1">
        <v>46259</v>
      </c>
      <c r="B628">
        <v>0</v>
      </c>
      <c r="C628" s="2">
        <v>0.27758101851851902</v>
      </c>
      <c r="D628" s="2">
        <v>0.30348379629629602</v>
      </c>
      <c r="E628">
        <v>38</v>
      </c>
      <c r="F628" t="s">
        <v>63</v>
      </c>
      <c r="G628" t="s">
        <v>28</v>
      </c>
      <c r="H628" t="s">
        <v>47</v>
      </c>
    </row>
    <row r="629" spans="1:8" ht="15" customHeight="1" x14ac:dyDescent="0.2">
      <c r="A629" s="1">
        <v>46259</v>
      </c>
      <c r="B629">
        <v>0</v>
      </c>
      <c r="C629" s="2">
        <v>0.70594907407407403</v>
      </c>
      <c r="D629" s="2">
        <v>0.72636574074074101</v>
      </c>
      <c r="E629">
        <v>29</v>
      </c>
      <c r="F629" t="s">
        <v>63</v>
      </c>
      <c r="G629" t="s">
        <v>28</v>
      </c>
      <c r="H629" t="s">
        <v>39</v>
      </c>
    </row>
    <row r="630" spans="1:8" ht="15" customHeight="1" x14ac:dyDescent="0.2">
      <c r="A630" s="1">
        <v>46259</v>
      </c>
      <c r="B630">
        <v>0</v>
      </c>
      <c r="C630" s="2">
        <v>0.452511574074074</v>
      </c>
      <c r="D630" s="2">
        <v>0.50222222222222201</v>
      </c>
      <c r="E630">
        <v>72</v>
      </c>
      <c r="F630" t="s">
        <v>63</v>
      </c>
      <c r="G630" t="s">
        <v>28</v>
      </c>
      <c r="H630" t="s">
        <v>28</v>
      </c>
    </row>
    <row r="631" spans="1:8" ht="15" customHeight="1" x14ac:dyDescent="0.2">
      <c r="A631" s="1">
        <v>46259</v>
      </c>
      <c r="B631">
        <v>0</v>
      </c>
      <c r="C631" s="2">
        <v>0.44704861111111099</v>
      </c>
      <c r="D631" s="2">
        <v>0.47222222222222199</v>
      </c>
      <c r="E631">
        <v>37</v>
      </c>
      <c r="F631" t="s">
        <v>63</v>
      </c>
      <c r="G631" t="s">
        <v>28</v>
      </c>
      <c r="H631" t="s">
        <v>41</v>
      </c>
    </row>
    <row r="632" spans="1:8" ht="15" customHeight="1" x14ac:dyDescent="0.2">
      <c r="A632" s="1">
        <v>46259</v>
      </c>
      <c r="B632">
        <v>0</v>
      </c>
      <c r="C632" s="2">
        <v>0.650127314814815</v>
      </c>
      <c r="D632" s="2">
        <v>0.66545138888888899</v>
      </c>
      <c r="E632">
        <v>22</v>
      </c>
      <c r="F632" t="s">
        <v>63</v>
      </c>
      <c r="G632" t="s">
        <v>38</v>
      </c>
      <c r="H632" t="s">
        <v>39</v>
      </c>
    </row>
    <row r="633" spans="1:8" ht="15" customHeight="1" x14ac:dyDescent="0.2">
      <c r="A633" s="1">
        <v>46259</v>
      </c>
      <c r="B633">
        <v>0</v>
      </c>
      <c r="C633" s="2">
        <v>0.56533564814814796</v>
      </c>
      <c r="D633" s="2">
        <v>0.61523148148148099</v>
      </c>
      <c r="E633">
        <v>71</v>
      </c>
      <c r="F633" t="s">
        <v>63</v>
      </c>
      <c r="G633" t="s">
        <v>28</v>
      </c>
      <c r="H633" t="s">
        <v>30</v>
      </c>
    </row>
    <row r="634" spans="1:8" ht="15" customHeight="1" x14ac:dyDescent="0.2">
      <c r="A634" s="1">
        <v>46259</v>
      </c>
      <c r="B634">
        <v>1</v>
      </c>
      <c r="C634" s="2">
        <v>0.71053240740740697</v>
      </c>
      <c r="D634" s="2">
        <v>0.73276620370370404</v>
      </c>
      <c r="E634">
        <v>32</v>
      </c>
      <c r="F634" t="s">
        <v>63</v>
      </c>
      <c r="G634" t="s">
        <v>28</v>
      </c>
      <c r="H634" t="s">
        <v>37</v>
      </c>
    </row>
    <row r="635" spans="1:8" ht="15" customHeight="1" x14ac:dyDescent="0.2">
      <c r="A635" s="1">
        <v>46259</v>
      </c>
      <c r="B635">
        <v>1</v>
      </c>
      <c r="C635" s="2">
        <v>0.64234953703703701</v>
      </c>
      <c r="D635" s="2">
        <v>0.68032407407407403</v>
      </c>
      <c r="E635">
        <v>55</v>
      </c>
      <c r="F635" t="s">
        <v>63</v>
      </c>
      <c r="G635" t="s">
        <v>28</v>
      </c>
      <c r="H635" t="s">
        <v>28</v>
      </c>
    </row>
    <row r="636" spans="1:8" ht="15" customHeight="1" x14ac:dyDescent="0.2">
      <c r="A636" s="1">
        <v>46259</v>
      </c>
      <c r="B636">
        <v>1</v>
      </c>
      <c r="C636" s="2">
        <v>0.69947916666666698</v>
      </c>
      <c r="D636" s="2">
        <v>0.73923611111111098</v>
      </c>
      <c r="E636">
        <v>57</v>
      </c>
      <c r="F636" t="s">
        <v>63</v>
      </c>
      <c r="G636" t="s">
        <v>34</v>
      </c>
      <c r="H636" t="s">
        <v>30</v>
      </c>
    </row>
    <row r="637" spans="1:8" ht="15" customHeight="1" x14ac:dyDescent="0.2">
      <c r="A637" s="1">
        <v>46259</v>
      </c>
      <c r="B637">
        <v>1</v>
      </c>
      <c r="C637" s="2">
        <v>0.606990740740741</v>
      </c>
      <c r="D637" s="2">
        <v>0.68513888888888896</v>
      </c>
      <c r="E637">
        <v>112</v>
      </c>
      <c r="F637" t="s">
        <v>63</v>
      </c>
      <c r="G637" t="s">
        <v>28</v>
      </c>
      <c r="H637" t="s">
        <v>30</v>
      </c>
    </row>
    <row r="638" spans="1:8" ht="15" customHeight="1" x14ac:dyDescent="0.2">
      <c r="A638" s="1">
        <v>46259</v>
      </c>
      <c r="B638">
        <v>1</v>
      </c>
      <c r="C638" s="2">
        <v>0.61818287037037001</v>
      </c>
      <c r="D638" s="2">
        <v>0.65350694444444402</v>
      </c>
      <c r="E638">
        <v>51</v>
      </c>
      <c r="F638" t="s">
        <v>63</v>
      </c>
      <c r="G638" t="s">
        <v>34</v>
      </c>
      <c r="H638" t="s">
        <v>30</v>
      </c>
    </row>
    <row r="639" spans="1:8" ht="15" customHeight="1" x14ac:dyDescent="0.2">
      <c r="A639" s="1">
        <v>46260</v>
      </c>
      <c r="B639">
        <v>0</v>
      </c>
      <c r="C639" s="2">
        <v>0.24289351851851901</v>
      </c>
      <c r="D639" s="2">
        <v>0.31233796296296301</v>
      </c>
      <c r="E639">
        <v>100</v>
      </c>
      <c r="F639" t="s">
        <v>63</v>
      </c>
      <c r="G639" t="s">
        <v>28</v>
      </c>
      <c r="H639" t="s">
        <v>30</v>
      </c>
    </row>
    <row r="640" spans="1:8" ht="15" customHeight="1" x14ac:dyDescent="0.2">
      <c r="A640" s="1">
        <v>46260</v>
      </c>
      <c r="B640">
        <v>0</v>
      </c>
      <c r="C640" s="2">
        <v>0.23885416666666701</v>
      </c>
      <c r="D640" s="2">
        <v>0.306342592592593</v>
      </c>
      <c r="E640">
        <v>98</v>
      </c>
      <c r="F640" t="s">
        <v>65</v>
      </c>
      <c r="G640" t="s">
        <v>28</v>
      </c>
      <c r="H640" t="s">
        <v>33</v>
      </c>
    </row>
    <row r="641" spans="1:8" ht="15" customHeight="1" x14ac:dyDescent="0.2">
      <c r="A641" s="1">
        <v>46260</v>
      </c>
      <c r="B641">
        <v>0</v>
      </c>
      <c r="C641" s="2">
        <v>0.373842592592593</v>
      </c>
      <c r="D641" s="2">
        <v>0.42667824074074101</v>
      </c>
      <c r="E641">
        <v>76</v>
      </c>
      <c r="F641" t="s">
        <v>63</v>
      </c>
      <c r="G641" t="s">
        <v>28</v>
      </c>
      <c r="H641" t="s">
        <v>28</v>
      </c>
    </row>
    <row r="642" spans="1:8" ht="15" customHeight="1" x14ac:dyDescent="0.2">
      <c r="A642" s="1">
        <v>46260</v>
      </c>
      <c r="B642">
        <v>0</v>
      </c>
      <c r="C642" s="2">
        <v>0.32060185185185203</v>
      </c>
      <c r="D642" s="2">
        <v>0.352256944444444</v>
      </c>
      <c r="E642">
        <v>46</v>
      </c>
      <c r="F642" t="s">
        <v>65</v>
      </c>
      <c r="G642" t="s">
        <v>28</v>
      </c>
      <c r="H642" t="s">
        <v>49</v>
      </c>
    </row>
    <row r="643" spans="1:8" ht="15" customHeight="1" x14ac:dyDescent="0.2">
      <c r="A643" s="1">
        <v>46260</v>
      </c>
      <c r="B643">
        <v>0</v>
      </c>
      <c r="C643" s="2">
        <v>0.27626157407407398</v>
      </c>
      <c r="D643" s="2">
        <v>0.36597222222222198</v>
      </c>
      <c r="E643">
        <v>130</v>
      </c>
      <c r="F643" t="s">
        <v>65</v>
      </c>
      <c r="G643" t="s">
        <v>28</v>
      </c>
      <c r="H643" t="s">
        <v>49</v>
      </c>
    </row>
    <row r="644" spans="1:8" ht="15" customHeight="1" x14ac:dyDescent="0.2">
      <c r="A644" s="1">
        <v>46260</v>
      </c>
      <c r="B644">
        <v>0</v>
      </c>
      <c r="C644" s="2">
        <v>0.41980324074074099</v>
      </c>
      <c r="D644" s="2">
        <v>0.44682870370370398</v>
      </c>
      <c r="E644">
        <v>39</v>
      </c>
      <c r="F644" t="s">
        <v>65</v>
      </c>
      <c r="G644" t="s">
        <v>28</v>
      </c>
      <c r="H644" t="s">
        <v>49</v>
      </c>
    </row>
    <row r="645" spans="1:8" ht="15" customHeight="1" x14ac:dyDescent="0.2">
      <c r="A645" s="1">
        <v>46260</v>
      </c>
      <c r="B645">
        <v>0</v>
      </c>
      <c r="C645" s="2">
        <v>0.43924768518518498</v>
      </c>
      <c r="D645" s="2">
        <v>0.58251157407407395</v>
      </c>
      <c r="E645">
        <v>206</v>
      </c>
      <c r="F645" t="s">
        <v>65</v>
      </c>
      <c r="G645" t="s">
        <v>28</v>
      </c>
      <c r="H645" t="s">
        <v>28</v>
      </c>
    </row>
    <row r="646" spans="1:8" ht="15" customHeight="1" x14ac:dyDescent="0.2">
      <c r="A646" s="1">
        <v>46260</v>
      </c>
      <c r="B646">
        <v>0</v>
      </c>
      <c r="C646" s="2">
        <v>0.30192129629629599</v>
      </c>
      <c r="D646" s="2">
        <v>0.36181712962962997</v>
      </c>
      <c r="E646">
        <v>87</v>
      </c>
      <c r="F646" t="s">
        <v>63</v>
      </c>
      <c r="G646" t="s">
        <v>34</v>
      </c>
      <c r="H646" t="s">
        <v>28</v>
      </c>
    </row>
    <row r="647" spans="1:8" ht="15" customHeight="1" x14ac:dyDescent="0.2">
      <c r="A647" s="1">
        <v>46260</v>
      </c>
      <c r="B647">
        <v>0</v>
      </c>
      <c r="C647" s="2">
        <v>0.25276620370370401</v>
      </c>
      <c r="D647" s="2">
        <v>0.32133101851851897</v>
      </c>
      <c r="E647">
        <v>99</v>
      </c>
      <c r="F647" t="s">
        <v>65</v>
      </c>
      <c r="G647" t="s">
        <v>28</v>
      </c>
      <c r="H647" t="s">
        <v>28</v>
      </c>
    </row>
    <row r="648" spans="1:8" ht="15" customHeight="1" x14ac:dyDescent="0.2">
      <c r="A648" s="1">
        <v>46260</v>
      </c>
      <c r="B648">
        <v>0</v>
      </c>
      <c r="C648" s="2">
        <v>0.23819444444444399</v>
      </c>
      <c r="D648" s="2">
        <v>0.31041666666666701</v>
      </c>
      <c r="E648">
        <v>104</v>
      </c>
      <c r="F648" t="s">
        <v>65</v>
      </c>
      <c r="G648" t="s">
        <v>28</v>
      </c>
      <c r="H648" t="s">
        <v>39</v>
      </c>
    </row>
    <row r="649" spans="1:8" ht="15" customHeight="1" x14ac:dyDescent="0.2">
      <c r="A649" s="1">
        <v>46260</v>
      </c>
      <c r="B649">
        <v>0</v>
      </c>
      <c r="C649" s="2">
        <v>0.34410879629629598</v>
      </c>
      <c r="D649" s="2">
        <v>0.41791666666666699</v>
      </c>
      <c r="E649">
        <v>106</v>
      </c>
      <c r="F649" t="s">
        <v>65</v>
      </c>
      <c r="G649" t="s">
        <v>28</v>
      </c>
      <c r="H649" t="s">
        <v>39</v>
      </c>
    </row>
    <row r="650" spans="1:8" ht="15" customHeight="1" x14ac:dyDescent="0.2">
      <c r="A650" s="1">
        <v>46260</v>
      </c>
      <c r="B650">
        <v>0</v>
      </c>
      <c r="C650" s="2">
        <v>0.44844907407407397</v>
      </c>
      <c r="D650" s="2">
        <v>0.55103009259259295</v>
      </c>
      <c r="E650">
        <v>148</v>
      </c>
      <c r="F650" t="s">
        <v>63</v>
      </c>
      <c r="G650" t="s">
        <v>34</v>
      </c>
      <c r="H650" t="s">
        <v>30</v>
      </c>
    </row>
    <row r="651" spans="1:8" ht="15" customHeight="1" x14ac:dyDescent="0.2">
      <c r="A651" s="1">
        <v>46260</v>
      </c>
      <c r="B651">
        <v>0</v>
      </c>
      <c r="C651" s="2">
        <v>0.28758101851851903</v>
      </c>
      <c r="D651" s="2">
        <v>0.37170138888888898</v>
      </c>
      <c r="E651">
        <v>121</v>
      </c>
      <c r="F651" t="s">
        <v>65</v>
      </c>
      <c r="G651" t="s">
        <v>28</v>
      </c>
      <c r="H651" t="s">
        <v>28</v>
      </c>
    </row>
    <row r="652" spans="1:8" ht="15" customHeight="1" x14ac:dyDescent="0.2">
      <c r="A652" s="1">
        <v>46260</v>
      </c>
      <c r="B652">
        <v>0</v>
      </c>
      <c r="C652" s="2">
        <v>0.54874999999999996</v>
      </c>
      <c r="D652" s="2">
        <v>0.58584490740740702</v>
      </c>
      <c r="E652">
        <v>53</v>
      </c>
      <c r="F652" t="s">
        <v>65</v>
      </c>
      <c r="G652" t="s">
        <v>28</v>
      </c>
      <c r="H652" t="s">
        <v>49</v>
      </c>
    </row>
    <row r="653" spans="1:8" ht="15" customHeight="1" x14ac:dyDescent="0.2">
      <c r="A653" s="1">
        <v>46260</v>
      </c>
      <c r="B653">
        <v>0</v>
      </c>
      <c r="C653" s="2">
        <v>0.46660879629629598</v>
      </c>
      <c r="D653" s="2">
        <v>0.50833333333333297</v>
      </c>
      <c r="E653">
        <v>61</v>
      </c>
      <c r="F653" t="s">
        <v>65</v>
      </c>
      <c r="G653" t="s">
        <v>28</v>
      </c>
      <c r="H653" t="s">
        <v>49</v>
      </c>
    </row>
    <row r="654" spans="1:8" ht="15" customHeight="1" x14ac:dyDescent="0.2">
      <c r="A654" s="1">
        <v>46260</v>
      </c>
      <c r="B654">
        <v>0</v>
      </c>
      <c r="C654" s="2">
        <v>0.35056712962962999</v>
      </c>
      <c r="D654" s="2">
        <v>0.42212962962963002</v>
      </c>
      <c r="E654">
        <v>103</v>
      </c>
      <c r="F654" t="s">
        <v>65</v>
      </c>
      <c r="G654" t="s">
        <v>28</v>
      </c>
      <c r="H654" t="s">
        <v>45</v>
      </c>
    </row>
    <row r="655" spans="1:8" ht="15" customHeight="1" x14ac:dyDescent="0.2">
      <c r="A655" s="1">
        <v>46260</v>
      </c>
      <c r="B655">
        <v>0</v>
      </c>
      <c r="C655" s="2">
        <v>0.43712962962962998</v>
      </c>
      <c r="D655" s="2">
        <v>0.54156249999999995</v>
      </c>
      <c r="E655">
        <v>150</v>
      </c>
      <c r="F655" t="s">
        <v>65</v>
      </c>
      <c r="G655" t="s">
        <v>28</v>
      </c>
      <c r="H655" t="s">
        <v>28</v>
      </c>
    </row>
    <row r="656" spans="1:8" ht="15" customHeight="1" x14ac:dyDescent="0.2">
      <c r="A656" s="1">
        <v>46260</v>
      </c>
      <c r="B656">
        <v>0</v>
      </c>
      <c r="C656" s="2">
        <v>0.25405092592592599</v>
      </c>
      <c r="D656" s="2">
        <v>0.30416666666666697</v>
      </c>
      <c r="E656">
        <v>73</v>
      </c>
      <c r="F656" t="s">
        <v>65</v>
      </c>
      <c r="G656" t="s">
        <v>28</v>
      </c>
      <c r="H656" t="s">
        <v>49</v>
      </c>
    </row>
    <row r="657" spans="1:8" ht="15" customHeight="1" x14ac:dyDescent="0.2">
      <c r="A657" s="1">
        <v>46260</v>
      </c>
      <c r="B657">
        <v>0</v>
      </c>
      <c r="C657" s="2">
        <v>0.24329861111111101</v>
      </c>
      <c r="D657" s="2">
        <v>0.31659722222222197</v>
      </c>
      <c r="E657">
        <v>105</v>
      </c>
      <c r="F657" t="s">
        <v>63</v>
      </c>
      <c r="G657" t="s">
        <v>28</v>
      </c>
      <c r="H657" t="s">
        <v>41</v>
      </c>
    </row>
    <row r="658" spans="1:8" ht="15" customHeight="1" x14ac:dyDescent="0.2">
      <c r="A658" s="1">
        <v>46260</v>
      </c>
      <c r="B658">
        <v>0</v>
      </c>
      <c r="C658" s="2">
        <v>0.33854166666666702</v>
      </c>
      <c r="D658" s="2">
        <v>0.375</v>
      </c>
      <c r="E658">
        <v>53</v>
      </c>
      <c r="F658" t="s">
        <v>63</v>
      </c>
      <c r="G658" t="s">
        <v>28</v>
      </c>
      <c r="H658" t="s">
        <v>30</v>
      </c>
    </row>
    <row r="659" spans="1:8" ht="15" customHeight="1" x14ac:dyDescent="0.2">
      <c r="A659" s="1">
        <v>46260</v>
      </c>
      <c r="B659">
        <v>0</v>
      </c>
      <c r="C659" s="2">
        <v>0.27327546296296301</v>
      </c>
      <c r="D659" s="2">
        <v>0.3125</v>
      </c>
      <c r="E659">
        <v>57</v>
      </c>
      <c r="F659" t="s">
        <v>63</v>
      </c>
      <c r="G659" t="s">
        <v>38</v>
      </c>
      <c r="H659" t="s">
        <v>30</v>
      </c>
    </row>
    <row r="660" spans="1:8" ht="15" customHeight="1" x14ac:dyDescent="0.2">
      <c r="A660" s="1">
        <v>46260</v>
      </c>
      <c r="B660">
        <v>0</v>
      </c>
      <c r="C660" s="2">
        <v>0.38253472222222201</v>
      </c>
      <c r="D660" s="2">
        <v>0.42115740740740698</v>
      </c>
      <c r="E660">
        <v>56</v>
      </c>
      <c r="F660" t="s">
        <v>63</v>
      </c>
      <c r="G660" t="s">
        <v>28</v>
      </c>
      <c r="H660" t="s">
        <v>28</v>
      </c>
    </row>
    <row r="661" spans="1:8" ht="15" customHeight="1" x14ac:dyDescent="0.2">
      <c r="A661" s="1">
        <v>46260</v>
      </c>
      <c r="B661">
        <v>0</v>
      </c>
      <c r="C661" s="2">
        <v>0.59406250000000005</v>
      </c>
      <c r="D661" s="2">
        <v>0.63749999999999996</v>
      </c>
      <c r="E661">
        <v>63</v>
      </c>
      <c r="F661" t="s">
        <v>63</v>
      </c>
      <c r="G661" t="s">
        <v>28</v>
      </c>
      <c r="H661" t="s">
        <v>39</v>
      </c>
    </row>
    <row r="662" spans="1:8" ht="15" customHeight="1" x14ac:dyDescent="0.2">
      <c r="A662" s="1">
        <v>46260</v>
      </c>
      <c r="B662">
        <v>0</v>
      </c>
      <c r="C662" s="2">
        <v>0.67181712962963003</v>
      </c>
      <c r="D662" s="2">
        <v>0.71538194444444403</v>
      </c>
      <c r="E662">
        <v>63</v>
      </c>
      <c r="F662" t="s">
        <v>63</v>
      </c>
      <c r="G662" t="s">
        <v>38</v>
      </c>
      <c r="H662" t="s">
        <v>39</v>
      </c>
    </row>
    <row r="663" spans="1:8" ht="15" customHeight="1" x14ac:dyDescent="0.2">
      <c r="A663" s="1">
        <v>46260</v>
      </c>
      <c r="B663">
        <v>0</v>
      </c>
      <c r="C663" s="2">
        <v>0.26840277777777799</v>
      </c>
      <c r="D663" s="2">
        <v>0.30247685185185202</v>
      </c>
      <c r="E663">
        <v>49</v>
      </c>
      <c r="F663" t="s">
        <v>63</v>
      </c>
      <c r="G663" t="s">
        <v>28</v>
      </c>
      <c r="H663" t="s">
        <v>47</v>
      </c>
    </row>
    <row r="664" spans="1:8" ht="15" customHeight="1" x14ac:dyDescent="0.2">
      <c r="A664" s="1">
        <v>46260</v>
      </c>
      <c r="B664">
        <v>0</v>
      </c>
      <c r="C664" s="2">
        <v>0.28579861111111099</v>
      </c>
      <c r="D664" s="2">
        <v>0.30486111111111103</v>
      </c>
      <c r="E664">
        <v>28</v>
      </c>
      <c r="F664" t="s">
        <v>66</v>
      </c>
      <c r="G664" t="s">
        <v>38</v>
      </c>
      <c r="H664" t="s">
        <v>30</v>
      </c>
    </row>
    <row r="665" spans="1:8" ht="15" customHeight="1" x14ac:dyDescent="0.2">
      <c r="A665" s="1">
        <v>46260</v>
      </c>
      <c r="B665">
        <v>0</v>
      </c>
      <c r="C665" s="2">
        <v>0.45011574074074101</v>
      </c>
      <c r="D665" s="2">
        <v>0.49350694444444398</v>
      </c>
      <c r="E665">
        <v>62</v>
      </c>
      <c r="F665" t="s">
        <v>63</v>
      </c>
      <c r="G665" t="s">
        <v>28</v>
      </c>
      <c r="H665" t="s">
        <v>28</v>
      </c>
    </row>
    <row r="666" spans="1:8" ht="15" customHeight="1" x14ac:dyDescent="0.2">
      <c r="A666" s="1">
        <v>46260</v>
      </c>
      <c r="B666">
        <v>1</v>
      </c>
      <c r="C666" s="2">
        <v>0.67109953703703695</v>
      </c>
      <c r="D666" s="2">
        <v>0.68687500000000001</v>
      </c>
      <c r="E666">
        <v>23</v>
      </c>
      <c r="F666" t="s">
        <v>63</v>
      </c>
      <c r="G666" t="s">
        <v>28</v>
      </c>
      <c r="H666" t="s">
        <v>33</v>
      </c>
    </row>
    <row r="667" spans="1:8" ht="15" customHeight="1" x14ac:dyDescent="0.2">
      <c r="A667" s="1">
        <v>46260</v>
      </c>
      <c r="B667">
        <v>1</v>
      </c>
      <c r="C667" s="2">
        <v>0.54112268518518503</v>
      </c>
      <c r="D667" s="2">
        <v>0.56944444444444398</v>
      </c>
      <c r="E667">
        <v>41</v>
      </c>
      <c r="F667" t="s">
        <v>63</v>
      </c>
      <c r="G667" t="s">
        <v>28</v>
      </c>
      <c r="H667" t="s">
        <v>33</v>
      </c>
    </row>
    <row r="668" spans="1:8" ht="15" customHeight="1" x14ac:dyDescent="0.2">
      <c r="A668" s="1">
        <v>46260</v>
      </c>
      <c r="B668">
        <v>1</v>
      </c>
      <c r="C668" s="2">
        <v>0.495729166666667</v>
      </c>
      <c r="D668" s="2">
        <v>0.59488425925925903</v>
      </c>
      <c r="E668">
        <v>143</v>
      </c>
      <c r="F668" t="s">
        <v>63</v>
      </c>
      <c r="G668" t="s">
        <v>28</v>
      </c>
      <c r="H668" t="s">
        <v>47</v>
      </c>
    </row>
    <row r="669" spans="1:8" ht="15" customHeight="1" x14ac:dyDescent="0.2">
      <c r="A669" s="1">
        <v>46260</v>
      </c>
      <c r="B669">
        <v>1</v>
      </c>
      <c r="C669" s="2">
        <v>0.66070601851851896</v>
      </c>
      <c r="D669" s="2">
        <v>0.6796875</v>
      </c>
      <c r="E669">
        <v>27</v>
      </c>
      <c r="F669" t="s">
        <v>63</v>
      </c>
      <c r="G669" t="s">
        <v>28</v>
      </c>
      <c r="H669" t="s">
        <v>28</v>
      </c>
    </row>
    <row r="670" spans="1:8" ht="15" customHeight="1" x14ac:dyDescent="0.2">
      <c r="A670" s="1">
        <v>46260</v>
      </c>
      <c r="B670">
        <v>1</v>
      </c>
      <c r="C670" s="2">
        <v>0.77670138888888896</v>
      </c>
      <c r="F670" t="s">
        <v>63</v>
      </c>
      <c r="G670" t="s">
        <v>28</v>
      </c>
      <c r="H670" t="s">
        <v>28</v>
      </c>
    </row>
    <row r="671" spans="1:8" ht="15" customHeight="1" x14ac:dyDescent="0.2">
      <c r="A671" s="1">
        <v>46261</v>
      </c>
      <c r="B671">
        <v>0</v>
      </c>
      <c r="C671" s="2">
        <v>0.29918981481481499</v>
      </c>
      <c r="D671" s="2">
        <v>0.36111111111111099</v>
      </c>
      <c r="E671">
        <v>90</v>
      </c>
      <c r="F671" t="s">
        <v>65</v>
      </c>
      <c r="G671" t="s">
        <v>28</v>
      </c>
      <c r="H671" t="s">
        <v>33</v>
      </c>
    </row>
    <row r="672" spans="1:8" ht="15" customHeight="1" x14ac:dyDescent="0.2">
      <c r="A672" s="1">
        <v>46261</v>
      </c>
      <c r="B672">
        <v>0</v>
      </c>
      <c r="C672" s="2">
        <v>0.244131944444444</v>
      </c>
      <c r="D672" s="2">
        <v>0.30416666666666697</v>
      </c>
      <c r="E672">
        <v>87</v>
      </c>
      <c r="F672" t="s">
        <v>68</v>
      </c>
      <c r="G672" t="s">
        <v>28</v>
      </c>
      <c r="H672" t="s">
        <v>30</v>
      </c>
    </row>
    <row r="673" spans="1:8" ht="15" customHeight="1" x14ac:dyDescent="0.2">
      <c r="A673" s="1">
        <v>46261</v>
      </c>
      <c r="B673">
        <v>0</v>
      </c>
      <c r="C673" s="2">
        <v>0.24370370370370401</v>
      </c>
      <c r="D673" s="2">
        <v>0.31059027777777798</v>
      </c>
      <c r="E673">
        <v>97</v>
      </c>
      <c r="F673" t="s">
        <v>65</v>
      </c>
      <c r="G673" t="s">
        <v>28</v>
      </c>
      <c r="H673" t="s">
        <v>28</v>
      </c>
    </row>
    <row r="674" spans="1:8" ht="15" customHeight="1" x14ac:dyDescent="0.2">
      <c r="A674" s="1">
        <v>46261</v>
      </c>
      <c r="B674">
        <v>0</v>
      </c>
      <c r="C674" s="2">
        <v>0.33700231481481502</v>
      </c>
      <c r="D674" s="2">
        <v>0.38541666666666702</v>
      </c>
      <c r="E674">
        <v>70</v>
      </c>
      <c r="F674" t="s">
        <v>66</v>
      </c>
      <c r="G674" t="s">
        <v>28</v>
      </c>
      <c r="H674" t="s">
        <v>45</v>
      </c>
    </row>
    <row r="675" spans="1:8" ht="15" customHeight="1" x14ac:dyDescent="0.2">
      <c r="A675" s="1">
        <v>46261</v>
      </c>
      <c r="B675">
        <v>0</v>
      </c>
      <c r="C675" s="2">
        <v>0.23888888888888901</v>
      </c>
      <c r="D675" s="2">
        <v>0.31788194444444401</v>
      </c>
      <c r="E675">
        <v>113</v>
      </c>
      <c r="F675" t="s">
        <v>65</v>
      </c>
      <c r="G675" t="s">
        <v>28</v>
      </c>
      <c r="H675" t="s">
        <v>45</v>
      </c>
    </row>
    <row r="676" spans="1:8" ht="15" customHeight="1" x14ac:dyDescent="0.2">
      <c r="A676" s="1">
        <v>46261</v>
      </c>
      <c r="B676">
        <v>0</v>
      </c>
      <c r="C676" s="2">
        <v>0.334166666666667</v>
      </c>
      <c r="D676" s="2">
        <v>0.358877314814815</v>
      </c>
      <c r="E676">
        <v>35</v>
      </c>
      <c r="F676" t="s">
        <v>65</v>
      </c>
      <c r="G676" t="s">
        <v>28</v>
      </c>
      <c r="H676" t="s">
        <v>28</v>
      </c>
    </row>
    <row r="677" spans="1:8" ht="15" customHeight="1" x14ac:dyDescent="0.2">
      <c r="A677" s="1">
        <v>46261</v>
      </c>
      <c r="B677">
        <v>0</v>
      </c>
      <c r="C677" s="2">
        <v>0.37353009259259301</v>
      </c>
      <c r="D677" s="2">
        <v>0.436805555555556</v>
      </c>
      <c r="E677">
        <v>92</v>
      </c>
      <c r="F677" t="s">
        <v>65</v>
      </c>
      <c r="G677" t="s">
        <v>28</v>
      </c>
      <c r="H677" t="s">
        <v>28</v>
      </c>
    </row>
    <row r="678" spans="1:8" ht="15" customHeight="1" x14ac:dyDescent="0.2">
      <c r="A678" s="1">
        <v>46261</v>
      </c>
      <c r="B678">
        <v>0</v>
      </c>
      <c r="C678" s="2">
        <v>0.54258101851851803</v>
      </c>
      <c r="D678" s="2">
        <v>0.58496527777777796</v>
      </c>
      <c r="E678">
        <v>61</v>
      </c>
      <c r="F678" t="s">
        <v>65</v>
      </c>
      <c r="G678" t="s">
        <v>28</v>
      </c>
      <c r="H678" t="s">
        <v>28</v>
      </c>
    </row>
    <row r="679" spans="1:8" ht="15" customHeight="1" x14ac:dyDescent="0.2">
      <c r="A679" s="1">
        <v>46261</v>
      </c>
      <c r="B679">
        <v>0</v>
      </c>
      <c r="C679" s="2">
        <v>0.421990740740741</v>
      </c>
      <c r="D679" s="2">
        <v>0.50773148148148195</v>
      </c>
      <c r="E679">
        <v>124</v>
      </c>
      <c r="F679" t="s">
        <v>68</v>
      </c>
      <c r="G679" t="s">
        <v>34</v>
      </c>
      <c r="H679" t="s">
        <v>28</v>
      </c>
    </row>
    <row r="680" spans="1:8" ht="15" customHeight="1" x14ac:dyDescent="0.2">
      <c r="A680" s="1">
        <v>46261</v>
      </c>
      <c r="B680">
        <v>0</v>
      </c>
      <c r="C680" s="2">
        <v>0.23076388888888899</v>
      </c>
      <c r="D680" s="2">
        <v>0.30972222222222201</v>
      </c>
      <c r="E680">
        <v>114</v>
      </c>
      <c r="F680" t="s">
        <v>65</v>
      </c>
      <c r="G680" t="s">
        <v>28</v>
      </c>
      <c r="H680" t="s">
        <v>28</v>
      </c>
    </row>
    <row r="681" spans="1:8" ht="15" customHeight="1" x14ac:dyDescent="0.2">
      <c r="A681" s="1">
        <v>46261</v>
      </c>
      <c r="B681">
        <v>0</v>
      </c>
      <c r="C681" s="2">
        <v>0.401053240740741</v>
      </c>
      <c r="D681" s="2">
        <v>0.488726851851852</v>
      </c>
      <c r="E681">
        <v>126</v>
      </c>
      <c r="F681" t="s">
        <v>63</v>
      </c>
      <c r="G681" t="s">
        <v>28</v>
      </c>
      <c r="H681" t="s">
        <v>33</v>
      </c>
    </row>
    <row r="682" spans="1:8" ht="15" customHeight="1" x14ac:dyDescent="0.2">
      <c r="A682" s="1">
        <v>46261</v>
      </c>
      <c r="B682">
        <v>0</v>
      </c>
      <c r="C682" s="2">
        <v>0.39314814814814802</v>
      </c>
      <c r="D682" s="2">
        <v>0.45641203703703698</v>
      </c>
      <c r="E682">
        <v>91</v>
      </c>
      <c r="F682" t="s">
        <v>65</v>
      </c>
      <c r="G682" t="s">
        <v>28</v>
      </c>
      <c r="H682" t="s">
        <v>45</v>
      </c>
    </row>
    <row r="683" spans="1:8" ht="15" customHeight="1" x14ac:dyDescent="0.2">
      <c r="A683" s="1">
        <v>46261</v>
      </c>
      <c r="B683">
        <v>0</v>
      </c>
      <c r="C683" s="2">
        <v>0.40277777777777801</v>
      </c>
      <c r="D683" s="2">
        <v>0.43962962962962998</v>
      </c>
      <c r="E683">
        <v>53</v>
      </c>
      <c r="F683" t="s">
        <v>65</v>
      </c>
      <c r="G683" t="s">
        <v>34</v>
      </c>
      <c r="H683" t="s">
        <v>30</v>
      </c>
    </row>
    <row r="684" spans="1:8" ht="15" customHeight="1" x14ac:dyDescent="0.2">
      <c r="A684" s="1">
        <v>46261</v>
      </c>
      <c r="B684">
        <v>0</v>
      </c>
      <c r="C684" s="2">
        <v>0.25394675925925903</v>
      </c>
      <c r="D684" s="2">
        <v>0.31070601851851898</v>
      </c>
      <c r="E684">
        <v>82</v>
      </c>
      <c r="F684" t="s">
        <v>63</v>
      </c>
      <c r="G684" t="s">
        <v>28</v>
      </c>
      <c r="H684" t="s">
        <v>33</v>
      </c>
    </row>
    <row r="685" spans="1:8" ht="15" customHeight="1" x14ac:dyDescent="0.2">
      <c r="A685" s="1">
        <v>46261</v>
      </c>
      <c r="B685">
        <v>0</v>
      </c>
      <c r="C685" s="2">
        <v>0.65730324074074098</v>
      </c>
      <c r="D685" s="2">
        <v>0.74721064814814797</v>
      </c>
      <c r="E685">
        <v>129</v>
      </c>
      <c r="F685" t="s">
        <v>63</v>
      </c>
      <c r="G685" t="s">
        <v>28</v>
      </c>
      <c r="H685" t="s">
        <v>33</v>
      </c>
    </row>
    <row r="686" spans="1:8" ht="15" customHeight="1" x14ac:dyDescent="0.2">
      <c r="A686" s="1">
        <v>46261</v>
      </c>
      <c r="B686">
        <v>0</v>
      </c>
      <c r="C686" s="2">
        <v>0.53606481481481505</v>
      </c>
      <c r="D686" s="2">
        <v>0.73548611111111095</v>
      </c>
      <c r="E686">
        <v>288</v>
      </c>
      <c r="F686" t="s">
        <v>63</v>
      </c>
      <c r="G686" t="s">
        <v>34</v>
      </c>
      <c r="H686" t="s">
        <v>33</v>
      </c>
    </row>
    <row r="687" spans="1:8" ht="15" customHeight="1" x14ac:dyDescent="0.2">
      <c r="A687" s="1">
        <v>46261</v>
      </c>
      <c r="B687">
        <v>0</v>
      </c>
      <c r="C687" s="2">
        <v>0.281944444444444</v>
      </c>
      <c r="D687" s="2">
        <v>0.30818287037037001</v>
      </c>
      <c r="E687">
        <v>37</v>
      </c>
      <c r="F687" t="s">
        <v>65</v>
      </c>
      <c r="G687" t="s">
        <v>28</v>
      </c>
      <c r="H687" t="s">
        <v>46</v>
      </c>
    </row>
    <row r="688" spans="1:8" ht="15" customHeight="1" x14ac:dyDescent="0.2">
      <c r="A688" s="1">
        <v>46261</v>
      </c>
      <c r="B688">
        <v>0</v>
      </c>
      <c r="C688" s="2">
        <v>0.38587962962963002</v>
      </c>
      <c r="D688" s="2">
        <v>0.43495370370370401</v>
      </c>
      <c r="E688">
        <v>71</v>
      </c>
      <c r="F688" t="s">
        <v>66</v>
      </c>
      <c r="G688" t="s">
        <v>28</v>
      </c>
      <c r="H688" t="s">
        <v>33</v>
      </c>
    </row>
    <row r="689" spans="1:8" ht="15" customHeight="1" x14ac:dyDescent="0.2">
      <c r="A689" s="1">
        <v>46261</v>
      </c>
      <c r="B689">
        <v>0</v>
      </c>
      <c r="C689" s="2">
        <v>0.58077546296296301</v>
      </c>
      <c r="D689" s="2">
        <v>0.6875</v>
      </c>
      <c r="E689">
        <v>154</v>
      </c>
      <c r="F689" t="s">
        <v>68</v>
      </c>
      <c r="G689" t="s">
        <v>28</v>
      </c>
      <c r="H689" t="s">
        <v>28</v>
      </c>
    </row>
    <row r="690" spans="1:8" ht="15" customHeight="1" x14ac:dyDescent="0.2">
      <c r="A690" s="1">
        <v>46261</v>
      </c>
      <c r="B690">
        <v>0</v>
      </c>
      <c r="C690" s="2">
        <v>0.60273148148148104</v>
      </c>
      <c r="D690" s="2">
        <v>0.69046296296296295</v>
      </c>
      <c r="E690">
        <v>127</v>
      </c>
      <c r="F690" t="s">
        <v>65</v>
      </c>
      <c r="G690" t="s">
        <v>28</v>
      </c>
      <c r="H690" t="s">
        <v>33</v>
      </c>
    </row>
    <row r="691" spans="1:8" ht="15" customHeight="1" x14ac:dyDescent="0.2">
      <c r="A691" s="1">
        <v>46261</v>
      </c>
      <c r="B691">
        <v>0</v>
      </c>
      <c r="C691" s="2">
        <v>0.49370370370370398</v>
      </c>
      <c r="D691" s="2">
        <v>0.60210648148148105</v>
      </c>
      <c r="E691">
        <v>157</v>
      </c>
      <c r="F691" t="s">
        <v>65</v>
      </c>
      <c r="G691" t="s">
        <v>28</v>
      </c>
      <c r="H691" t="s">
        <v>28</v>
      </c>
    </row>
    <row r="692" spans="1:8" ht="15" customHeight="1" x14ac:dyDescent="0.2">
      <c r="A692" s="1">
        <v>46261</v>
      </c>
      <c r="B692">
        <v>0</v>
      </c>
      <c r="C692" s="2">
        <v>0.34246527777777802</v>
      </c>
      <c r="D692" s="2">
        <v>0.38765046296296302</v>
      </c>
      <c r="E692">
        <v>65</v>
      </c>
      <c r="F692" t="s">
        <v>65</v>
      </c>
      <c r="G692" t="s">
        <v>28</v>
      </c>
      <c r="H692" t="s">
        <v>39</v>
      </c>
    </row>
    <row r="693" spans="1:8" ht="15" customHeight="1" x14ac:dyDescent="0.2">
      <c r="A693" s="1">
        <v>46261</v>
      </c>
      <c r="B693">
        <v>0</v>
      </c>
      <c r="C693" s="2">
        <v>0.282789351851852</v>
      </c>
      <c r="D693" s="2">
        <v>0.32177083333333301</v>
      </c>
      <c r="E693">
        <v>56</v>
      </c>
      <c r="F693" t="s">
        <v>63</v>
      </c>
      <c r="G693" t="s">
        <v>28</v>
      </c>
      <c r="H693" t="s">
        <v>41</v>
      </c>
    </row>
    <row r="694" spans="1:8" ht="15" customHeight="1" x14ac:dyDescent="0.2">
      <c r="A694" s="1">
        <v>46261</v>
      </c>
      <c r="B694">
        <v>0</v>
      </c>
      <c r="C694" s="2">
        <v>0.45366898148148099</v>
      </c>
      <c r="D694" s="2">
        <v>0.51714120370370398</v>
      </c>
      <c r="E694">
        <v>91</v>
      </c>
      <c r="F694" t="s">
        <v>65</v>
      </c>
      <c r="G694" t="s">
        <v>28</v>
      </c>
      <c r="H694" t="s">
        <v>30</v>
      </c>
    </row>
    <row r="695" spans="1:8" ht="15" customHeight="1" x14ac:dyDescent="0.2">
      <c r="A695" s="1">
        <v>46261</v>
      </c>
      <c r="B695">
        <v>0</v>
      </c>
      <c r="C695" s="2">
        <v>0.244479166666667</v>
      </c>
      <c r="D695" s="2">
        <v>0.30069444444444399</v>
      </c>
      <c r="E695">
        <v>81</v>
      </c>
      <c r="F695" t="s">
        <v>65</v>
      </c>
      <c r="G695" t="s">
        <v>28</v>
      </c>
      <c r="H695" t="s">
        <v>33</v>
      </c>
    </row>
    <row r="696" spans="1:8" ht="15" customHeight="1" x14ac:dyDescent="0.2">
      <c r="A696" s="1">
        <v>46261</v>
      </c>
      <c r="B696">
        <v>0</v>
      </c>
      <c r="C696" s="2">
        <v>0.49474537037036997</v>
      </c>
      <c r="D696" s="2">
        <v>0.50694444444444398</v>
      </c>
      <c r="E696">
        <v>18</v>
      </c>
      <c r="F696" t="s">
        <v>63</v>
      </c>
      <c r="G696" t="s">
        <v>28</v>
      </c>
      <c r="H696" t="s">
        <v>49</v>
      </c>
    </row>
    <row r="697" spans="1:8" ht="15" customHeight="1" x14ac:dyDescent="0.2">
      <c r="A697" s="1">
        <v>46261</v>
      </c>
      <c r="B697">
        <v>0</v>
      </c>
      <c r="C697" s="2">
        <v>0.2421875</v>
      </c>
      <c r="D697" s="2">
        <v>0.26736111111111099</v>
      </c>
      <c r="E697">
        <v>37</v>
      </c>
      <c r="F697" t="s">
        <v>63</v>
      </c>
      <c r="G697" t="s">
        <v>34</v>
      </c>
      <c r="H697" t="s">
        <v>44</v>
      </c>
    </row>
    <row r="698" spans="1:8" ht="15" customHeight="1" x14ac:dyDescent="0.2">
      <c r="A698" s="1">
        <v>46261</v>
      </c>
      <c r="B698">
        <v>0</v>
      </c>
      <c r="C698" s="2">
        <v>0.38082175925925899</v>
      </c>
      <c r="D698" s="2">
        <v>0.42136574074074101</v>
      </c>
      <c r="E698">
        <v>58</v>
      </c>
      <c r="F698" t="s">
        <v>63</v>
      </c>
      <c r="G698" t="s">
        <v>28</v>
      </c>
      <c r="H698" t="s">
        <v>47</v>
      </c>
    </row>
    <row r="699" spans="1:8" ht="15" customHeight="1" x14ac:dyDescent="0.2">
      <c r="A699" s="1">
        <v>46261</v>
      </c>
      <c r="B699">
        <v>0</v>
      </c>
      <c r="C699" s="2">
        <v>0.24336805555555599</v>
      </c>
      <c r="D699" s="2">
        <v>0.300763888888889</v>
      </c>
      <c r="E699">
        <v>83</v>
      </c>
      <c r="F699" t="s">
        <v>65</v>
      </c>
      <c r="G699" t="s">
        <v>28</v>
      </c>
      <c r="H699" t="s">
        <v>33</v>
      </c>
    </row>
    <row r="700" spans="1:8" ht="15" customHeight="1" x14ac:dyDescent="0.2">
      <c r="A700" s="1">
        <v>46261</v>
      </c>
      <c r="B700">
        <v>0</v>
      </c>
      <c r="C700" s="2">
        <v>0.672106481481481</v>
      </c>
      <c r="D700" s="2">
        <v>0.70069444444444395</v>
      </c>
      <c r="E700">
        <v>42</v>
      </c>
      <c r="F700" t="s">
        <v>63</v>
      </c>
      <c r="G700" t="s">
        <v>28</v>
      </c>
      <c r="H700" t="s">
        <v>28</v>
      </c>
    </row>
    <row r="701" spans="1:8" ht="15" customHeight="1" x14ac:dyDescent="0.2">
      <c r="A701" s="1">
        <v>46261</v>
      </c>
      <c r="B701">
        <v>0</v>
      </c>
      <c r="C701" s="2">
        <v>0.64864583333333303</v>
      </c>
      <c r="D701" s="2">
        <v>0.66771990740740705</v>
      </c>
      <c r="E701">
        <v>27</v>
      </c>
      <c r="F701" t="s">
        <v>66</v>
      </c>
      <c r="G701" t="s">
        <v>28</v>
      </c>
      <c r="H701" t="s">
        <v>30</v>
      </c>
    </row>
    <row r="702" spans="1:8" ht="15" customHeight="1" x14ac:dyDescent="0.2">
      <c r="A702" s="1">
        <v>46261</v>
      </c>
      <c r="B702">
        <v>0</v>
      </c>
      <c r="C702" s="2">
        <v>0.485104166666667</v>
      </c>
      <c r="D702" s="2">
        <v>0.51319444444444395</v>
      </c>
      <c r="E702">
        <v>41</v>
      </c>
      <c r="F702" t="s">
        <v>63</v>
      </c>
      <c r="G702" t="s">
        <v>28</v>
      </c>
      <c r="H702" t="s">
        <v>28</v>
      </c>
    </row>
    <row r="703" spans="1:8" ht="15" customHeight="1" x14ac:dyDescent="0.2">
      <c r="A703" s="1">
        <v>46261</v>
      </c>
      <c r="B703">
        <v>0</v>
      </c>
      <c r="C703" s="2">
        <v>0.59379629629629604</v>
      </c>
      <c r="D703" s="2">
        <v>0.64583333333333304</v>
      </c>
      <c r="E703">
        <v>75</v>
      </c>
      <c r="F703" t="s">
        <v>63</v>
      </c>
      <c r="G703" t="s">
        <v>28</v>
      </c>
      <c r="H703" t="s">
        <v>28</v>
      </c>
    </row>
    <row r="704" spans="1:8" ht="15" customHeight="1" x14ac:dyDescent="0.2">
      <c r="A704" s="1">
        <v>46261</v>
      </c>
      <c r="B704">
        <v>0</v>
      </c>
      <c r="C704" s="2">
        <v>0.28819444444444398</v>
      </c>
      <c r="D704" s="2">
        <v>0.30347222222222198</v>
      </c>
      <c r="E704">
        <v>22</v>
      </c>
      <c r="F704" t="s">
        <v>63</v>
      </c>
      <c r="G704" t="s">
        <v>28</v>
      </c>
      <c r="H704" t="s">
        <v>30</v>
      </c>
    </row>
    <row r="705" spans="1:8" ht="15" customHeight="1" x14ac:dyDescent="0.2">
      <c r="A705" s="1">
        <v>46261</v>
      </c>
      <c r="B705">
        <v>1</v>
      </c>
      <c r="C705" s="2">
        <v>0.40144675925925899</v>
      </c>
      <c r="D705" s="2">
        <v>0.44039351851851899</v>
      </c>
      <c r="E705">
        <v>56</v>
      </c>
      <c r="F705" t="s">
        <v>63</v>
      </c>
      <c r="G705" t="s">
        <v>34</v>
      </c>
      <c r="H705" t="s">
        <v>30</v>
      </c>
    </row>
    <row r="706" spans="1:8" ht="15" customHeight="1" x14ac:dyDescent="0.2">
      <c r="A706" s="1">
        <v>46261</v>
      </c>
      <c r="B706">
        <v>1</v>
      </c>
      <c r="C706" s="2">
        <v>0.56077546296296299</v>
      </c>
      <c r="D706" s="2">
        <v>0.595173611111111</v>
      </c>
      <c r="E706">
        <v>50</v>
      </c>
      <c r="F706" t="s">
        <v>63</v>
      </c>
      <c r="G706" t="s">
        <v>28</v>
      </c>
      <c r="H706" t="s">
        <v>33</v>
      </c>
    </row>
    <row r="707" spans="1:8" ht="15" customHeight="1" x14ac:dyDescent="0.2">
      <c r="A707" s="1">
        <v>46261</v>
      </c>
      <c r="B707">
        <v>1</v>
      </c>
      <c r="C707" s="2">
        <v>0.39930555555555602</v>
      </c>
      <c r="D707" s="2">
        <v>0.42435185185185198</v>
      </c>
      <c r="E707">
        <v>36</v>
      </c>
      <c r="F707" t="s">
        <v>66</v>
      </c>
      <c r="G707" t="s">
        <v>28</v>
      </c>
      <c r="H707" t="s">
        <v>28</v>
      </c>
    </row>
    <row r="708" spans="1:8" ht="15" customHeight="1" x14ac:dyDescent="0.2">
      <c r="A708" s="1">
        <v>46261</v>
      </c>
      <c r="B708">
        <v>1</v>
      </c>
      <c r="C708" s="2">
        <v>0.69943287037037005</v>
      </c>
      <c r="D708" s="2">
        <v>0.82851851851851899</v>
      </c>
      <c r="E708">
        <v>186</v>
      </c>
      <c r="F708" t="s">
        <v>63</v>
      </c>
      <c r="G708" t="s">
        <v>28</v>
      </c>
      <c r="H708" t="s">
        <v>37</v>
      </c>
    </row>
    <row r="709" spans="1:8" ht="15" customHeight="1" x14ac:dyDescent="0.2">
      <c r="A709" s="1">
        <v>46261</v>
      </c>
      <c r="B709">
        <v>1</v>
      </c>
      <c r="C709" s="2">
        <v>0.65375000000000005</v>
      </c>
      <c r="D709" s="2">
        <v>0.66666666666666696</v>
      </c>
      <c r="E709">
        <v>19</v>
      </c>
      <c r="F709" t="s">
        <v>63</v>
      </c>
      <c r="G709" t="s">
        <v>34</v>
      </c>
      <c r="H709" t="s">
        <v>28</v>
      </c>
    </row>
    <row r="710" spans="1:8" ht="15" customHeight="1" x14ac:dyDescent="0.2">
      <c r="A710" s="1">
        <v>46261</v>
      </c>
      <c r="B710">
        <v>0</v>
      </c>
      <c r="C710" s="2">
        <v>0.44121527777777803</v>
      </c>
      <c r="D710" s="2">
        <v>0.50624999999999998</v>
      </c>
      <c r="E710">
        <v>94</v>
      </c>
      <c r="F710" t="s">
        <v>65</v>
      </c>
      <c r="G710" t="s">
        <v>28</v>
      </c>
      <c r="H710" t="s">
        <v>33</v>
      </c>
    </row>
    <row r="711" spans="1:8" ht="15" customHeight="1" x14ac:dyDescent="0.2">
      <c r="A711" s="1">
        <v>46262</v>
      </c>
      <c r="B711">
        <v>0</v>
      </c>
      <c r="C711" s="2">
        <v>0.23708333333333301</v>
      </c>
      <c r="D711" s="2">
        <v>0.31388888888888899</v>
      </c>
      <c r="E711">
        <v>111</v>
      </c>
      <c r="F711" t="s">
        <v>63</v>
      </c>
      <c r="G711" t="s">
        <v>28</v>
      </c>
      <c r="H711" t="s">
        <v>30</v>
      </c>
    </row>
    <row r="712" spans="1:8" ht="15" customHeight="1" x14ac:dyDescent="0.2">
      <c r="A712" s="1">
        <v>46262</v>
      </c>
      <c r="B712">
        <v>0</v>
      </c>
      <c r="C712" s="2">
        <v>0.23628472222222199</v>
      </c>
      <c r="D712" s="2">
        <v>0.30575231481481502</v>
      </c>
      <c r="E712">
        <v>100</v>
      </c>
      <c r="F712" t="s">
        <v>65</v>
      </c>
      <c r="G712" t="s">
        <v>28</v>
      </c>
      <c r="H712" t="s">
        <v>37</v>
      </c>
    </row>
    <row r="713" spans="1:8" ht="15" customHeight="1" x14ac:dyDescent="0.2">
      <c r="A713" s="1">
        <v>46262</v>
      </c>
      <c r="B713">
        <v>0</v>
      </c>
      <c r="C713" s="2">
        <v>0.29611111111111099</v>
      </c>
      <c r="D713" s="2">
        <v>0.32828703703703699</v>
      </c>
      <c r="E713">
        <v>46</v>
      </c>
      <c r="F713" t="s">
        <v>63</v>
      </c>
      <c r="G713" t="s">
        <v>28</v>
      </c>
      <c r="H713" t="s">
        <v>33</v>
      </c>
    </row>
    <row r="714" spans="1:8" ht="15" customHeight="1" x14ac:dyDescent="0.2">
      <c r="A714" s="1">
        <v>46262</v>
      </c>
      <c r="B714">
        <v>0</v>
      </c>
      <c r="C714" s="2">
        <v>0.23770833333333299</v>
      </c>
      <c r="D714" s="2">
        <v>0.31204861111111099</v>
      </c>
      <c r="E714">
        <v>107</v>
      </c>
      <c r="F714" t="s">
        <v>65</v>
      </c>
      <c r="G714" t="s">
        <v>38</v>
      </c>
      <c r="H714" t="s">
        <v>39</v>
      </c>
    </row>
    <row r="715" spans="1:8" ht="15" customHeight="1" x14ac:dyDescent="0.2">
      <c r="A715" s="1">
        <v>46262</v>
      </c>
      <c r="B715">
        <v>0</v>
      </c>
      <c r="C715" s="2">
        <v>0.330243055555556</v>
      </c>
      <c r="D715" s="2">
        <v>0.369421296296296</v>
      </c>
      <c r="E715">
        <v>56</v>
      </c>
      <c r="F715" t="s">
        <v>65</v>
      </c>
      <c r="G715" t="s">
        <v>38</v>
      </c>
      <c r="H715" t="s">
        <v>39</v>
      </c>
    </row>
    <row r="716" spans="1:8" ht="15" customHeight="1" x14ac:dyDescent="0.2">
      <c r="A716" s="1">
        <v>46262</v>
      </c>
      <c r="B716">
        <v>0</v>
      </c>
      <c r="C716" s="2">
        <v>0.46835648148148101</v>
      </c>
      <c r="D716" s="2">
        <v>0.530555555555556</v>
      </c>
      <c r="E716">
        <v>90</v>
      </c>
      <c r="F716" t="s">
        <v>65</v>
      </c>
      <c r="G716" t="s">
        <v>28</v>
      </c>
      <c r="H716" t="s">
        <v>33</v>
      </c>
    </row>
    <row r="717" spans="1:8" ht="15" customHeight="1" x14ac:dyDescent="0.2">
      <c r="A717" s="1">
        <v>46262</v>
      </c>
      <c r="B717">
        <v>0</v>
      </c>
      <c r="C717" s="2">
        <v>0.42739583333333298</v>
      </c>
      <c r="D717" s="2">
        <v>0.47236111111111101</v>
      </c>
      <c r="E717">
        <v>65</v>
      </c>
      <c r="F717" t="s">
        <v>65</v>
      </c>
      <c r="G717" t="s">
        <v>28</v>
      </c>
      <c r="H717" t="s">
        <v>33</v>
      </c>
    </row>
    <row r="718" spans="1:8" ht="15" customHeight="1" x14ac:dyDescent="0.2">
      <c r="A718" s="1">
        <v>46262</v>
      </c>
      <c r="B718">
        <v>0</v>
      </c>
      <c r="C718" s="2">
        <v>0.38118055555555602</v>
      </c>
      <c r="D718" s="2">
        <v>0.41666666666666702</v>
      </c>
      <c r="E718">
        <v>52</v>
      </c>
      <c r="F718" t="s">
        <v>65</v>
      </c>
      <c r="G718" t="s">
        <v>38</v>
      </c>
      <c r="H718" t="s">
        <v>39</v>
      </c>
    </row>
    <row r="719" spans="1:8" ht="15" customHeight="1" x14ac:dyDescent="0.2">
      <c r="A719" s="1">
        <v>46262</v>
      </c>
      <c r="B719">
        <v>0</v>
      </c>
      <c r="C719" s="2">
        <v>0.427303240740741</v>
      </c>
      <c r="D719" s="2">
        <v>0.50208333333333299</v>
      </c>
      <c r="E719">
        <v>108</v>
      </c>
      <c r="F719" t="s">
        <v>65</v>
      </c>
      <c r="G719" t="s">
        <v>28</v>
      </c>
      <c r="H719" t="s">
        <v>39</v>
      </c>
    </row>
    <row r="720" spans="1:8" ht="15" customHeight="1" x14ac:dyDescent="0.2">
      <c r="A720" s="1">
        <v>46262</v>
      </c>
      <c r="B720">
        <v>0</v>
      </c>
      <c r="C720" s="2">
        <v>0.55039351851851803</v>
      </c>
      <c r="D720" s="2">
        <v>0.57465277777777801</v>
      </c>
      <c r="E720">
        <v>35</v>
      </c>
      <c r="F720" t="s">
        <v>65</v>
      </c>
      <c r="G720" t="s">
        <v>28</v>
      </c>
      <c r="H720" t="s">
        <v>33</v>
      </c>
    </row>
    <row r="721" spans="1:8" ht="15" customHeight="1" x14ac:dyDescent="0.2">
      <c r="A721" s="1">
        <v>46262</v>
      </c>
      <c r="B721">
        <v>0</v>
      </c>
      <c r="C721" s="2">
        <v>0.22158564814814799</v>
      </c>
      <c r="D721" s="2">
        <v>0.26677083333333301</v>
      </c>
      <c r="E721">
        <v>65</v>
      </c>
      <c r="F721" t="s">
        <v>63</v>
      </c>
      <c r="G721" t="s">
        <v>34</v>
      </c>
      <c r="H721" t="s">
        <v>44</v>
      </c>
    </row>
    <row r="722" spans="1:8" ht="15" customHeight="1" x14ac:dyDescent="0.2">
      <c r="A722" s="1">
        <v>46262</v>
      </c>
      <c r="B722">
        <v>0</v>
      </c>
      <c r="C722" s="2">
        <v>0.38563657407407398</v>
      </c>
      <c r="D722" s="2">
        <v>0.41663194444444401</v>
      </c>
      <c r="E722">
        <v>44</v>
      </c>
      <c r="F722" t="s">
        <v>63</v>
      </c>
      <c r="G722" t="s">
        <v>28</v>
      </c>
      <c r="H722" t="s">
        <v>28</v>
      </c>
    </row>
    <row r="723" spans="1:8" ht="15" customHeight="1" x14ac:dyDescent="0.2">
      <c r="A723" s="1">
        <v>46262</v>
      </c>
      <c r="B723">
        <v>0</v>
      </c>
      <c r="C723" s="2">
        <v>0.43721064814814797</v>
      </c>
      <c r="D723" s="2">
        <v>0.46136574074074099</v>
      </c>
      <c r="E723">
        <v>35</v>
      </c>
      <c r="F723" t="s">
        <v>63</v>
      </c>
      <c r="G723" t="s">
        <v>28</v>
      </c>
      <c r="H723" t="s">
        <v>30</v>
      </c>
    </row>
    <row r="724" spans="1:8" ht="15" customHeight="1" x14ac:dyDescent="0.2">
      <c r="A724" s="1">
        <v>46262</v>
      </c>
      <c r="B724">
        <v>0</v>
      </c>
      <c r="C724" s="2">
        <v>0.236608796296296</v>
      </c>
      <c r="D724" s="2">
        <v>0.30598379629629602</v>
      </c>
      <c r="E724">
        <v>100</v>
      </c>
      <c r="F724" t="s">
        <v>65</v>
      </c>
      <c r="G724" t="s">
        <v>28</v>
      </c>
      <c r="H724" t="s">
        <v>45</v>
      </c>
    </row>
    <row r="725" spans="1:8" ht="15" customHeight="1" x14ac:dyDescent="0.2">
      <c r="A725" s="1">
        <v>46262</v>
      </c>
      <c r="B725">
        <v>0</v>
      </c>
      <c r="C725" s="2">
        <v>0.291296296296296</v>
      </c>
      <c r="D725" s="2">
        <v>0.311770833333333</v>
      </c>
      <c r="E725">
        <v>29</v>
      </c>
      <c r="F725" t="s">
        <v>63</v>
      </c>
      <c r="G725" t="s">
        <v>28</v>
      </c>
      <c r="H725" t="s">
        <v>28</v>
      </c>
    </row>
    <row r="726" spans="1:8" ht="15" customHeight="1" x14ac:dyDescent="0.2">
      <c r="A726" s="1">
        <v>46262</v>
      </c>
      <c r="B726">
        <v>0</v>
      </c>
      <c r="C726" s="2">
        <v>0.46269675925925902</v>
      </c>
      <c r="D726" s="2">
        <v>0.47506944444444399</v>
      </c>
      <c r="E726">
        <v>18</v>
      </c>
      <c r="F726" t="s">
        <v>63</v>
      </c>
      <c r="G726" t="s">
        <v>28</v>
      </c>
      <c r="H726" t="s">
        <v>47</v>
      </c>
    </row>
    <row r="727" spans="1:8" ht="15" customHeight="1" x14ac:dyDescent="0.2">
      <c r="A727" s="1">
        <v>46262</v>
      </c>
      <c r="B727">
        <v>0</v>
      </c>
      <c r="C727" s="2">
        <v>0.464594907407407</v>
      </c>
      <c r="D727" s="2">
        <v>0.497650462962963</v>
      </c>
      <c r="E727">
        <v>47</v>
      </c>
      <c r="F727" t="s">
        <v>63</v>
      </c>
      <c r="G727" t="s">
        <v>28</v>
      </c>
      <c r="H727" t="s">
        <v>28</v>
      </c>
    </row>
    <row r="728" spans="1:8" ht="15" customHeight="1" x14ac:dyDescent="0.2">
      <c r="A728" s="1">
        <v>46262</v>
      </c>
      <c r="B728">
        <v>0</v>
      </c>
      <c r="C728" s="2">
        <v>0.28533564814814799</v>
      </c>
      <c r="D728" s="2">
        <v>0.297222222222222</v>
      </c>
      <c r="E728">
        <v>18</v>
      </c>
      <c r="F728" t="s">
        <v>63</v>
      </c>
      <c r="G728" t="s">
        <v>28</v>
      </c>
      <c r="H728" t="s">
        <v>30</v>
      </c>
    </row>
    <row r="729" spans="1:8" ht="15" customHeight="1" x14ac:dyDescent="0.2">
      <c r="A729" s="1">
        <v>46262</v>
      </c>
      <c r="B729">
        <v>0</v>
      </c>
      <c r="C729" s="2">
        <v>0.27815972222222202</v>
      </c>
      <c r="D729" s="2">
        <v>0.31666666666666698</v>
      </c>
      <c r="E729">
        <v>56</v>
      </c>
      <c r="F729" t="s">
        <v>63</v>
      </c>
      <c r="G729" t="s">
        <v>28</v>
      </c>
      <c r="H729" t="s">
        <v>41</v>
      </c>
    </row>
    <row r="730" spans="1:8" ht="15" customHeight="1" x14ac:dyDescent="0.2">
      <c r="A730" s="1">
        <v>46262</v>
      </c>
      <c r="B730">
        <v>0</v>
      </c>
      <c r="C730" s="2">
        <v>0.39546296296296302</v>
      </c>
      <c r="D730" s="2">
        <v>0.42499999999999999</v>
      </c>
      <c r="E730">
        <v>43</v>
      </c>
      <c r="F730" t="s">
        <v>63</v>
      </c>
      <c r="G730" t="s">
        <v>34</v>
      </c>
      <c r="H730" t="s">
        <v>30</v>
      </c>
    </row>
    <row r="731" spans="1:8" ht="15" customHeight="1" x14ac:dyDescent="0.2">
      <c r="A731" s="1">
        <v>46262</v>
      </c>
      <c r="B731">
        <v>1</v>
      </c>
      <c r="C731" s="2">
        <v>0.45624999999999999</v>
      </c>
      <c r="D731" s="2">
        <v>0.47916666666666702</v>
      </c>
      <c r="E731">
        <v>33</v>
      </c>
      <c r="F731" t="s">
        <v>63</v>
      </c>
      <c r="G731" t="s">
        <v>28</v>
      </c>
      <c r="H731" t="s">
        <v>28</v>
      </c>
    </row>
    <row r="732" spans="1:8" ht="15" customHeight="1" x14ac:dyDescent="0.2">
      <c r="A732" s="1">
        <v>46262</v>
      </c>
      <c r="B732">
        <v>1</v>
      </c>
      <c r="C732" s="2">
        <v>0.51974537037037005</v>
      </c>
      <c r="D732" s="2">
        <v>0.56064814814814801</v>
      </c>
      <c r="E732">
        <v>59</v>
      </c>
      <c r="F732" t="s">
        <v>63</v>
      </c>
      <c r="G732" t="s">
        <v>28</v>
      </c>
      <c r="H732" t="s">
        <v>30</v>
      </c>
    </row>
    <row r="733" spans="1:8" ht="15" customHeight="1" x14ac:dyDescent="0.2">
      <c r="A733" s="1">
        <v>46262</v>
      </c>
      <c r="B733">
        <v>1</v>
      </c>
      <c r="C733" s="2">
        <v>0.59141203703703704</v>
      </c>
      <c r="D733" s="2">
        <v>0.61944444444444402</v>
      </c>
      <c r="E733">
        <v>41</v>
      </c>
      <c r="F733" t="s">
        <v>63</v>
      </c>
      <c r="G733" t="s">
        <v>28</v>
      </c>
      <c r="H733" t="s">
        <v>28</v>
      </c>
    </row>
    <row r="734" spans="1:8" ht="15" customHeight="1" x14ac:dyDescent="0.2">
      <c r="A734" s="1">
        <v>46262</v>
      </c>
      <c r="B734">
        <v>0</v>
      </c>
      <c r="C734" s="2">
        <v>0.561805555555556</v>
      </c>
      <c r="D734" s="2">
        <v>0.56597222222222199</v>
      </c>
      <c r="E734">
        <v>6</v>
      </c>
      <c r="F734" t="s">
        <v>63</v>
      </c>
      <c r="G734" t="s">
        <v>28</v>
      </c>
    </row>
    <row r="735" spans="1:8" ht="15" customHeight="1" x14ac:dyDescent="0.2">
      <c r="A735" s="1">
        <v>46262</v>
      </c>
      <c r="B735">
        <v>1</v>
      </c>
      <c r="C735" s="2">
        <v>0.66619212962963004</v>
      </c>
      <c r="D735" s="2">
        <v>0.69035879629629604</v>
      </c>
      <c r="E735">
        <v>35</v>
      </c>
      <c r="F735" t="s">
        <v>63</v>
      </c>
      <c r="G735" t="s">
        <v>28</v>
      </c>
      <c r="H735" t="s">
        <v>28</v>
      </c>
    </row>
    <row r="736" spans="1:8" ht="15" customHeight="1" x14ac:dyDescent="0.2">
      <c r="A736" s="1">
        <v>46263</v>
      </c>
      <c r="B736">
        <v>0</v>
      </c>
      <c r="C736" s="2">
        <v>0.302534722222222</v>
      </c>
      <c r="D736" s="2">
        <v>0.34355324074074101</v>
      </c>
      <c r="E736">
        <v>59</v>
      </c>
      <c r="F736" t="s">
        <v>63</v>
      </c>
      <c r="G736" t="s">
        <v>28</v>
      </c>
      <c r="H736" t="s">
        <v>32</v>
      </c>
    </row>
    <row r="737" spans="1:8" ht="15" customHeight="1" x14ac:dyDescent="0.2">
      <c r="A737" s="1">
        <v>46263</v>
      </c>
      <c r="B737">
        <v>0</v>
      </c>
      <c r="C737" s="2">
        <v>0.33114583333333297</v>
      </c>
      <c r="D737" s="2">
        <v>0.35555555555555601</v>
      </c>
      <c r="E737">
        <v>36</v>
      </c>
      <c r="F737" t="s">
        <v>63</v>
      </c>
      <c r="G737" t="s">
        <v>28</v>
      </c>
      <c r="H737" t="s">
        <v>30</v>
      </c>
    </row>
    <row r="738" spans="1:8" ht="15" customHeight="1" x14ac:dyDescent="0.2">
      <c r="A738" s="1">
        <v>46263</v>
      </c>
      <c r="B738">
        <v>0</v>
      </c>
      <c r="C738" s="2">
        <v>0.27849537037036998</v>
      </c>
      <c r="D738" s="2">
        <v>0.39260416666666698</v>
      </c>
      <c r="E738">
        <v>164</v>
      </c>
      <c r="F738" t="s">
        <v>63</v>
      </c>
      <c r="G738" t="s">
        <v>28</v>
      </c>
      <c r="H738" t="s">
        <v>30</v>
      </c>
    </row>
    <row r="739" spans="1:8" ht="15" customHeight="1" x14ac:dyDescent="0.2">
      <c r="A739" s="1">
        <v>46263</v>
      </c>
      <c r="B739">
        <v>1</v>
      </c>
      <c r="C739" s="2">
        <v>0.40218749999999998</v>
      </c>
      <c r="D739" s="2">
        <v>0.44915509259259301</v>
      </c>
      <c r="E739">
        <v>67</v>
      </c>
      <c r="F739" t="s">
        <v>63</v>
      </c>
      <c r="G739" t="s">
        <v>28</v>
      </c>
      <c r="H739" t="s">
        <v>30</v>
      </c>
    </row>
    <row r="740" spans="1:8" ht="15" customHeight="1" x14ac:dyDescent="0.2">
      <c r="A740" s="1">
        <v>46263</v>
      </c>
      <c r="B740">
        <v>1</v>
      </c>
      <c r="C740" s="2">
        <v>0.56909722222222203</v>
      </c>
      <c r="D740" s="2">
        <v>0.61113425925925902</v>
      </c>
      <c r="E740">
        <v>61</v>
      </c>
      <c r="F740" t="s">
        <v>63</v>
      </c>
      <c r="G740" t="s">
        <v>28</v>
      </c>
      <c r="H740" t="s">
        <v>30</v>
      </c>
    </row>
    <row r="741" spans="1:8" ht="15" customHeight="1" x14ac:dyDescent="0.2">
      <c r="A741" s="1">
        <v>46263</v>
      </c>
      <c r="B741">
        <v>1</v>
      </c>
      <c r="C741" s="2">
        <v>0.43320601851851898</v>
      </c>
      <c r="D741" s="2">
        <v>0.52208333333333301</v>
      </c>
      <c r="E741">
        <v>128</v>
      </c>
      <c r="F741" t="s">
        <v>63</v>
      </c>
      <c r="G741" t="s">
        <v>28</v>
      </c>
      <c r="H741" t="s">
        <v>33</v>
      </c>
    </row>
    <row r="742" spans="1:8" ht="15" customHeight="1" x14ac:dyDescent="0.2">
      <c r="A742" s="1">
        <v>46263</v>
      </c>
      <c r="B742">
        <v>1</v>
      </c>
      <c r="C742" s="2">
        <v>0.53666666666666696</v>
      </c>
      <c r="D742" s="2">
        <v>0.60628472222222196</v>
      </c>
      <c r="E742">
        <v>101</v>
      </c>
      <c r="F742" t="s">
        <v>63</v>
      </c>
      <c r="G742" t="s">
        <v>28</v>
      </c>
      <c r="H742" t="s">
        <v>32</v>
      </c>
    </row>
    <row r="743" spans="1:8" ht="15" customHeight="1" x14ac:dyDescent="0.2">
      <c r="A743" s="1">
        <v>46263</v>
      </c>
      <c r="B743">
        <v>1</v>
      </c>
      <c r="C743" s="2">
        <v>0.664328703703704</v>
      </c>
      <c r="D743" s="2">
        <v>0.68518518518518501</v>
      </c>
      <c r="E743">
        <v>30</v>
      </c>
      <c r="F743" t="s">
        <v>63</v>
      </c>
      <c r="G743" t="s">
        <v>28</v>
      </c>
      <c r="H743" t="s">
        <v>32</v>
      </c>
    </row>
    <row r="744" spans="1:8" ht="15" customHeight="1" x14ac:dyDescent="0.2">
      <c r="A744" s="1">
        <v>46263</v>
      </c>
      <c r="B744">
        <v>1</v>
      </c>
      <c r="C744" s="2">
        <v>0.65684027777777798</v>
      </c>
      <c r="D744" s="2">
        <v>0.74716435185185204</v>
      </c>
      <c r="E744">
        <v>130</v>
      </c>
      <c r="F744" t="s">
        <v>63</v>
      </c>
      <c r="G744" t="s">
        <v>28</v>
      </c>
      <c r="H744" t="s">
        <v>28</v>
      </c>
    </row>
    <row r="745" spans="1:8" ht="15" customHeight="1" x14ac:dyDescent="0.2">
      <c r="A745" s="1">
        <v>46264</v>
      </c>
      <c r="B745">
        <v>1</v>
      </c>
      <c r="C745" s="2">
        <v>0.32245370370370402</v>
      </c>
      <c r="D745" s="2">
        <v>0.353564814814815</v>
      </c>
      <c r="E745">
        <v>45</v>
      </c>
      <c r="F745" t="s">
        <v>63</v>
      </c>
      <c r="G745" t="s">
        <v>28</v>
      </c>
      <c r="H745" t="s">
        <v>33</v>
      </c>
    </row>
    <row r="746" spans="1:8" ht="15" customHeight="1" x14ac:dyDescent="0.2">
      <c r="A746" s="1">
        <v>46264</v>
      </c>
      <c r="B746">
        <v>0</v>
      </c>
      <c r="C746" s="2">
        <v>0.28222222222222199</v>
      </c>
      <c r="D746" s="2">
        <v>0.29906250000000001</v>
      </c>
      <c r="E746">
        <v>24</v>
      </c>
      <c r="F746" t="s">
        <v>63</v>
      </c>
      <c r="G746" t="s">
        <v>34</v>
      </c>
      <c r="H746" t="s">
        <v>30</v>
      </c>
    </row>
    <row r="747" spans="1:8" ht="15" customHeight="1" x14ac:dyDescent="0.2">
      <c r="A747" s="1">
        <v>46264</v>
      </c>
      <c r="B747">
        <v>1</v>
      </c>
      <c r="C747" s="2">
        <v>0.33483796296296298</v>
      </c>
      <c r="D747" s="2">
        <v>0.36145833333333299</v>
      </c>
      <c r="E747">
        <v>38</v>
      </c>
      <c r="F747" t="s">
        <v>63</v>
      </c>
      <c r="G747" t="s">
        <v>28</v>
      </c>
      <c r="H747" t="s">
        <v>30</v>
      </c>
    </row>
    <row r="748" spans="1:8" ht="15" customHeight="1" x14ac:dyDescent="0.2">
      <c r="A748" s="1">
        <v>46264</v>
      </c>
      <c r="B748">
        <v>1</v>
      </c>
      <c r="C748" s="2">
        <v>0.38925925925925903</v>
      </c>
      <c r="D748" s="2">
        <v>0.41244212962963001</v>
      </c>
      <c r="E748">
        <v>33</v>
      </c>
      <c r="F748" t="s">
        <v>63</v>
      </c>
      <c r="G748" t="s">
        <v>28</v>
      </c>
      <c r="H748" t="s">
        <v>30</v>
      </c>
    </row>
    <row r="749" spans="1:8" ht="15" customHeight="1" x14ac:dyDescent="0.2">
      <c r="A749" s="1">
        <v>46264</v>
      </c>
      <c r="B749">
        <v>1</v>
      </c>
      <c r="C749" s="2">
        <v>0.26156249999999998</v>
      </c>
      <c r="D749" s="2">
        <v>0.29784722222222199</v>
      </c>
      <c r="E749">
        <v>52</v>
      </c>
      <c r="F749" t="s">
        <v>63</v>
      </c>
      <c r="G749" t="s">
        <v>28</v>
      </c>
      <c r="H749" t="s">
        <v>28</v>
      </c>
    </row>
    <row r="750" spans="1:8" ht="15" customHeight="1" x14ac:dyDescent="0.2">
      <c r="A750" s="1">
        <v>46264</v>
      </c>
      <c r="B750">
        <v>1</v>
      </c>
      <c r="C750" s="2">
        <v>0.482106481481481</v>
      </c>
      <c r="D750" s="2">
        <v>0.50942129629629596</v>
      </c>
      <c r="E750">
        <v>39</v>
      </c>
      <c r="F750" t="s">
        <v>63</v>
      </c>
      <c r="G750" t="s">
        <v>28</v>
      </c>
      <c r="H750" t="s">
        <v>39</v>
      </c>
    </row>
    <row r="751" spans="1:8" ht="15" customHeight="1" x14ac:dyDescent="0.2">
      <c r="A751" s="1">
        <v>46265</v>
      </c>
      <c r="B751">
        <v>0</v>
      </c>
      <c r="C751" s="2">
        <v>0.26473379629629601</v>
      </c>
      <c r="D751" s="2">
        <v>0.33450231481481502</v>
      </c>
      <c r="E751">
        <v>100</v>
      </c>
      <c r="F751" t="s">
        <v>65</v>
      </c>
      <c r="G751" t="s">
        <v>34</v>
      </c>
      <c r="H751" t="s">
        <v>39</v>
      </c>
    </row>
    <row r="752" spans="1:8" ht="15" customHeight="1" x14ac:dyDescent="0.2">
      <c r="A752" s="1">
        <v>46265</v>
      </c>
      <c r="B752">
        <v>0</v>
      </c>
      <c r="C752" s="2">
        <v>0.239953703703704</v>
      </c>
      <c r="D752" s="2">
        <v>0.33263888888888898</v>
      </c>
      <c r="E752">
        <v>134</v>
      </c>
      <c r="F752" t="s">
        <v>65</v>
      </c>
      <c r="G752" t="s">
        <v>28</v>
      </c>
      <c r="H752" t="s">
        <v>30</v>
      </c>
    </row>
    <row r="753" spans="1:8" ht="15" customHeight="1" x14ac:dyDescent="0.2">
      <c r="A753" s="1">
        <v>46265</v>
      </c>
      <c r="B753">
        <v>0</v>
      </c>
      <c r="C753" s="2">
        <v>0.36844907407407401</v>
      </c>
      <c r="D753" s="2">
        <v>0.41307870370370398</v>
      </c>
      <c r="E753">
        <v>64</v>
      </c>
      <c r="F753" t="s">
        <v>65</v>
      </c>
      <c r="G753" t="s">
        <v>28</v>
      </c>
      <c r="H753" t="s">
        <v>30</v>
      </c>
    </row>
    <row r="754" spans="1:8" ht="15" customHeight="1" x14ac:dyDescent="0.2">
      <c r="A754" s="1">
        <v>46265</v>
      </c>
      <c r="B754">
        <v>0</v>
      </c>
      <c r="C754" s="2">
        <v>0.41944444444444401</v>
      </c>
      <c r="D754" s="2">
        <v>0.44791666666666702</v>
      </c>
      <c r="E754">
        <v>41</v>
      </c>
      <c r="F754" t="s">
        <v>65</v>
      </c>
      <c r="G754" t="s">
        <v>38</v>
      </c>
      <c r="H754" t="s">
        <v>39</v>
      </c>
    </row>
    <row r="755" spans="1:8" ht="15" customHeight="1" x14ac:dyDescent="0.2">
      <c r="A755" s="1">
        <v>46265</v>
      </c>
      <c r="B755">
        <v>0</v>
      </c>
      <c r="C755" s="2">
        <v>0.482372685185185</v>
      </c>
      <c r="D755" s="2">
        <v>0.49652777777777801</v>
      </c>
      <c r="E755">
        <v>21</v>
      </c>
      <c r="F755" t="s">
        <v>65</v>
      </c>
      <c r="G755" t="s">
        <v>38</v>
      </c>
      <c r="H755" t="s">
        <v>39</v>
      </c>
    </row>
    <row r="756" spans="1:8" ht="15" customHeight="1" x14ac:dyDescent="0.2">
      <c r="A756" s="1">
        <v>46265</v>
      </c>
      <c r="B756">
        <v>0</v>
      </c>
      <c r="C756" s="2">
        <v>0.26083333333333297</v>
      </c>
      <c r="D756" s="2">
        <v>0.33402777777777798</v>
      </c>
      <c r="E756">
        <v>106</v>
      </c>
      <c r="F756" t="s">
        <v>65</v>
      </c>
      <c r="G756" t="s">
        <v>38</v>
      </c>
      <c r="H756" t="s">
        <v>45</v>
      </c>
    </row>
    <row r="757" spans="1:8" ht="15" customHeight="1" x14ac:dyDescent="0.2">
      <c r="A757" s="1">
        <v>46265</v>
      </c>
      <c r="B757">
        <v>0</v>
      </c>
      <c r="C757" s="2">
        <v>0.2228125</v>
      </c>
      <c r="D757" s="2">
        <v>0.26244212962962998</v>
      </c>
      <c r="E757">
        <v>57</v>
      </c>
      <c r="F757" t="s">
        <v>63</v>
      </c>
      <c r="G757" t="s">
        <v>34</v>
      </c>
      <c r="H757" t="s">
        <v>44</v>
      </c>
    </row>
    <row r="758" spans="1:8" ht="15" customHeight="1" x14ac:dyDescent="0.2">
      <c r="A758" s="1">
        <v>46265</v>
      </c>
      <c r="B758">
        <v>0</v>
      </c>
      <c r="C758" s="2">
        <v>0.25624999999999998</v>
      </c>
      <c r="D758" s="2">
        <v>0.328472222222222</v>
      </c>
      <c r="E758">
        <v>104</v>
      </c>
      <c r="F758" t="s">
        <v>63</v>
      </c>
      <c r="G758" t="s">
        <v>34</v>
      </c>
      <c r="H758" t="s">
        <v>33</v>
      </c>
    </row>
    <row r="759" spans="1:8" ht="15" customHeight="1" x14ac:dyDescent="0.2">
      <c r="A759" s="1">
        <v>46265</v>
      </c>
      <c r="B759">
        <v>0</v>
      </c>
      <c r="C759" s="2">
        <v>0.47222222222222199</v>
      </c>
      <c r="D759" s="2">
        <v>0.72201388888888896</v>
      </c>
      <c r="E759">
        <v>359</v>
      </c>
      <c r="F759" t="s">
        <v>66</v>
      </c>
      <c r="G759" t="s">
        <v>28</v>
      </c>
      <c r="H759" t="s">
        <v>33</v>
      </c>
    </row>
    <row r="760" spans="1:8" ht="15" customHeight="1" x14ac:dyDescent="0.2">
      <c r="A760" s="1">
        <v>46265</v>
      </c>
      <c r="B760">
        <v>0</v>
      </c>
      <c r="C760" s="2">
        <v>0.265162037037037</v>
      </c>
      <c r="D760" s="2">
        <v>0.33313657407407399</v>
      </c>
      <c r="E760">
        <v>98</v>
      </c>
      <c r="F760" t="s">
        <v>65</v>
      </c>
      <c r="G760" t="s">
        <v>28</v>
      </c>
      <c r="H760" t="s">
        <v>30</v>
      </c>
    </row>
    <row r="761" spans="1:8" ht="15" customHeight="1" x14ac:dyDescent="0.2">
      <c r="A761" s="1">
        <v>46265</v>
      </c>
      <c r="B761">
        <v>0</v>
      </c>
      <c r="C761" s="2">
        <v>0.421180555555556</v>
      </c>
      <c r="D761" s="2">
        <v>0.54166666666666696</v>
      </c>
      <c r="E761">
        <v>174</v>
      </c>
      <c r="F761" t="s">
        <v>63</v>
      </c>
      <c r="G761" t="s">
        <v>34</v>
      </c>
      <c r="H761" t="s">
        <v>33</v>
      </c>
    </row>
    <row r="762" spans="1:8" ht="15" customHeight="1" x14ac:dyDescent="0.2">
      <c r="A762" s="1">
        <v>46265</v>
      </c>
      <c r="B762">
        <v>0</v>
      </c>
      <c r="C762" s="2">
        <v>0.260162037037037</v>
      </c>
      <c r="F762" t="s">
        <v>66</v>
      </c>
      <c r="G762" t="s">
        <v>28</v>
      </c>
      <c r="H762" t="s">
        <v>37</v>
      </c>
    </row>
    <row r="763" spans="1:8" ht="15" customHeight="1" x14ac:dyDescent="0.2">
      <c r="A763" s="1">
        <v>46265</v>
      </c>
      <c r="B763">
        <v>0</v>
      </c>
      <c r="C763" s="2">
        <v>0.41245370370370399</v>
      </c>
      <c r="D763" s="2">
        <v>0.52733796296296298</v>
      </c>
      <c r="E763">
        <v>166</v>
      </c>
      <c r="F763" t="s">
        <v>65</v>
      </c>
      <c r="G763" t="s">
        <v>28</v>
      </c>
      <c r="H763" t="s">
        <v>30</v>
      </c>
    </row>
    <row r="764" spans="1:8" ht="15" customHeight="1" x14ac:dyDescent="0.2">
      <c r="A764" s="1">
        <v>46265</v>
      </c>
      <c r="B764">
        <v>0</v>
      </c>
      <c r="C764" s="2">
        <v>0.39151620370370399</v>
      </c>
      <c r="D764" s="2">
        <v>0.47222222222222199</v>
      </c>
      <c r="E764">
        <v>117</v>
      </c>
      <c r="F764" t="s">
        <v>63</v>
      </c>
      <c r="G764" t="s">
        <v>34</v>
      </c>
      <c r="H764" t="s">
        <v>30</v>
      </c>
    </row>
    <row r="765" spans="1:8" ht="15" customHeight="1" x14ac:dyDescent="0.2">
      <c r="A765" s="1">
        <v>46265</v>
      </c>
      <c r="B765">
        <v>0</v>
      </c>
      <c r="C765" s="2">
        <v>0.30555555555555602</v>
      </c>
      <c r="D765" s="2">
        <v>0.32638888888888901</v>
      </c>
      <c r="E765">
        <v>30</v>
      </c>
      <c r="F765" t="s">
        <v>63</v>
      </c>
      <c r="G765" t="s">
        <v>34</v>
      </c>
      <c r="H765" t="s">
        <v>30</v>
      </c>
    </row>
    <row r="766" spans="1:8" ht="15" customHeight="1" x14ac:dyDescent="0.2">
      <c r="A766" s="1">
        <v>46265</v>
      </c>
      <c r="B766">
        <v>1</v>
      </c>
      <c r="C766" s="2">
        <v>0.47082175925925901</v>
      </c>
      <c r="D766" s="2">
        <v>0.488263888888889</v>
      </c>
      <c r="E766">
        <v>26</v>
      </c>
      <c r="F766" t="s">
        <v>63</v>
      </c>
      <c r="G766" t="s">
        <v>28</v>
      </c>
      <c r="H766" t="s">
        <v>28</v>
      </c>
    </row>
    <row r="767" spans="1:8" ht="15" customHeight="1" x14ac:dyDescent="0.2">
      <c r="A767" s="1">
        <v>46265</v>
      </c>
      <c r="B767">
        <v>1</v>
      </c>
      <c r="C767" s="2">
        <v>0.38488425925925901</v>
      </c>
      <c r="D767" s="2">
        <v>0.43055555555555602</v>
      </c>
      <c r="E767">
        <v>66</v>
      </c>
      <c r="F767" t="s">
        <v>63</v>
      </c>
      <c r="G767" t="s">
        <v>34</v>
      </c>
      <c r="H767" t="s">
        <v>28</v>
      </c>
    </row>
    <row r="768" spans="1:8" ht="15" customHeight="1" x14ac:dyDescent="0.2">
      <c r="A768" s="1">
        <v>46265</v>
      </c>
      <c r="B768">
        <v>1</v>
      </c>
      <c r="C768" s="2">
        <v>0.52210648148148198</v>
      </c>
      <c r="D768" s="2">
        <v>0.54861111111111105</v>
      </c>
      <c r="E768">
        <v>39</v>
      </c>
      <c r="F768" t="s">
        <v>63</v>
      </c>
      <c r="G768" t="s">
        <v>28</v>
      </c>
      <c r="H768" t="s">
        <v>28</v>
      </c>
    </row>
    <row r="769" spans="1:8" ht="15" customHeight="1" x14ac:dyDescent="0.2">
      <c r="A769" s="1">
        <v>46265</v>
      </c>
      <c r="B769">
        <v>1</v>
      </c>
      <c r="C769" s="2">
        <v>0.72361111111111098</v>
      </c>
      <c r="D769" s="2">
        <v>0.758541666666667</v>
      </c>
      <c r="E769">
        <v>50</v>
      </c>
      <c r="F769" t="s">
        <v>63</v>
      </c>
      <c r="G769" t="s">
        <v>28</v>
      </c>
      <c r="H769"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Data</vt:lpstr>
      <vt:lpstr>Canceled</vt:lpstr>
      <vt:lpstr>Cases</vt:lpstr>
      <vt:lpstr>Hours</vt:lpstr>
      <vt:lpstr>PACU</vt:lpstr>
      <vt:lpstr>Pre-Op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Orozco, Melissa</dc:creator>
  <cp:lastModifiedBy>Melissa Orozco</cp:lastModifiedBy>
  <dcterms:created xsi:type="dcterms:W3CDTF">2026-09-01T13:11:08Z</dcterms:created>
  <dcterms:modified xsi:type="dcterms:W3CDTF">2026-09-09T17:34:44Z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0f647f-2cdb-4dca-971d-54654863036f_Enabled">
    <vt:lpwstr>true</vt:lpwstr>
  </property>
  <property fmtid="{D5CDD505-2E9C-101B-9397-08002B2CF9AE}" pid="3" name="MSIP_Label_170f647f-2cdb-4dca-971d-54654863036f_SetDate">
    <vt:lpwstr>2026-09-01T13:11:04Z</vt:lpwstr>
  </property>
  <property fmtid="{D5CDD505-2E9C-101B-9397-08002B2CF9AE}" pid="4" name="MSIP_Label_170f647f-2cdb-4dca-971d-54654863036f_Method">
    <vt:lpwstr>Standard</vt:lpwstr>
  </property>
  <property fmtid="{D5CDD505-2E9C-101B-9397-08002B2CF9AE}" pid="5" name="MSIP_Label_170f647f-2cdb-4dca-971d-54654863036f_Name">
    <vt:lpwstr>170f647f-2cdb-4dca-971d-54654863036f</vt:lpwstr>
  </property>
  <property fmtid="{D5CDD505-2E9C-101B-9397-08002B2CF9AE}" pid="6" name="MSIP_Label_170f647f-2cdb-4dca-971d-54654863036f_SiteId">
    <vt:lpwstr>a2aff3af-b29c-493c-ae8f-b8b1a8e84782</vt:lpwstr>
  </property>
  <property fmtid="{D5CDD505-2E9C-101B-9397-08002B2CF9AE}" pid="7" name="MSIP_Label_170f647f-2cdb-4dca-971d-54654863036f_ActionId">
    <vt:lpwstr>90ec7dad-d6a0-47a8-a871-7a42542089d5</vt:lpwstr>
  </property>
  <property fmtid="{D5CDD505-2E9C-101B-9397-08002B2CF9AE}" pid="8" name="MSIP_Label_170f647f-2cdb-4dca-971d-54654863036f_ContentBits">
    <vt:lpwstr>0</vt:lpwstr>
  </property>
  <property fmtid="{D5CDD505-2E9C-101B-9397-08002B2CF9AE}" pid="9" name="MSIP_Label_170f647f-2cdb-4dca-971d-54654863036f_Tag">
    <vt:lpwstr>10, 3, 0, 1</vt:lpwstr>
  </property>
</Properties>
</file>